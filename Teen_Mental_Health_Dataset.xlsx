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USER\Documents\Projects\"/>
    </mc:Choice>
  </mc:AlternateContent>
  <xr:revisionPtr revIDLastSave="0" documentId="13_ncr:1_{37C36EE3-F416-468F-8322-0BC0B9B7A4D2}" xr6:coauthVersionLast="47" xr6:coauthVersionMax="47" xr10:uidLastSave="{00000000-0000-0000-0000-000000000000}"/>
  <bookViews>
    <workbookView xWindow="-120" yWindow="-120" windowWidth="29040" windowHeight="15720" firstSheet="1" activeTab="3" xr2:uid="{BFE74E55-A7E7-4EF7-A6D2-9CFEAA37B542}"/>
  </bookViews>
  <sheets>
    <sheet name="Teen_Mental_Health_Dataset" sheetId="2" r:id="rId1"/>
    <sheet name="Worksheet" sheetId="1" r:id="rId2"/>
    <sheet name="Pivot_Table" sheetId="5" r:id="rId3"/>
    <sheet name="Dashboard" sheetId="7" r:id="rId4"/>
    <sheet name="Sheet1" sheetId="8" r:id="rId5"/>
  </sheets>
  <definedNames>
    <definedName name="_xlnm._FilterDatabase" localSheetId="1" hidden="1">Worksheet!$A$1:$S$1201</definedName>
    <definedName name="Slicer_Category">#N/A</definedName>
    <definedName name="Slicer_Mental_State">#N/A</definedName>
    <definedName name="Slicer_social_interaction_level">#N/A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 i="1" l="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2" i="1"/>
  <c r="Q3" i="1"/>
  <c r="S3" i="1" s="1"/>
  <c r="Q4" i="1"/>
  <c r="S4" i="1" s="1"/>
  <c r="Q5" i="1"/>
  <c r="S5" i="1" s="1"/>
  <c r="Q6" i="1"/>
  <c r="S6" i="1" s="1"/>
  <c r="Q7" i="1"/>
  <c r="S7" i="1" s="1"/>
  <c r="Q8" i="1"/>
  <c r="S8" i="1" s="1"/>
  <c r="Q9" i="1"/>
  <c r="S9" i="1" s="1"/>
  <c r="Q10" i="1"/>
  <c r="S10" i="1" s="1"/>
  <c r="Q11" i="1"/>
  <c r="S11" i="1" s="1"/>
  <c r="Q12" i="1"/>
  <c r="S12" i="1" s="1"/>
  <c r="Q13" i="1"/>
  <c r="S13" i="1" s="1"/>
  <c r="Q14" i="1"/>
  <c r="S14" i="1" s="1"/>
  <c r="Q15" i="1"/>
  <c r="S15" i="1" s="1"/>
  <c r="Q16" i="1"/>
  <c r="S16" i="1" s="1"/>
  <c r="Q17" i="1"/>
  <c r="S17" i="1" s="1"/>
  <c r="Q18" i="1"/>
  <c r="S18" i="1" s="1"/>
  <c r="Q19" i="1"/>
  <c r="S19" i="1" s="1"/>
  <c r="Q20" i="1"/>
  <c r="S20" i="1" s="1"/>
  <c r="Q21" i="1"/>
  <c r="S21" i="1" s="1"/>
  <c r="Q22" i="1"/>
  <c r="S22" i="1" s="1"/>
  <c r="Q23" i="1"/>
  <c r="S23" i="1" s="1"/>
  <c r="Q24" i="1"/>
  <c r="S24" i="1" s="1"/>
  <c r="Q25" i="1"/>
  <c r="S25" i="1" s="1"/>
  <c r="Q26" i="1"/>
  <c r="S26" i="1" s="1"/>
  <c r="Q27" i="1"/>
  <c r="S27" i="1" s="1"/>
  <c r="Q28" i="1"/>
  <c r="S28" i="1" s="1"/>
  <c r="Q29" i="1"/>
  <c r="S29" i="1" s="1"/>
  <c r="Q30" i="1"/>
  <c r="S30" i="1" s="1"/>
  <c r="Q31" i="1"/>
  <c r="S31" i="1" s="1"/>
  <c r="Q32" i="1"/>
  <c r="S32" i="1" s="1"/>
  <c r="Q33" i="1"/>
  <c r="S33" i="1" s="1"/>
  <c r="Q34" i="1"/>
  <c r="S34" i="1" s="1"/>
  <c r="Q35" i="1"/>
  <c r="S35" i="1" s="1"/>
  <c r="Q36" i="1"/>
  <c r="S36" i="1" s="1"/>
  <c r="Q37" i="1"/>
  <c r="S37" i="1" s="1"/>
  <c r="Q38" i="1"/>
  <c r="S38" i="1" s="1"/>
  <c r="Q39" i="1"/>
  <c r="S39" i="1" s="1"/>
  <c r="Q40" i="1"/>
  <c r="S40" i="1" s="1"/>
  <c r="Q41" i="1"/>
  <c r="S41" i="1" s="1"/>
  <c r="Q42" i="1"/>
  <c r="S42" i="1" s="1"/>
  <c r="Q43" i="1"/>
  <c r="S43" i="1" s="1"/>
  <c r="Q44" i="1"/>
  <c r="S44" i="1" s="1"/>
  <c r="Q45" i="1"/>
  <c r="S45" i="1" s="1"/>
  <c r="Q46" i="1"/>
  <c r="S46" i="1" s="1"/>
  <c r="Q47" i="1"/>
  <c r="S47" i="1" s="1"/>
  <c r="Q48" i="1"/>
  <c r="S48" i="1" s="1"/>
  <c r="Q49" i="1"/>
  <c r="S49" i="1" s="1"/>
  <c r="Q50" i="1"/>
  <c r="S50" i="1" s="1"/>
  <c r="Q51" i="1"/>
  <c r="S51" i="1" s="1"/>
  <c r="Q52" i="1"/>
  <c r="S52" i="1" s="1"/>
  <c r="Q53" i="1"/>
  <c r="S53" i="1" s="1"/>
  <c r="Q54" i="1"/>
  <c r="S54" i="1" s="1"/>
  <c r="Q55" i="1"/>
  <c r="S55" i="1" s="1"/>
  <c r="Q56" i="1"/>
  <c r="S56" i="1" s="1"/>
  <c r="Q57" i="1"/>
  <c r="S57" i="1" s="1"/>
  <c r="Q58" i="1"/>
  <c r="S58" i="1" s="1"/>
  <c r="Q59" i="1"/>
  <c r="S59" i="1" s="1"/>
  <c r="Q60" i="1"/>
  <c r="S60" i="1" s="1"/>
  <c r="Q61" i="1"/>
  <c r="S61" i="1" s="1"/>
  <c r="Q62" i="1"/>
  <c r="S62" i="1" s="1"/>
  <c r="Q63" i="1"/>
  <c r="S63" i="1" s="1"/>
  <c r="Q64" i="1"/>
  <c r="S64" i="1" s="1"/>
  <c r="Q65" i="1"/>
  <c r="S65" i="1" s="1"/>
  <c r="Q66" i="1"/>
  <c r="S66" i="1" s="1"/>
  <c r="Q67" i="1"/>
  <c r="S67" i="1" s="1"/>
  <c r="Q68" i="1"/>
  <c r="S68" i="1" s="1"/>
  <c r="Q69" i="1"/>
  <c r="S69" i="1" s="1"/>
  <c r="Q70" i="1"/>
  <c r="S70" i="1" s="1"/>
  <c r="Q71" i="1"/>
  <c r="S71" i="1" s="1"/>
  <c r="Q72" i="1"/>
  <c r="S72" i="1" s="1"/>
  <c r="Q73" i="1"/>
  <c r="S73" i="1" s="1"/>
  <c r="Q74" i="1"/>
  <c r="S74" i="1" s="1"/>
  <c r="Q75" i="1"/>
  <c r="S75" i="1" s="1"/>
  <c r="Q76" i="1"/>
  <c r="S76" i="1" s="1"/>
  <c r="Q77" i="1"/>
  <c r="S77" i="1" s="1"/>
  <c r="Q78" i="1"/>
  <c r="S78" i="1" s="1"/>
  <c r="Q79" i="1"/>
  <c r="S79" i="1" s="1"/>
  <c r="Q80" i="1"/>
  <c r="S80" i="1" s="1"/>
  <c r="Q81" i="1"/>
  <c r="S81" i="1" s="1"/>
  <c r="Q82" i="1"/>
  <c r="S82" i="1" s="1"/>
  <c r="Q83" i="1"/>
  <c r="S83" i="1" s="1"/>
  <c r="Q84" i="1"/>
  <c r="S84" i="1" s="1"/>
  <c r="Q85" i="1"/>
  <c r="S85" i="1" s="1"/>
  <c r="Q86" i="1"/>
  <c r="S86" i="1" s="1"/>
  <c r="Q87" i="1"/>
  <c r="S87" i="1" s="1"/>
  <c r="Q88" i="1"/>
  <c r="S88" i="1" s="1"/>
  <c r="Q89" i="1"/>
  <c r="S89" i="1" s="1"/>
  <c r="Q90" i="1"/>
  <c r="S90" i="1" s="1"/>
  <c r="Q91" i="1"/>
  <c r="S91" i="1" s="1"/>
  <c r="Q92" i="1"/>
  <c r="S92" i="1" s="1"/>
  <c r="Q93" i="1"/>
  <c r="S93" i="1" s="1"/>
  <c r="Q94" i="1"/>
  <c r="S94" i="1" s="1"/>
  <c r="Q95" i="1"/>
  <c r="S95" i="1" s="1"/>
  <c r="Q96" i="1"/>
  <c r="S96" i="1" s="1"/>
  <c r="Q97" i="1"/>
  <c r="S97" i="1" s="1"/>
  <c r="Q98" i="1"/>
  <c r="S98" i="1" s="1"/>
  <c r="Q99" i="1"/>
  <c r="S99" i="1" s="1"/>
  <c r="Q100" i="1"/>
  <c r="S100" i="1" s="1"/>
  <c r="Q101" i="1"/>
  <c r="S101" i="1" s="1"/>
  <c r="Q102" i="1"/>
  <c r="S102" i="1" s="1"/>
  <c r="Q103" i="1"/>
  <c r="S103" i="1" s="1"/>
  <c r="Q104" i="1"/>
  <c r="S104" i="1" s="1"/>
  <c r="Q105" i="1"/>
  <c r="S105" i="1" s="1"/>
  <c r="Q106" i="1"/>
  <c r="S106" i="1" s="1"/>
  <c r="Q107" i="1"/>
  <c r="S107" i="1" s="1"/>
  <c r="Q108" i="1"/>
  <c r="S108" i="1" s="1"/>
  <c r="Q109" i="1"/>
  <c r="S109" i="1" s="1"/>
  <c r="Q110" i="1"/>
  <c r="S110" i="1" s="1"/>
  <c r="Q111" i="1"/>
  <c r="S111" i="1" s="1"/>
  <c r="Q112" i="1"/>
  <c r="S112" i="1" s="1"/>
  <c r="Q113" i="1"/>
  <c r="S113" i="1" s="1"/>
  <c r="Q114" i="1"/>
  <c r="S114" i="1" s="1"/>
  <c r="Q115" i="1"/>
  <c r="S115" i="1" s="1"/>
  <c r="Q116" i="1"/>
  <c r="S116" i="1" s="1"/>
  <c r="Q117" i="1"/>
  <c r="S117" i="1" s="1"/>
  <c r="Q118" i="1"/>
  <c r="S118" i="1" s="1"/>
  <c r="Q119" i="1"/>
  <c r="S119" i="1" s="1"/>
  <c r="Q120" i="1"/>
  <c r="S120" i="1" s="1"/>
  <c r="Q121" i="1"/>
  <c r="S121" i="1" s="1"/>
  <c r="Q122" i="1"/>
  <c r="S122" i="1" s="1"/>
  <c r="Q123" i="1"/>
  <c r="S123" i="1" s="1"/>
  <c r="Q124" i="1"/>
  <c r="S124" i="1" s="1"/>
  <c r="Q125" i="1"/>
  <c r="S125" i="1" s="1"/>
  <c r="Q126" i="1"/>
  <c r="S126" i="1" s="1"/>
  <c r="Q127" i="1"/>
  <c r="S127" i="1" s="1"/>
  <c r="Q128" i="1"/>
  <c r="S128" i="1" s="1"/>
  <c r="Q129" i="1"/>
  <c r="S129" i="1" s="1"/>
  <c r="Q130" i="1"/>
  <c r="S130" i="1" s="1"/>
  <c r="Q131" i="1"/>
  <c r="S131" i="1" s="1"/>
  <c r="Q132" i="1"/>
  <c r="S132" i="1" s="1"/>
  <c r="Q133" i="1"/>
  <c r="S133" i="1" s="1"/>
  <c r="Q134" i="1"/>
  <c r="S134" i="1" s="1"/>
  <c r="Q135" i="1"/>
  <c r="S135" i="1" s="1"/>
  <c r="Q136" i="1"/>
  <c r="S136" i="1" s="1"/>
  <c r="Q137" i="1"/>
  <c r="S137" i="1" s="1"/>
  <c r="Q138" i="1"/>
  <c r="S138" i="1" s="1"/>
  <c r="Q139" i="1"/>
  <c r="S139" i="1" s="1"/>
  <c r="Q140" i="1"/>
  <c r="S140" i="1" s="1"/>
  <c r="Q141" i="1"/>
  <c r="S141" i="1" s="1"/>
  <c r="Q142" i="1"/>
  <c r="S142" i="1" s="1"/>
  <c r="Q143" i="1"/>
  <c r="S143" i="1" s="1"/>
  <c r="Q144" i="1"/>
  <c r="S144" i="1" s="1"/>
  <c r="Q145" i="1"/>
  <c r="S145" i="1" s="1"/>
  <c r="Q146" i="1"/>
  <c r="S146" i="1" s="1"/>
  <c r="Q147" i="1"/>
  <c r="S147" i="1" s="1"/>
  <c r="Q148" i="1"/>
  <c r="S148" i="1" s="1"/>
  <c r="Q149" i="1"/>
  <c r="S149" i="1" s="1"/>
  <c r="Q150" i="1"/>
  <c r="S150" i="1" s="1"/>
  <c r="Q151" i="1"/>
  <c r="S151" i="1" s="1"/>
  <c r="Q152" i="1"/>
  <c r="S152" i="1" s="1"/>
  <c r="Q153" i="1"/>
  <c r="S153" i="1" s="1"/>
  <c r="Q154" i="1"/>
  <c r="S154" i="1" s="1"/>
  <c r="Q155" i="1"/>
  <c r="S155" i="1" s="1"/>
  <c r="Q156" i="1"/>
  <c r="S156" i="1" s="1"/>
  <c r="Q157" i="1"/>
  <c r="S157" i="1" s="1"/>
  <c r="Q158" i="1"/>
  <c r="S158" i="1" s="1"/>
  <c r="Q159" i="1"/>
  <c r="S159" i="1" s="1"/>
  <c r="Q160" i="1"/>
  <c r="S160" i="1" s="1"/>
  <c r="Q161" i="1"/>
  <c r="S161" i="1" s="1"/>
  <c r="Q162" i="1"/>
  <c r="S162" i="1" s="1"/>
  <c r="Q163" i="1"/>
  <c r="S163" i="1" s="1"/>
  <c r="Q164" i="1"/>
  <c r="S164" i="1" s="1"/>
  <c r="Q165" i="1"/>
  <c r="S165" i="1" s="1"/>
  <c r="Q166" i="1"/>
  <c r="S166" i="1" s="1"/>
  <c r="Q167" i="1"/>
  <c r="S167" i="1" s="1"/>
  <c r="Q168" i="1"/>
  <c r="S168" i="1" s="1"/>
  <c r="Q169" i="1"/>
  <c r="S169" i="1" s="1"/>
  <c r="Q170" i="1"/>
  <c r="S170" i="1" s="1"/>
  <c r="Q171" i="1"/>
  <c r="S171" i="1" s="1"/>
  <c r="Q172" i="1"/>
  <c r="S172" i="1" s="1"/>
  <c r="Q173" i="1"/>
  <c r="S173" i="1" s="1"/>
  <c r="Q174" i="1"/>
  <c r="S174" i="1" s="1"/>
  <c r="Q175" i="1"/>
  <c r="S175" i="1" s="1"/>
  <c r="Q176" i="1"/>
  <c r="S176" i="1" s="1"/>
  <c r="Q177" i="1"/>
  <c r="S177" i="1" s="1"/>
  <c r="Q178" i="1"/>
  <c r="S178" i="1" s="1"/>
  <c r="Q179" i="1"/>
  <c r="S179" i="1" s="1"/>
  <c r="Q180" i="1"/>
  <c r="S180" i="1" s="1"/>
  <c r="Q181" i="1"/>
  <c r="S181" i="1" s="1"/>
  <c r="Q182" i="1"/>
  <c r="S182" i="1" s="1"/>
  <c r="Q183" i="1"/>
  <c r="S183" i="1" s="1"/>
  <c r="Q184" i="1"/>
  <c r="S184" i="1" s="1"/>
  <c r="Q185" i="1"/>
  <c r="S185" i="1" s="1"/>
  <c r="Q186" i="1"/>
  <c r="S186" i="1" s="1"/>
  <c r="Q187" i="1"/>
  <c r="S187" i="1" s="1"/>
  <c r="Q188" i="1"/>
  <c r="S188" i="1" s="1"/>
  <c r="Q189" i="1"/>
  <c r="S189" i="1" s="1"/>
  <c r="Q190" i="1"/>
  <c r="S190" i="1" s="1"/>
  <c r="Q191" i="1"/>
  <c r="S191" i="1" s="1"/>
  <c r="Q192" i="1"/>
  <c r="S192" i="1" s="1"/>
  <c r="Q193" i="1"/>
  <c r="S193" i="1" s="1"/>
  <c r="Q194" i="1"/>
  <c r="S194" i="1" s="1"/>
  <c r="Q195" i="1"/>
  <c r="S195" i="1" s="1"/>
  <c r="Q196" i="1"/>
  <c r="S196" i="1" s="1"/>
  <c r="Q197" i="1"/>
  <c r="S197" i="1" s="1"/>
  <c r="Q198" i="1"/>
  <c r="S198" i="1" s="1"/>
  <c r="Q199" i="1"/>
  <c r="S199" i="1" s="1"/>
  <c r="Q200" i="1"/>
  <c r="S200" i="1" s="1"/>
  <c r="Q201" i="1"/>
  <c r="S201" i="1" s="1"/>
  <c r="Q202" i="1"/>
  <c r="S202" i="1" s="1"/>
  <c r="Q203" i="1"/>
  <c r="S203" i="1" s="1"/>
  <c r="Q204" i="1"/>
  <c r="S204" i="1" s="1"/>
  <c r="Q205" i="1"/>
  <c r="S205" i="1" s="1"/>
  <c r="Q206" i="1"/>
  <c r="S206" i="1" s="1"/>
  <c r="Q207" i="1"/>
  <c r="S207" i="1" s="1"/>
  <c r="Q208" i="1"/>
  <c r="S208" i="1" s="1"/>
  <c r="Q209" i="1"/>
  <c r="S209" i="1" s="1"/>
  <c r="Q210" i="1"/>
  <c r="S210" i="1" s="1"/>
  <c r="Q211" i="1"/>
  <c r="S211" i="1" s="1"/>
  <c r="Q212" i="1"/>
  <c r="S212" i="1" s="1"/>
  <c r="Q213" i="1"/>
  <c r="S213" i="1" s="1"/>
  <c r="Q214" i="1"/>
  <c r="S214" i="1" s="1"/>
  <c r="Q215" i="1"/>
  <c r="S215" i="1" s="1"/>
  <c r="Q216" i="1"/>
  <c r="S216" i="1" s="1"/>
  <c r="Q217" i="1"/>
  <c r="S217" i="1" s="1"/>
  <c r="Q218" i="1"/>
  <c r="S218" i="1" s="1"/>
  <c r="Q219" i="1"/>
  <c r="S219" i="1" s="1"/>
  <c r="Q220" i="1"/>
  <c r="S220" i="1" s="1"/>
  <c r="Q221" i="1"/>
  <c r="S221" i="1" s="1"/>
  <c r="Q222" i="1"/>
  <c r="S222" i="1" s="1"/>
  <c r="Q223" i="1"/>
  <c r="S223" i="1" s="1"/>
  <c r="Q224" i="1"/>
  <c r="S224" i="1" s="1"/>
  <c r="Q225" i="1"/>
  <c r="S225" i="1" s="1"/>
  <c r="Q226" i="1"/>
  <c r="S226" i="1" s="1"/>
  <c r="Q227" i="1"/>
  <c r="S227" i="1" s="1"/>
  <c r="Q228" i="1"/>
  <c r="S228" i="1" s="1"/>
  <c r="Q229" i="1"/>
  <c r="S229" i="1" s="1"/>
  <c r="Q230" i="1"/>
  <c r="S230" i="1" s="1"/>
  <c r="Q231" i="1"/>
  <c r="S231" i="1" s="1"/>
  <c r="Q232" i="1"/>
  <c r="S232" i="1" s="1"/>
  <c r="Q233" i="1"/>
  <c r="S233" i="1" s="1"/>
  <c r="Q234" i="1"/>
  <c r="S234" i="1" s="1"/>
  <c r="Q235" i="1"/>
  <c r="S235" i="1" s="1"/>
  <c r="Q236" i="1"/>
  <c r="S236" i="1" s="1"/>
  <c r="Q237" i="1"/>
  <c r="S237" i="1" s="1"/>
  <c r="Q238" i="1"/>
  <c r="S238" i="1" s="1"/>
  <c r="Q239" i="1"/>
  <c r="S239" i="1" s="1"/>
  <c r="Q240" i="1"/>
  <c r="S240" i="1" s="1"/>
  <c r="Q241" i="1"/>
  <c r="S241" i="1" s="1"/>
  <c r="Q242" i="1"/>
  <c r="S242" i="1" s="1"/>
  <c r="Q243" i="1"/>
  <c r="S243" i="1" s="1"/>
  <c r="Q244" i="1"/>
  <c r="S244" i="1" s="1"/>
  <c r="Q245" i="1"/>
  <c r="S245" i="1" s="1"/>
  <c r="Q246" i="1"/>
  <c r="S246" i="1" s="1"/>
  <c r="Q247" i="1"/>
  <c r="S247" i="1" s="1"/>
  <c r="Q248" i="1"/>
  <c r="S248" i="1" s="1"/>
  <c r="Q249" i="1"/>
  <c r="S249" i="1" s="1"/>
  <c r="Q250" i="1"/>
  <c r="S250" i="1" s="1"/>
  <c r="Q251" i="1"/>
  <c r="S251" i="1" s="1"/>
  <c r="Q252" i="1"/>
  <c r="S252" i="1" s="1"/>
  <c r="Q253" i="1"/>
  <c r="S253" i="1" s="1"/>
  <c r="Q254" i="1"/>
  <c r="S254" i="1" s="1"/>
  <c r="Q255" i="1"/>
  <c r="S255" i="1" s="1"/>
  <c r="Q256" i="1"/>
  <c r="S256" i="1" s="1"/>
  <c r="Q257" i="1"/>
  <c r="S257" i="1" s="1"/>
  <c r="Q258" i="1"/>
  <c r="S258" i="1" s="1"/>
  <c r="Q259" i="1"/>
  <c r="S259" i="1" s="1"/>
  <c r="Q260" i="1"/>
  <c r="S260" i="1" s="1"/>
  <c r="Q261" i="1"/>
  <c r="S261" i="1" s="1"/>
  <c r="Q262" i="1"/>
  <c r="S262" i="1" s="1"/>
  <c r="Q263" i="1"/>
  <c r="S263" i="1" s="1"/>
  <c r="Q264" i="1"/>
  <c r="S264" i="1" s="1"/>
  <c r="Q265" i="1"/>
  <c r="S265" i="1" s="1"/>
  <c r="Q266" i="1"/>
  <c r="S266" i="1" s="1"/>
  <c r="Q267" i="1"/>
  <c r="S267" i="1" s="1"/>
  <c r="Q268" i="1"/>
  <c r="S268" i="1" s="1"/>
  <c r="Q269" i="1"/>
  <c r="S269" i="1" s="1"/>
  <c r="Q270" i="1"/>
  <c r="S270" i="1" s="1"/>
  <c r="Q271" i="1"/>
  <c r="S271" i="1" s="1"/>
  <c r="Q272" i="1"/>
  <c r="S272" i="1" s="1"/>
  <c r="Q273" i="1"/>
  <c r="S273" i="1" s="1"/>
  <c r="Q274" i="1"/>
  <c r="S274" i="1" s="1"/>
  <c r="Q275" i="1"/>
  <c r="S275" i="1" s="1"/>
  <c r="Q276" i="1"/>
  <c r="S276" i="1" s="1"/>
  <c r="Q277" i="1"/>
  <c r="S277" i="1" s="1"/>
  <c r="Q278" i="1"/>
  <c r="S278" i="1" s="1"/>
  <c r="Q279" i="1"/>
  <c r="S279" i="1" s="1"/>
  <c r="Q280" i="1"/>
  <c r="S280" i="1" s="1"/>
  <c r="Q281" i="1"/>
  <c r="S281" i="1" s="1"/>
  <c r="Q282" i="1"/>
  <c r="S282" i="1" s="1"/>
  <c r="Q283" i="1"/>
  <c r="S283" i="1" s="1"/>
  <c r="Q284" i="1"/>
  <c r="S284" i="1" s="1"/>
  <c r="Q285" i="1"/>
  <c r="S285" i="1" s="1"/>
  <c r="Q286" i="1"/>
  <c r="S286" i="1" s="1"/>
  <c r="Q287" i="1"/>
  <c r="S287" i="1" s="1"/>
  <c r="Q288" i="1"/>
  <c r="S288" i="1" s="1"/>
  <c r="Q289" i="1"/>
  <c r="S289" i="1" s="1"/>
  <c r="Q290" i="1"/>
  <c r="S290" i="1" s="1"/>
  <c r="Q291" i="1"/>
  <c r="S291" i="1" s="1"/>
  <c r="Q292" i="1"/>
  <c r="S292" i="1" s="1"/>
  <c r="Q293" i="1"/>
  <c r="S293" i="1" s="1"/>
  <c r="Q294" i="1"/>
  <c r="S294" i="1" s="1"/>
  <c r="Q295" i="1"/>
  <c r="S295" i="1" s="1"/>
  <c r="Q296" i="1"/>
  <c r="S296" i="1" s="1"/>
  <c r="Q297" i="1"/>
  <c r="S297" i="1" s="1"/>
  <c r="Q298" i="1"/>
  <c r="S298" i="1" s="1"/>
  <c r="Q299" i="1"/>
  <c r="S299" i="1" s="1"/>
  <c r="Q300" i="1"/>
  <c r="S300" i="1" s="1"/>
  <c r="Q301" i="1"/>
  <c r="S301" i="1" s="1"/>
  <c r="Q302" i="1"/>
  <c r="S302" i="1" s="1"/>
  <c r="Q303" i="1"/>
  <c r="S303" i="1" s="1"/>
  <c r="Q304" i="1"/>
  <c r="S304" i="1" s="1"/>
  <c r="Q305" i="1"/>
  <c r="S305" i="1" s="1"/>
  <c r="Q306" i="1"/>
  <c r="S306" i="1" s="1"/>
  <c r="Q307" i="1"/>
  <c r="S307" i="1" s="1"/>
  <c r="Q308" i="1"/>
  <c r="S308" i="1" s="1"/>
  <c r="Q309" i="1"/>
  <c r="S309" i="1" s="1"/>
  <c r="Q310" i="1"/>
  <c r="S310" i="1" s="1"/>
  <c r="Q311" i="1"/>
  <c r="S311" i="1" s="1"/>
  <c r="Q312" i="1"/>
  <c r="S312" i="1" s="1"/>
  <c r="Q313" i="1"/>
  <c r="S313" i="1" s="1"/>
  <c r="Q314" i="1"/>
  <c r="S314" i="1" s="1"/>
  <c r="Q315" i="1"/>
  <c r="S315" i="1" s="1"/>
  <c r="Q316" i="1"/>
  <c r="S316" i="1" s="1"/>
  <c r="Q317" i="1"/>
  <c r="S317" i="1" s="1"/>
  <c r="Q318" i="1"/>
  <c r="S318" i="1" s="1"/>
  <c r="Q319" i="1"/>
  <c r="S319" i="1" s="1"/>
  <c r="Q320" i="1"/>
  <c r="S320" i="1" s="1"/>
  <c r="Q321" i="1"/>
  <c r="S321" i="1" s="1"/>
  <c r="Q322" i="1"/>
  <c r="S322" i="1" s="1"/>
  <c r="Q323" i="1"/>
  <c r="S323" i="1" s="1"/>
  <c r="Q324" i="1"/>
  <c r="S324" i="1" s="1"/>
  <c r="Q325" i="1"/>
  <c r="S325" i="1" s="1"/>
  <c r="Q326" i="1"/>
  <c r="S326" i="1" s="1"/>
  <c r="Q327" i="1"/>
  <c r="S327" i="1" s="1"/>
  <c r="Q328" i="1"/>
  <c r="S328" i="1" s="1"/>
  <c r="Q329" i="1"/>
  <c r="S329" i="1" s="1"/>
  <c r="Q330" i="1"/>
  <c r="S330" i="1" s="1"/>
  <c r="Q331" i="1"/>
  <c r="S331" i="1" s="1"/>
  <c r="Q332" i="1"/>
  <c r="S332" i="1" s="1"/>
  <c r="Q333" i="1"/>
  <c r="S333" i="1" s="1"/>
  <c r="Q334" i="1"/>
  <c r="S334" i="1" s="1"/>
  <c r="Q335" i="1"/>
  <c r="S335" i="1" s="1"/>
  <c r="Q336" i="1"/>
  <c r="S336" i="1" s="1"/>
  <c r="Q337" i="1"/>
  <c r="S337" i="1" s="1"/>
  <c r="Q338" i="1"/>
  <c r="S338" i="1" s="1"/>
  <c r="Q339" i="1"/>
  <c r="S339" i="1" s="1"/>
  <c r="Q340" i="1"/>
  <c r="S340" i="1" s="1"/>
  <c r="Q341" i="1"/>
  <c r="S341" i="1" s="1"/>
  <c r="Q342" i="1"/>
  <c r="S342" i="1" s="1"/>
  <c r="Q343" i="1"/>
  <c r="S343" i="1" s="1"/>
  <c r="Q344" i="1"/>
  <c r="S344" i="1" s="1"/>
  <c r="Q345" i="1"/>
  <c r="S345" i="1" s="1"/>
  <c r="Q346" i="1"/>
  <c r="S346" i="1" s="1"/>
  <c r="Q347" i="1"/>
  <c r="S347" i="1" s="1"/>
  <c r="Q348" i="1"/>
  <c r="S348" i="1" s="1"/>
  <c r="Q349" i="1"/>
  <c r="S349" i="1" s="1"/>
  <c r="Q350" i="1"/>
  <c r="S350" i="1" s="1"/>
  <c r="Q351" i="1"/>
  <c r="S351" i="1" s="1"/>
  <c r="Q352" i="1"/>
  <c r="S352" i="1" s="1"/>
  <c r="Q353" i="1"/>
  <c r="S353" i="1" s="1"/>
  <c r="Q354" i="1"/>
  <c r="S354" i="1" s="1"/>
  <c r="Q355" i="1"/>
  <c r="S355" i="1" s="1"/>
  <c r="Q356" i="1"/>
  <c r="S356" i="1" s="1"/>
  <c r="Q357" i="1"/>
  <c r="S357" i="1" s="1"/>
  <c r="Q358" i="1"/>
  <c r="S358" i="1" s="1"/>
  <c r="Q359" i="1"/>
  <c r="S359" i="1" s="1"/>
  <c r="Q360" i="1"/>
  <c r="S360" i="1" s="1"/>
  <c r="Q361" i="1"/>
  <c r="S361" i="1" s="1"/>
  <c r="Q362" i="1"/>
  <c r="S362" i="1" s="1"/>
  <c r="Q363" i="1"/>
  <c r="S363" i="1" s="1"/>
  <c r="Q364" i="1"/>
  <c r="S364" i="1" s="1"/>
  <c r="Q365" i="1"/>
  <c r="S365" i="1" s="1"/>
  <c r="Q366" i="1"/>
  <c r="S366" i="1" s="1"/>
  <c r="Q367" i="1"/>
  <c r="S367" i="1" s="1"/>
  <c r="Q368" i="1"/>
  <c r="S368" i="1" s="1"/>
  <c r="Q369" i="1"/>
  <c r="S369" i="1" s="1"/>
  <c r="Q370" i="1"/>
  <c r="S370" i="1" s="1"/>
  <c r="Q371" i="1"/>
  <c r="S371" i="1" s="1"/>
  <c r="Q372" i="1"/>
  <c r="S372" i="1" s="1"/>
  <c r="Q373" i="1"/>
  <c r="S373" i="1" s="1"/>
  <c r="Q374" i="1"/>
  <c r="S374" i="1" s="1"/>
  <c r="Q375" i="1"/>
  <c r="S375" i="1" s="1"/>
  <c r="Q376" i="1"/>
  <c r="S376" i="1" s="1"/>
  <c r="Q377" i="1"/>
  <c r="S377" i="1" s="1"/>
  <c r="Q378" i="1"/>
  <c r="S378" i="1" s="1"/>
  <c r="Q379" i="1"/>
  <c r="S379" i="1" s="1"/>
  <c r="Q380" i="1"/>
  <c r="S380" i="1" s="1"/>
  <c r="Q381" i="1"/>
  <c r="S381" i="1" s="1"/>
  <c r="Q382" i="1"/>
  <c r="S382" i="1" s="1"/>
  <c r="Q383" i="1"/>
  <c r="S383" i="1" s="1"/>
  <c r="Q384" i="1"/>
  <c r="S384" i="1" s="1"/>
  <c r="Q385" i="1"/>
  <c r="S385" i="1" s="1"/>
  <c r="Q386" i="1"/>
  <c r="S386" i="1" s="1"/>
  <c r="Q387" i="1"/>
  <c r="S387" i="1" s="1"/>
  <c r="Q388" i="1"/>
  <c r="S388" i="1" s="1"/>
  <c r="Q389" i="1"/>
  <c r="S389" i="1" s="1"/>
  <c r="Q390" i="1"/>
  <c r="S390" i="1" s="1"/>
  <c r="Q391" i="1"/>
  <c r="S391" i="1" s="1"/>
  <c r="Q392" i="1"/>
  <c r="S392" i="1" s="1"/>
  <c r="Q393" i="1"/>
  <c r="S393" i="1" s="1"/>
  <c r="Q394" i="1"/>
  <c r="S394" i="1" s="1"/>
  <c r="Q395" i="1"/>
  <c r="S395" i="1" s="1"/>
  <c r="Q396" i="1"/>
  <c r="S396" i="1" s="1"/>
  <c r="Q397" i="1"/>
  <c r="S397" i="1" s="1"/>
  <c r="Q398" i="1"/>
  <c r="S398" i="1" s="1"/>
  <c r="Q399" i="1"/>
  <c r="S399" i="1" s="1"/>
  <c r="Q400" i="1"/>
  <c r="S400" i="1" s="1"/>
  <c r="Q401" i="1"/>
  <c r="S401" i="1" s="1"/>
  <c r="Q402" i="1"/>
  <c r="S402" i="1" s="1"/>
  <c r="Q403" i="1"/>
  <c r="S403" i="1" s="1"/>
  <c r="Q404" i="1"/>
  <c r="S404" i="1" s="1"/>
  <c r="Q405" i="1"/>
  <c r="S405" i="1" s="1"/>
  <c r="Q406" i="1"/>
  <c r="S406" i="1" s="1"/>
  <c r="Q407" i="1"/>
  <c r="S407" i="1" s="1"/>
  <c r="Q408" i="1"/>
  <c r="S408" i="1" s="1"/>
  <c r="Q409" i="1"/>
  <c r="S409" i="1" s="1"/>
  <c r="Q410" i="1"/>
  <c r="S410" i="1" s="1"/>
  <c r="Q411" i="1"/>
  <c r="S411" i="1" s="1"/>
  <c r="Q412" i="1"/>
  <c r="S412" i="1" s="1"/>
  <c r="Q413" i="1"/>
  <c r="S413" i="1" s="1"/>
  <c r="Q414" i="1"/>
  <c r="S414" i="1" s="1"/>
  <c r="Q415" i="1"/>
  <c r="S415" i="1" s="1"/>
  <c r="Q416" i="1"/>
  <c r="S416" i="1" s="1"/>
  <c r="Q417" i="1"/>
  <c r="S417" i="1" s="1"/>
  <c r="Q418" i="1"/>
  <c r="S418" i="1" s="1"/>
  <c r="Q419" i="1"/>
  <c r="S419" i="1" s="1"/>
  <c r="Q420" i="1"/>
  <c r="S420" i="1" s="1"/>
  <c r="Q421" i="1"/>
  <c r="S421" i="1" s="1"/>
  <c r="Q422" i="1"/>
  <c r="S422" i="1" s="1"/>
  <c r="Q423" i="1"/>
  <c r="S423" i="1" s="1"/>
  <c r="Q424" i="1"/>
  <c r="S424" i="1" s="1"/>
  <c r="Q425" i="1"/>
  <c r="S425" i="1" s="1"/>
  <c r="Q426" i="1"/>
  <c r="S426" i="1" s="1"/>
  <c r="Q427" i="1"/>
  <c r="S427" i="1" s="1"/>
  <c r="Q428" i="1"/>
  <c r="S428" i="1" s="1"/>
  <c r="Q429" i="1"/>
  <c r="S429" i="1" s="1"/>
  <c r="Q430" i="1"/>
  <c r="S430" i="1" s="1"/>
  <c r="Q431" i="1"/>
  <c r="S431" i="1" s="1"/>
  <c r="Q432" i="1"/>
  <c r="S432" i="1" s="1"/>
  <c r="Q433" i="1"/>
  <c r="S433" i="1" s="1"/>
  <c r="Q434" i="1"/>
  <c r="S434" i="1" s="1"/>
  <c r="Q435" i="1"/>
  <c r="S435" i="1" s="1"/>
  <c r="Q436" i="1"/>
  <c r="S436" i="1" s="1"/>
  <c r="Q437" i="1"/>
  <c r="S437" i="1" s="1"/>
  <c r="Q438" i="1"/>
  <c r="S438" i="1" s="1"/>
  <c r="Q439" i="1"/>
  <c r="S439" i="1" s="1"/>
  <c r="Q440" i="1"/>
  <c r="S440" i="1" s="1"/>
  <c r="Q441" i="1"/>
  <c r="S441" i="1" s="1"/>
  <c r="Q442" i="1"/>
  <c r="S442" i="1" s="1"/>
  <c r="Q443" i="1"/>
  <c r="S443" i="1" s="1"/>
  <c r="Q444" i="1"/>
  <c r="S444" i="1" s="1"/>
  <c r="Q445" i="1"/>
  <c r="S445" i="1" s="1"/>
  <c r="Q446" i="1"/>
  <c r="S446" i="1" s="1"/>
  <c r="Q447" i="1"/>
  <c r="S447" i="1" s="1"/>
  <c r="Q448" i="1"/>
  <c r="S448" i="1" s="1"/>
  <c r="Q449" i="1"/>
  <c r="S449" i="1" s="1"/>
  <c r="Q450" i="1"/>
  <c r="S450" i="1" s="1"/>
  <c r="Q451" i="1"/>
  <c r="S451" i="1" s="1"/>
  <c r="Q452" i="1"/>
  <c r="S452" i="1" s="1"/>
  <c r="Q453" i="1"/>
  <c r="S453" i="1" s="1"/>
  <c r="Q454" i="1"/>
  <c r="S454" i="1" s="1"/>
  <c r="Q455" i="1"/>
  <c r="S455" i="1" s="1"/>
  <c r="Q456" i="1"/>
  <c r="S456" i="1" s="1"/>
  <c r="Q457" i="1"/>
  <c r="S457" i="1" s="1"/>
  <c r="Q458" i="1"/>
  <c r="S458" i="1" s="1"/>
  <c r="Q459" i="1"/>
  <c r="S459" i="1" s="1"/>
  <c r="Q460" i="1"/>
  <c r="S460" i="1" s="1"/>
  <c r="Q461" i="1"/>
  <c r="S461" i="1" s="1"/>
  <c r="Q462" i="1"/>
  <c r="S462" i="1" s="1"/>
  <c r="Q463" i="1"/>
  <c r="S463" i="1" s="1"/>
  <c r="Q464" i="1"/>
  <c r="S464" i="1" s="1"/>
  <c r="Q465" i="1"/>
  <c r="S465" i="1" s="1"/>
  <c r="Q466" i="1"/>
  <c r="S466" i="1" s="1"/>
  <c r="Q467" i="1"/>
  <c r="S467" i="1" s="1"/>
  <c r="Q468" i="1"/>
  <c r="S468" i="1" s="1"/>
  <c r="Q469" i="1"/>
  <c r="S469" i="1" s="1"/>
  <c r="Q470" i="1"/>
  <c r="S470" i="1" s="1"/>
  <c r="Q471" i="1"/>
  <c r="S471" i="1" s="1"/>
  <c r="Q472" i="1"/>
  <c r="S472" i="1" s="1"/>
  <c r="Q473" i="1"/>
  <c r="S473" i="1" s="1"/>
  <c r="Q474" i="1"/>
  <c r="S474" i="1" s="1"/>
  <c r="Q475" i="1"/>
  <c r="S475" i="1" s="1"/>
  <c r="Q476" i="1"/>
  <c r="S476" i="1" s="1"/>
  <c r="Q477" i="1"/>
  <c r="S477" i="1" s="1"/>
  <c r="Q478" i="1"/>
  <c r="S478" i="1" s="1"/>
  <c r="Q479" i="1"/>
  <c r="S479" i="1" s="1"/>
  <c r="Q480" i="1"/>
  <c r="S480" i="1" s="1"/>
  <c r="Q481" i="1"/>
  <c r="S481" i="1" s="1"/>
  <c r="Q482" i="1"/>
  <c r="S482" i="1" s="1"/>
  <c r="Q483" i="1"/>
  <c r="S483" i="1" s="1"/>
  <c r="Q484" i="1"/>
  <c r="S484" i="1" s="1"/>
  <c r="Q485" i="1"/>
  <c r="S485" i="1" s="1"/>
  <c r="Q486" i="1"/>
  <c r="S486" i="1" s="1"/>
  <c r="Q487" i="1"/>
  <c r="S487" i="1" s="1"/>
  <c r="Q488" i="1"/>
  <c r="S488" i="1" s="1"/>
  <c r="Q489" i="1"/>
  <c r="S489" i="1" s="1"/>
  <c r="Q490" i="1"/>
  <c r="S490" i="1" s="1"/>
  <c r="Q491" i="1"/>
  <c r="S491" i="1" s="1"/>
  <c r="Q492" i="1"/>
  <c r="S492" i="1" s="1"/>
  <c r="Q493" i="1"/>
  <c r="S493" i="1" s="1"/>
  <c r="Q494" i="1"/>
  <c r="S494" i="1" s="1"/>
  <c r="Q495" i="1"/>
  <c r="S495" i="1" s="1"/>
  <c r="Q496" i="1"/>
  <c r="S496" i="1" s="1"/>
  <c r="Q497" i="1"/>
  <c r="S497" i="1" s="1"/>
  <c r="Q498" i="1"/>
  <c r="S498" i="1" s="1"/>
  <c r="Q499" i="1"/>
  <c r="S499" i="1" s="1"/>
  <c r="Q500" i="1"/>
  <c r="S500" i="1" s="1"/>
  <c r="Q501" i="1"/>
  <c r="S501" i="1" s="1"/>
  <c r="Q502" i="1"/>
  <c r="S502" i="1" s="1"/>
  <c r="Q503" i="1"/>
  <c r="S503" i="1" s="1"/>
  <c r="Q504" i="1"/>
  <c r="S504" i="1" s="1"/>
  <c r="Q505" i="1"/>
  <c r="S505" i="1" s="1"/>
  <c r="Q506" i="1"/>
  <c r="S506" i="1" s="1"/>
  <c r="Q507" i="1"/>
  <c r="S507" i="1" s="1"/>
  <c r="Q508" i="1"/>
  <c r="S508" i="1" s="1"/>
  <c r="Q509" i="1"/>
  <c r="S509" i="1" s="1"/>
  <c r="Q510" i="1"/>
  <c r="S510" i="1" s="1"/>
  <c r="Q511" i="1"/>
  <c r="S511" i="1" s="1"/>
  <c r="Q512" i="1"/>
  <c r="S512" i="1" s="1"/>
  <c r="Q513" i="1"/>
  <c r="S513" i="1" s="1"/>
  <c r="Q514" i="1"/>
  <c r="S514" i="1" s="1"/>
  <c r="Q515" i="1"/>
  <c r="S515" i="1" s="1"/>
  <c r="Q516" i="1"/>
  <c r="S516" i="1" s="1"/>
  <c r="Q517" i="1"/>
  <c r="S517" i="1" s="1"/>
  <c r="Q518" i="1"/>
  <c r="S518" i="1" s="1"/>
  <c r="Q519" i="1"/>
  <c r="S519" i="1" s="1"/>
  <c r="Q520" i="1"/>
  <c r="S520" i="1" s="1"/>
  <c r="Q521" i="1"/>
  <c r="S521" i="1" s="1"/>
  <c r="Q522" i="1"/>
  <c r="S522" i="1" s="1"/>
  <c r="Q523" i="1"/>
  <c r="S523" i="1" s="1"/>
  <c r="Q524" i="1"/>
  <c r="S524" i="1" s="1"/>
  <c r="Q525" i="1"/>
  <c r="S525" i="1" s="1"/>
  <c r="Q526" i="1"/>
  <c r="S526" i="1" s="1"/>
  <c r="Q527" i="1"/>
  <c r="S527" i="1" s="1"/>
  <c r="Q528" i="1"/>
  <c r="S528" i="1" s="1"/>
  <c r="Q529" i="1"/>
  <c r="S529" i="1" s="1"/>
  <c r="Q530" i="1"/>
  <c r="S530" i="1" s="1"/>
  <c r="Q531" i="1"/>
  <c r="S531" i="1" s="1"/>
  <c r="Q532" i="1"/>
  <c r="S532" i="1" s="1"/>
  <c r="Q533" i="1"/>
  <c r="S533" i="1" s="1"/>
  <c r="Q534" i="1"/>
  <c r="S534" i="1" s="1"/>
  <c r="Q535" i="1"/>
  <c r="S535" i="1" s="1"/>
  <c r="Q536" i="1"/>
  <c r="S536" i="1" s="1"/>
  <c r="Q537" i="1"/>
  <c r="S537" i="1" s="1"/>
  <c r="Q538" i="1"/>
  <c r="S538" i="1" s="1"/>
  <c r="Q539" i="1"/>
  <c r="S539" i="1" s="1"/>
  <c r="Q540" i="1"/>
  <c r="S540" i="1" s="1"/>
  <c r="Q541" i="1"/>
  <c r="S541" i="1" s="1"/>
  <c r="Q542" i="1"/>
  <c r="S542" i="1" s="1"/>
  <c r="Q543" i="1"/>
  <c r="S543" i="1" s="1"/>
  <c r="Q544" i="1"/>
  <c r="S544" i="1" s="1"/>
  <c r="Q545" i="1"/>
  <c r="S545" i="1" s="1"/>
  <c r="Q546" i="1"/>
  <c r="S546" i="1" s="1"/>
  <c r="Q547" i="1"/>
  <c r="S547" i="1" s="1"/>
  <c r="Q548" i="1"/>
  <c r="S548" i="1" s="1"/>
  <c r="Q549" i="1"/>
  <c r="S549" i="1" s="1"/>
  <c r="Q550" i="1"/>
  <c r="S550" i="1" s="1"/>
  <c r="Q551" i="1"/>
  <c r="S551" i="1" s="1"/>
  <c r="Q552" i="1"/>
  <c r="S552" i="1" s="1"/>
  <c r="Q553" i="1"/>
  <c r="S553" i="1" s="1"/>
  <c r="Q554" i="1"/>
  <c r="S554" i="1" s="1"/>
  <c r="Q555" i="1"/>
  <c r="S555" i="1" s="1"/>
  <c r="Q556" i="1"/>
  <c r="S556" i="1" s="1"/>
  <c r="Q557" i="1"/>
  <c r="S557" i="1" s="1"/>
  <c r="Q558" i="1"/>
  <c r="S558" i="1" s="1"/>
  <c r="Q559" i="1"/>
  <c r="S559" i="1" s="1"/>
  <c r="Q560" i="1"/>
  <c r="S560" i="1" s="1"/>
  <c r="Q561" i="1"/>
  <c r="S561" i="1" s="1"/>
  <c r="Q562" i="1"/>
  <c r="S562" i="1" s="1"/>
  <c r="Q563" i="1"/>
  <c r="S563" i="1" s="1"/>
  <c r="Q564" i="1"/>
  <c r="S564" i="1" s="1"/>
  <c r="Q565" i="1"/>
  <c r="S565" i="1" s="1"/>
  <c r="Q566" i="1"/>
  <c r="S566" i="1" s="1"/>
  <c r="Q567" i="1"/>
  <c r="S567" i="1" s="1"/>
  <c r="Q568" i="1"/>
  <c r="S568" i="1" s="1"/>
  <c r="Q569" i="1"/>
  <c r="S569" i="1" s="1"/>
  <c r="Q570" i="1"/>
  <c r="S570" i="1" s="1"/>
  <c r="Q571" i="1"/>
  <c r="S571" i="1" s="1"/>
  <c r="Q572" i="1"/>
  <c r="S572" i="1" s="1"/>
  <c r="Q573" i="1"/>
  <c r="S573" i="1" s="1"/>
  <c r="Q574" i="1"/>
  <c r="S574" i="1" s="1"/>
  <c r="Q575" i="1"/>
  <c r="S575" i="1" s="1"/>
  <c r="Q576" i="1"/>
  <c r="S576" i="1" s="1"/>
  <c r="Q577" i="1"/>
  <c r="S577" i="1" s="1"/>
  <c r="Q578" i="1"/>
  <c r="S578" i="1" s="1"/>
  <c r="Q579" i="1"/>
  <c r="S579" i="1" s="1"/>
  <c r="Q580" i="1"/>
  <c r="S580" i="1" s="1"/>
  <c r="Q581" i="1"/>
  <c r="S581" i="1" s="1"/>
  <c r="Q582" i="1"/>
  <c r="S582" i="1" s="1"/>
  <c r="Q583" i="1"/>
  <c r="S583" i="1" s="1"/>
  <c r="Q584" i="1"/>
  <c r="S584" i="1" s="1"/>
  <c r="Q585" i="1"/>
  <c r="S585" i="1" s="1"/>
  <c r="Q586" i="1"/>
  <c r="S586" i="1" s="1"/>
  <c r="Q587" i="1"/>
  <c r="S587" i="1" s="1"/>
  <c r="Q588" i="1"/>
  <c r="S588" i="1" s="1"/>
  <c r="Q589" i="1"/>
  <c r="S589" i="1" s="1"/>
  <c r="Q590" i="1"/>
  <c r="S590" i="1" s="1"/>
  <c r="Q591" i="1"/>
  <c r="S591" i="1" s="1"/>
  <c r="Q592" i="1"/>
  <c r="S592" i="1" s="1"/>
  <c r="Q593" i="1"/>
  <c r="S593" i="1" s="1"/>
  <c r="Q594" i="1"/>
  <c r="S594" i="1" s="1"/>
  <c r="Q595" i="1"/>
  <c r="S595" i="1" s="1"/>
  <c r="Q596" i="1"/>
  <c r="S596" i="1" s="1"/>
  <c r="Q597" i="1"/>
  <c r="S597" i="1" s="1"/>
  <c r="Q598" i="1"/>
  <c r="S598" i="1" s="1"/>
  <c r="Q599" i="1"/>
  <c r="S599" i="1" s="1"/>
  <c r="Q600" i="1"/>
  <c r="S600" i="1" s="1"/>
  <c r="Q601" i="1"/>
  <c r="S601" i="1" s="1"/>
  <c r="Q602" i="1"/>
  <c r="S602" i="1" s="1"/>
  <c r="Q603" i="1"/>
  <c r="S603" i="1" s="1"/>
  <c r="Q604" i="1"/>
  <c r="S604" i="1" s="1"/>
  <c r="Q605" i="1"/>
  <c r="S605" i="1" s="1"/>
  <c r="Q606" i="1"/>
  <c r="S606" i="1" s="1"/>
  <c r="Q607" i="1"/>
  <c r="S607" i="1" s="1"/>
  <c r="Q608" i="1"/>
  <c r="S608" i="1" s="1"/>
  <c r="Q609" i="1"/>
  <c r="S609" i="1" s="1"/>
  <c r="Q610" i="1"/>
  <c r="S610" i="1" s="1"/>
  <c r="Q611" i="1"/>
  <c r="S611" i="1" s="1"/>
  <c r="Q612" i="1"/>
  <c r="S612" i="1" s="1"/>
  <c r="Q613" i="1"/>
  <c r="S613" i="1" s="1"/>
  <c r="Q614" i="1"/>
  <c r="S614" i="1" s="1"/>
  <c r="Q615" i="1"/>
  <c r="S615" i="1" s="1"/>
  <c r="Q616" i="1"/>
  <c r="S616" i="1" s="1"/>
  <c r="Q617" i="1"/>
  <c r="S617" i="1" s="1"/>
  <c r="Q618" i="1"/>
  <c r="S618" i="1" s="1"/>
  <c r="Q619" i="1"/>
  <c r="S619" i="1" s="1"/>
  <c r="Q620" i="1"/>
  <c r="S620" i="1" s="1"/>
  <c r="Q621" i="1"/>
  <c r="S621" i="1" s="1"/>
  <c r="Q622" i="1"/>
  <c r="S622" i="1" s="1"/>
  <c r="Q623" i="1"/>
  <c r="S623" i="1" s="1"/>
  <c r="Q624" i="1"/>
  <c r="S624" i="1" s="1"/>
  <c r="Q625" i="1"/>
  <c r="S625" i="1" s="1"/>
  <c r="Q626" i="1"/>
  <c r="S626" i="1" s="1"/>
  <c r="Q627" i="1"/>
  <c r="S627" i="1" s="1"/>
  <c r="Q628" i="1"/>
  <c r="S628" i="1" s="1"/>
  <c r="Q629" i="1"/>
  <c r="S629" i="1" s="1"/>
  <c r="Q630" i="1"/>
  <c r="S630" i="1" s="1"/>
  <c r="Q631" i="1"/>
  <c r="S631" i="1" s="1"/>
  <c r="Q632" i="1"/>
  <c r="S632" i="1" s="1"/>
  <c r="Q633" i="1"/>
  <c r="S633" i="1" s="1"/>
  <c r="Q634" i="1"/>
  <c r="S634" i="1" s="1"/>
  <c r="Q635" i="1"/>
  <c r="S635" i="1" s="1"/>
  <c r="Q636" i="1"/>
  <c r="S636" i="1" s="1"/>
  <c r="Q637" i="1"/>
  <c r="S637" i="1" s="1"/>
  <c r="Q638" i="1"/>
  <c r="S638" i="1" s="1"/>
  <c r="Q639" i="1"/>
  <c r="S639" i="1" s="1"/>
  <c r="Q640" i="1"/>
  <c r="S640" i="1" s="1"/>
  <c r="Q641" i="1"/>
  <c r="S641" i="1" s="1"/>
  <c r="Q642" i="1"/>
  <c r="S642" i="1" s="1"/>
  <c r="Q643" i="1"/>
  <c r="S643" i="1" s="1"/>
  <c r="Q644" i="1"/>
  <c r="S644" i="1" s="1"/>
  <c r="Q645" i="1"/>
  <c r="S645" i="1" s="1"/>
  <c r="Q646" i="1"/>
  <c r="S646" i="1" s="1"/>
  <c r="Q647" i="1"/>
  <c r="S647" i="1" s="1"/>
  <c r="Q648" i="1"/>
  <c r="S648" i="1" s="1"/>
  <c r="Q649" i="1"/>
  <c r="S649" i="1" s="1"/>
  <c r="Q650" i="1"/>
  <c r="S650" i="1" s="1"/>
  <c r="Q651" i="1"/>
  <c r="S651" i="1" s="1"/>
  <c r="Q652" i="1"/>
  <c r="S652" i="1" s="1"/>
  <c r="Q653" i="1"/>
  <c r="S653" i="1" s="1"/>
  <c r="Q654" i="1"/>
  <c r="S654" i="1" s="1"/>
  <c r="Q655" i="1"/>
  <c r="S655" i="1" s="1"/>
  <c r="Q656" i="1"/>
  <c r="S656" i="1" s="1"/>
  <c r="Q657" i="1"/>
  <c r="S657" i="1" s="1"/>
  <c r="Q658" i="1"/>
  <c r="S658" i="1" s="1"/>
  <c r="Q659" i="1"/>
  <c r="S659" i="1" s="1"/>
  <c r="Q660" i="1"/>
  <c r="S660" i="1" s="1"/>
  <c r="Q661" i="1"/>
  <c r="S661" i="1" s="1"/>
  <c r="Q662" i="1"/>
  <c r="S662" i="1" s="1"/>
  <c r="Q663" i="1"/>
  <c r="S663" i="1" s="1"/>
  <c r="Q664" i="1"/>
  <c r="S664" i="1" s="1"/>
  <c r="Q665" i="1"/>
  <c r="S665" i="1" s="1"/>
  <c r="Q666" i="1"/>
  <c r="S666" i="1" s="1"/>
  <c r="Q667" i="1"/>
  <c r="S667" i="1" s="1"/>
  <c r="Q668" i="1"/>
  <c r="S668" i="1" s="1"/>
  <c r="Q669" i="1"/>
  <c r="S669" i="1" s="1"/>
  <c r="Q670" i="1"/>
  <c r="S670" i="1" s="1"/>
  <c r="Q671" i="1"/>
  <c r="S671" i="1" s="1"/>
  <c r="Q672" i="1"/>
  <c r="S672" i="1" s="1"/>
  <c r="Q673" i="1"/>
  <c r="S673" i="1" s="1"/>
  <c r="Q674" i="1"/>
  <c r="S674" i="1" s="1"/>
  <c r="Q675" i="1"/>
  <c r="S675" i="1" s="1"/>
  <c r="Q676" i="1"/>
  <c r="S676" i="1" s="1"/>
  <c r="Q677" i="1"/>
  <c r="S677" i="1" s="1"/>
  <c r="Q678" i="1"/>
  <c r="S678" i="1" s="1"/>
  <c r="Q679" i="1"/>
  <c r="S679" i="1" s="1"/>
  <c r="Q680" i="1"/>
  <c r="S680" i="1" s="1"/>
  <c r="Q681" i="1"/>
  <c r="S681" i="1" s="1"/>
  <c r="Q682" i="1"/>
  <c r="S682" i="1" s="1"/>
  <c r="Q683" i="1"/>
  <c r="S683" i="1" s="1"/>
  <c r="Q684" i="1"/>
  <c r="S684" i="1" s="1"/>
  <c r="Q685" i="1"/>
  <c r="S685" i="1" s="1"/>
  <c r="Q686" i="1"/>
  <c r="S686" i="1" s="1"/>
  <c r="Q687" i="1"/>
  <c r="S687" i="1" s="1"/>
  <c r="Q688" i="1"/>
  <c r="S688" i="1" s="1"/>
  <c r="Q689" i="1"/>
  <c r="S689" i="1" s="1"/>
  <c r="Q690" i="1"/>
  <c r="S690" i="1" s="1"/>
  <c r="Q691" i="1"/>
  <c r="S691" i="1" s="1"/>
  <c r="Q692" i="1"/>
  <c r="S692" i="1" s="1"/>
  <c r="Q693" i="1"/>
  <c r="S693" i="1" s="1"/>
  <c r="Q694" i="1"/>
  <c r="S694" i="1" s="1"/>
  <c r="Q695" i="1"/>
  <c r="S695" i="1" s="1"/>
  <c r="Q696" i="1"/>
  <c r="S696" i="1" s="1"/>
  <c r="Q697" i="1"/>
  <c r="S697" i="1" s="1"/>
  <c r="Q698" i="1"/>
  <c r="S698" i="1" s="1"/>
  <c r="Q699" i="1"/>
  <c r="S699" i="1" s="1"/>
  <c r="Q700" i="1"/>
  <c r="S700" i="1" s="1"/>
  <c r="Q701" i="1"/>
  <c r="S701" i="1" s="1"/>
  <c r="Q702" i="1"/>
  <c r="S702" i="1" s="1"/>
  <c r="Q703" i="1"/>
  <c r="S703" i="1" s="1"/>
  <c r="Q704" i="1"/>
  <c r="S704" i="1" s="1"/>
  <c r="Q705" i="1"/>
  <c r="S705" i="1" s="1"/>
  <c r="Q706" i="1"/>
  <c r="S706" i="1" s="1"/>
  <c r="Q707" i="1"/>
  <c r="S707" i="1" s="1"/>
  <c r="Q708" i="1"/>
  <c r="S708" i="1" s="1"/>
  <c r="Q709" i="1"/>
  <c r="S709" i="1" s="1"/>
  <c r="Q710" i="1"/>
  <c r="S710" i="1" s="1"/>
  <c r="Q711" i="1"/>
  <c r="S711" i="1" s="1"/>
  <c r="Q712" i="1"/>
  <c r="S712" i="1" s="1"/>
  <c r="Q713" i="1"/>
  <c r="S713" i="1" s="1"/>
  <c r="Q714" i="1"/>
  <c r="S714" i="1" s="1"/>
  <c r="Q715" i="1"/>
  <c r="S715" i="1" s="1"/>
  <c r="Q716" i="1"/>
  <c r="S716" i="1" s="1"/>
  <c r="Q717" i="1"/>
  <c r="S717" i="1" s="1"/>
  <c r="Q718" i="1"/>
  <c r="S718" i="1" s="1"/>
  <c r="Q719" i="1"/>
  <c r="S719" i="1" s="1"/>
  <c r="Q720" i="1"/>
  <c r="S720" i="1" s="1"/>
  <c r="Q721" i="1"/>
  <c r="S721" i="1" s="1"/>
  <c r="Q722" i="1"/>
  <c r="S722" i="1" s="1"/>
  <c r="Q723" i="1"/>
  <c r="S723" i="1" s="1"/>
  <c r="Q724" i="1"/>
  <c r="S724" i="1" s="1"/>
  <c r="Q725" i="1"/>
  <c r="S725" i="1" s="1"/>
  <c r="Q726" i="1"/>
  <c r="S726" i="1" s="1"/>
  <c r="Q727" i="1"/>
  <c r="S727" i="1" s="1"/>
  <c r="Q728" i="1"/>
  <c r="S728" i="1" s="1"/>
  <c r="Q729" i="1"/>
  <c r="S729" i="1" s="1"/>
  <c r="Q730" i="1"/>
  <c r="S730" i="1" s="1"/>
  <c r="Q731" i="1"/>
  <c r="S731" i="1" s="1"/>
  <c r="Q732" i="1"/>
  <c r="S732" i="1" s="1"/>
  <c r="Q733" i="1"/>
  <c r="S733" i="1" s="1"/>
  <c r="Q734" i="1"/>
  <c r="S734" i="1" s="1"/>
  <c r="Q735" i="1"/>
  <c r="S735" i="1" s="1"/>
  <c r="Q736" i="1"/>
  <c r="S736" i="1" s="1"/>
  <c r="Q737" i="1"/>
  <c r="S737" i="1" s="1"/>
  <c r="Q738" i="1"/>
  <c r="S738" i="1" s="1"/>
  <c r="Q739" i="1"/>
  <c r="S739" i="1" s="1"/>
  <c r="Q740" i="1"/>
  <c r="S740" i="1" s="1"/>
  <c r="Q741" i="1"/>
  <c r="S741" i="1" s="1"/>
  <c r="Q742" i="1"/>
  <c r="S742" i="1" s="1"/>
  <c r="Q743" i="1"/>
  <c r="S743" i="1" s="1"/>
  <c r="Q744" i="1"/>
  <c r="S744" i="1" s="1"/>
  <c r="Q745" i="1"/>
  <c r="S745" i="1" s="1"/>
  <c r="Q746" i="1"/>
  <c r="S746" i="1" s="1"/>
  <c r="Q747" i="1"/>
  <c r="S747" i="1" s="1"/>
  <c r="Q748" i="1"/>
  <c r="S748" i="1" s="1"/>
  <c r="Q749" i="1"/>
  <c r="S749" i="1" s="1"/>
  <c r="Q750" i="1"/>
  <c r="S750" i="1" s="1"/>
  <c r="Q751" i="1"/>
  <c r="S751" i="1" s="1"/>
  <c r="Q752" i="1"/>
  <c r="S752" i="1" s="1"/>
  <c r="Q753" i="1"/>
  <c r="S753" i="1" s="1"/>
  <c r="Q754" i="1"/>
  <c r="S754" i="1" s="1"/>
  <c r="Q755" i="1"/>
  <c r="S755" i="1" s="1"/>
  <c r="Q756" i="1"/>
  <c r="S756" i="1" s="1"/>
  <c r="Q757" i="1"/>
  <c r="S757" i="1" s="1"/>
  <c r="Q758" i="1"/>
  <c r="S758" i="1" s="1"/>
  <c r="Q759" i="1"/>
  <c r="S759" i="1" s="1"/>
  <c r="Q760" i="1"/>
  <c r="S760" i="1" s="1"/>
  <c r="Q761" i="1"/>
  <c r="S761" i="1" s="1"/>
  <c r="Q762" i="1"/>
  <c r="S762" i="1" s="1"/>
  <c r="Q763" i="1"/>
  <c r="S763" i="1" s="1"/>
  <c r="Q764" i="1"/>
  <c r="S764" i="1" s="1"/>
  <c r="Q765" i="1"/>
  <c r="S765" i="1" s="1"/>
  <c r="Q766" i="1"/>
  <c r="S766" i="1" s="1"/>
  <c r="Q767" i="1"/>
  <c r="S767" i="1" s="1"/>
  <c r="Q768" i="1"/>
  <c r="S768" i="1" s="1"/>
  <c r="Q769" i="1"/>
  <c r="S769" i="1" s="1"/>
  <c r="Q770" i="1"/>
  <c r="S770" i="1" s="1"/>
  <c r="Q771" i="1"/>
  <c r="S771" i="1" s="1"/>
  <c r="Q772" i="1"/>
  <c r="S772" i="1" s="1"/>
  <c r="Q773" i="1"/>
  <c r="S773" i="1" s="1"/>
  <c r="Q774" i="1"/>
  <c r="S774" i="1" s="1"/>
  <c r="Q775" i="1"/>
  <c r="S775" i="1" s="1"/>
  <c r="Q776" i="1"/>
  <c r="S776" i="1" s="1"/>
  <c r="Q777" i="1"/>
  <c r="S777" i="1" s="1"/>
  <c r="Q778" i="1"/>
  <c r="S778" i="1" s="1"/>
  <c r="Q779" i="1"/>
  <c r="S779" i="1" s="1"/>
  <c r="Q780" i="1"/>
  <c r="S780" i="1" s="1"/>
  <c r="Q781" i="1"/>
  <c r="S781" i="1" s="1"/>
  <c r="Q782" i="1"/>
  <c r="S782" i="1" s="1"/>
  <c r="Q783" i="1"/>
  <c r="S783" i="1" s="1"/>
  <c r="Q784" i="1"/>
  <c r="S784" i="1" s="1"/>
  <c r="Q785" i="1"/>
  <c r="S785" i="1" s="1"/>
  <c r="Q786" i="1"/>
  <c r="S786" i="1" s="1"/>
  <c r="Q787" i="1"/>
  <c r="S787" i="1" s="1"/>
  <c r="Q788" i="1"/>
  <c r="S788" i="1" s="1"/>
  <c r="Q789" i="1"/>
  <c r="S789" i="1" s="1"/>
  <c r="Q790" i="1"/>
  <c r="S790" i="1" s="1"/>
  <c r="Q791" i="1"/>
  <c r="S791" i="1" s="1"/>
  <c r="Q792" i="1"/>
  <c r="S792" i="1" s="1"/>
  <c r="Q793" i="1"/>
  <c r="S793" i="1" s="1"/>
  <c r="Q794" i="1"/>
  <c r="S794" i="1" s="1"/>
  <c r="Q795" i="1"/>
  <c r="S795" i="1" s="1"/>
  <c r="Q796" i="1"/>
  <c r="S796" i="1" s="1"/>
  <c r="Q797" i="1"/>
  <c r="S797" i="1" s="1"/>
  <c r="Q798" i="1"/>
  <c r="S798" i="1" s="1"/>
  <c r="Q799" i="1"/>
  <c r="S799" i="1" s="1"/>
  <c r="Q800" i="1"/>
  <c r="S800" i="1" s="1"/>
  <c r="Q801" i="1"/>
  <c r="S801" i="1" s="1"/>
  <c r="Q802" i="1"/>
  <c r="S802" i="1" s="1"/>
  <c r="Q803" i="1"/>
  <c r="S803" i="1" s="1"/>
  <c r="Q804" i="1"/>
  <c r="S804" i="1" s="1"/>
  <c r="Q805" i="1"/>
  <c r="S805" i="1" s="1"/>
  <c r="Q806" i="1"/>
  <c r="S806" i="1" s="1"/>
  <c r="Q807" i="1"/>
  <c r="S807" i="1" s="1"/>
  <c r="Q808" i="1"/>
  <c r="S808" i="1" s="1"/>
  <c r="Q809" i="1"/>
  <c r="S809" i="1" s="1"/>
  <c r="Q810" i="1"/>
  <c r="S810" i="1" s="1"/>
  <c r="Q811" i="1"/>
  <c r="S811" i="1" s="1"/>
  <c r="Q812" i="1"/>
  <c r="S812" i="1" s="1"/>
  <c r="Q813" i="1"/>
  <c r="S813" i="1" s="1"/>
  <c r="Q814" i="1"/>
  <c r="S814" i="1" s="1"/>
  <c r="Q815" i="1"/>
  <c r="S815" i="1" s="1"/>
  <c r="Q816" i="1"/>
  <c r="S816" i="1" s="1"/>
  <c r="Q817" i="1"/>
  <c r="S817" i="1" s="1"/>
  <c r="Q818" i="1"/>
  <c r="S818" i="1" s="1"/>
  <c r="Q819" i="1"/>
  <c r="S819" i="1" s="1"/>
  <c r="Q820" i="1"/>
  <c r="S820" i="1" s="1"/>
  <c r="Q821" i="1"/>
  <c r="S821" i="1" s="1"/>
  <c r="Q822" i="1"/>
  <c r="S822" i="1" s="1"/>
  <c r="Q823" i="1"/>
  <c r="S823" i="1" s="1"/>
  <c r="Q824" i="1"/>
  <c r="S824" i="1" s="1"/>
  <c r="Q825" i="1"/>
  <c r="S825" i="1" s="1"/>
  <c r="Q826" i="1"/>
  <c r="S826" i="1" s="1"/>
  <c r="Q827" i="1"/>
  <c r="S827" i="1" s="1"/>
  <c r="Q828" i="1"/>
  <c r="S828" i="1" s="1"/>
  <c r="Q829" i="1"/>
  <c r="S829" i="1" s="1"/>
  <c r="Q830" i="1"/>
  <c r="S830" i="1" s="1"/>
  <c r="Q831" i="1"/>
  <c r="S831" i="1" s="1"/>
  <c r="Q832" i="1"/>
  <c r="S832" i="1" s="1"/>
  <c r="Q833" i="1"/>
  <c r="S833" i="1" s="1"/>
  <c r="Q834" i="1"/>
  <c r="S834" i="1" s="1"/>
  <c r="Q835" i="1"/>
  <c r="S835" i="1" s="1"/>
  <c r="Q836" i="1"/>
  <c r="S836" i="1" s="1"/>
  <c r="Q837" i="1"/>
  <c r="S837" i="1" s="1"/>
  <c r="Q838" i="1"/>
  <c r="S838" i="1" s="1"/>
  <c r="Q839" i="1"/>
  <c r="S839" i="1" s="1"/>
  <c r="Q840" i="1"/>
  <c r="S840" i="1" s="1"/>
  <c r="Q841" i="1"/>
  <c r="S841" i="1" s="1"/>
  <c r="Q842" i="1"/>
  <c r="S842" i="1" s="1"/>
  <c r="Q843" i="1"/>
  <c r="S843" i="1" s="1"/>
  <c r="Q844" i="1"/>
  <c r="S844" i="1" s="1"/>
  <c r="Q845" i="1"/>
  <c r="S845" i="1" s="1"/>
  <c r="Q846" i="1"/>
  <c r="S846" i="1" s="1"/>
  <c r="Q847" i="1"/>
  <c r="S847" i="1" s="1"/>
  <c r="Q848" i="1"/>
  <c r="S848" i="1" s="1"/>
  <c r="Q849" i="1"/>
  <c r="S849" i="1" s="1"/>
  <c r="Q850" i="1"/>
  <c r="S850" i="1" s="1"/>
  <c r="Q851" i="1"/>
  <c r="S851" i="1" s="1"/>
  <c r="Q852" i="1"/>
  <c r="S852" i="1" s="1"/>
  <c r="Q853" i="1"/>
  <c r="S853" i="1" s="1"/>
  <c r="Q854" i="1"/>
  <c r="S854" i="1" s="1"/>
  <c r="Q855" i="1"/>
  <c r="S855" i="1" s="1"/>
  <c r="Q856" i="1"/>
  <c r="S856" i="1" s="1"/>
  <c r="Q857" i="1"/>
  <c r="S857" i="1" s="1"/>
  <c r="Q858" i="1"/>
  <c r="S858" i="1" s="1"/>
  <c r="Q859" i="1"/>
  <c r="S859" i="1" s="1"/>
  <c r="Q860" i="1"/>
  <c r="S860" i="1" s="1"/>
  <c r="Q861" i="1"/>
  <c r="S861" i="1" s="1"/>
  <c r="Q862" i="1"/>
  <c r="S862" i="1" s="1"/>
  <c r="Q863" i="1"/>
  <c r="S863" i="1" s="1"/>
  <c r="Q864" i="1"/>
  <c r="S864" i="1" s="1"/>
  <c r="Q865" i="1"/>
  <c r="S865" i="1" s="1"/>
  <c r="Q866" i="1"/>
  <c r="S866" i="1" s="1"/>
  <c r="Q867" i="1"/>
  <c r="S867" i="1" s="1"/>
  <c r="Q868" i="1"/>
  <c r="S868" i="1" s="1"/>
  <c r="Q869" i="1"/>
  <c r="S869" i="1" s="1"/>
  <c r="Q870" i="1"/>
  <c r="S870" i="1" s="1"/>
  <c r="Q871" i="1"/>
  <c r="S871" i="1" s="1"/>
  <c r="Q872" i="1"/>
  <c r="S872" i="1" s="1"/>
  <c r="Q873" i="1"/>
  <c r="S873" i="1" s="1"/>
  <c r="Q874" i="1"/>
  <c r="S874" i="1" s="1"/>
  <c r="Q875" i="1"/>
  <c r="S875" i="1" s="1"/>
  <c r="Q876" i="1"/>
  <c r="S876" i="1" s="1"/>
  <c r="Q877" i="1"/>
  <c r="S877" i="1" s="1"/>
  <c r="Q878" i="1"/>
  <c r="S878" i="1" s="1"/>
  <c r="Q879" i="1"/>
  <c r="S879" i="1" s="1"/>
  <c r="Q880" i="1"/>
  <c r="S880" i="1" s="1"/>
  <c r="Q881" i="1"/>
  <c r="S881" i="1" s="1"/>
  <c r="Q882" i="1"/>
  <c r="S882" i="1" s="1"/>
  <c r="Q883" i="1"/>
  <c r="S883" i="1" s="1"/>
  <c r="Q884" i="1"/>
  <c r="S884" i="1" s="1"/>
  <c r="Q885" i="1"/>
  <c r="S885" i="1" s="1"/>
  <c r="Q886" i="1"/>
  <c r="S886" i="1" s="1"/>
  <c r="Q887" i="1"/>
  <c r="S887" i="1" s="1"/>
  <c r="Q888" i="1"/>
  <c r="S888" i="1" s="1"/>
  <c r="Q889" i="1"/>
  <c r="S889" i="1" s="1"/>
  <c r="Q890" i="1"/>
  <c r="S890" i="1" s="1"/>
  <c r="Q891" i="1"/>
  <c r="S891" i="1" s="1"/>
  <c r="Q892" i="1"/>
  <c r="S892" i="1" s="1"/>
  <c r="Q893" i="1"/>
  <c r="S893" i="1" s="1"/>
  <c r="Q894" i="1"/>
  <c r="S894" i="1" s="1"/>
  <c r="Q895" i="1"/>
  <c r="S895" i="1" s="1"/>
  <c r="Q896" i="1"/>
  <c r="S896" i="1" s="1"/>
  <c r="Q897" i="1"/>
  <c r="S897" i="1" s="1"/>
  <c r="Q898" i="1"/>
  <c r="S898" i="1" s="1"/>
  <c r="Q899" i="1"/>
  <c r="S899" i="1" s="1"/>
  <c r="Q900" i="1"/>
  <c r="S900" i="1" s="1"/>
  <c r="Q901" i="1"/>
  <c r="S901" i="1" s="1"/>
  <c r="Q902" i="1"/>
  <c r="S902" i="1" s="1"/>
  <c r="Q903" i="1"/>
  <c r="S903" i="1" s="1"/>
  <c r="Q904" i="1"/>
  <c r="S904" i="1" s="1"/>
  <c r="Q905" i="1"/>
  <c r="S905" i="1" s="1"/>
  <c r="Q906" i="1"/>
  <c r="S906" i="1" s="1"/>
  <c r="Q907" i="1"/>
  <c r="S907" i="1" s="1"/>
  <c r="Q908" i="1"/>
  <c r="S908" i="1" s="1"/>
  <c r="Q909" i="1"/>
  <c r="S909" i="1" s="1"/>
  <c r="Q910" i="1"/>
  <c r="S910" i="1" s="1"/>
  <c r="Q911" i="1"/>
  <c r="S911" i="1" s="1"/>
  <c r="Q912" i="1"/>
  <c r="S912" i="1" s="1"/>
  <c r="Q913" i="1"/>
  <c r="S913" i="1" s="1"/>
  <c r="Q914" i="1"/>
  <c r="S914" i="1" s="1"/>
  <c r="Q915" i="1"/>
  <c r="S915" i="1" s="1"/>
  <c r="Q916" i="1"/>
  <c r="S916" i="1" s="1"/>
  <c r="Q917" i="1"/>
  <c r="S917" i="1" s="1"/>
  <c r="Q918" i="1"/>
  <c r="S918" i="1" s="1"/>
  <c r="Q919" i="1"/>
  <c r="S919" i="1" s="1"/>
  <c r="Q920" i="1"/>
  <c r="S920" i="1" s="1"/>
  <c r="Q921" i="1"/>
  <c r="S921" i="1" s="1"/>
  <c r="Q922" i="1"/>
  <c r="S922" i="1" s="1"/>
  <c r="Q923" i="1"/>
  <c r="S923" i="1" s="1"/>
  <c r="Q924" i="1"/>
  <c r="S924" i="1" s="1"/>
  <c r="Q925" i="1"/>
  <c r="S925" i="1" s="1"/>
  <c r="Q926" i="1"/>
  <c r="S926" i="1" s="1"/>
  <c r="Q927" i="1"/>
  <c r="S927" i="1" s="1"/>
  <c r="Q928" i="1"/>
  <c r="S928" i="1" s="1"/>
  <c r="Q929" i="1"/>
  <c r="S929" i="1" s="1"/>
  <c r="Q930" i="1"/>
  <c r="S930" i="1" s="1"/>
  <c r="Q931" i="1"/>
  <c r="S931" i="1" s="1"/>
  <c r="Q932" i="1"/>
  <c r="S932" i="1" s="1"/>
  <c r="Q933" i="1"/>
  <c r="S933" i="1" s="1"/>
  <c r="Q934" i="1"/>
  <c r="S934" i="1" s="1"/>
  <c r="Q935" i="1"/>
  <c r="S935" i="1" s="1"/>
  <c r="Q936" i="1"/>
  <c r="S936" i="1" s="1"/>
  <c r="Q937" i="1"/>
  <c r="S937" i="1" s="1"/>
  <c r="Q938" i="1"/>
  <c r="S938" i="1" s="1"/>
  <c r="Q939" i="1"/>
  <c r="S939" i="1" s="1"/>
  <c r="Q940" i="1"/>
  <c r="S940" i="1" s="1"/>
  <c r="Q941" i="1"/>
  <c r="S941" i="1" s="1"/>
  <c r="Q942" i="1"/>
  <c r="S942" i="1" s="1"/>
  <c r="Q943" i="1"/>
  <c r="S943" i="1" s="1"/>
  <c r="Q944" i="1"/>
  <c r="S944" i="1" s="1"/>
  <c r="Q945" i="1"/>
  <c r="S945" i="1" s="1"/>
  <c r="Q946" i="1"/>
  <c r="S946" i="1" s="1"/>
  <c r="Q947" i="1"/>
  <c r="S947" i="1" s="1"/>
  <c r="Q948" i="1"/>
  <c r="S948" i="1" s="1"/>
  <c r="Q949" i="1"/>
  <c r="S949" i="1" s="1"/>
  <c r="Q950" i="1"/>
  <c r="S950" i="1" s="1"/>
  <c r="Q951" i="1"/>
  <c r="S951" i="1" s="1"/>
  <c r="Q952" i="1"/>
  <c r="S952" i="1" s="1"/>
  <c r="Q953" i="1"/>
  <c r="S953" i="1" s="1"/>
  <c r="Q954" i="1"/>
  <c r="S954" i="1" s="1"/>
  <c r="Q955" i="1"/>
  <c r="S955" i="1" s="1"/>
  <c r="Q956" i="1"/>
  <c r="S956" i="1" s="1"/>
  <c r="Q957" i="1"/>
  <c r="S957" i="1" s="1"/>
  <c r="Q958" i="1"/>
  <c r="S958" i="1" s="1"/>
  <c r="Q959" i="1"/>
  <c r="S959" i="1" s="1"/>
  <c r="Q960" i="1"/>
  <c r="S960" i="1" s="1"/>
  <c r="Q961" i="1"/>
  <c r="S961" i="1" s="1"/>
  <c r="Q962" i="1"/>
  <c r="S962" i="1" s="1"/>
  <c r="Q963" i="1"/>
  <c r="S963" i="1" s="1"/>
  <c r="Q964" i="1"/>
  <c r="S964" i="1" s="1"/>
  <c r="Q965" i="1"/>
  <c r="S965" i="1" s="1"/>
  <c r="Q966" i="1"/>
  <c r="S966" i="1" s="1"/>
  <c r="Q967" i="1"/>
  <c r="S967" i="1" s="1"/>
  <c r="Q968" i="1"/>
  <c r="S968" i="1" s="1"/>
  <c r="Q969" i="1"/>
  <c r="S969" i="1" s="1"/>
  <c r="Q970" i="1"/>
  <c r="S970" i="1" s="1"/>
  <c r="Q971" i="1"/>
  <c r="S971" i="1" s="1"/>
  <c r="Q972" i="1"/>
  <c r="S972" i="1" s="1"/>
  <c r="Q973" i="1"/>
  <c r="S973" i="1" s="1"/>
  <c r="Q974" i="1"/>
  <c r="S974" i="1" s="1"/>
  <c r="Q975" i="1"/>
  <c r="S975" i="1" s="1"/>
  <c r="Q976" i="1"/>
  <c r="S976" i="1" s="1"/>
  <c r="Q977" i="1"/>
  <c r="S977" i="1" s="1"/>
  <c r="Q978" i="1"/>
  <c r="S978" i="1" s="1"/>
  <c r="Q979" i="1"/>
  <c r="S979" i="1" s="1"/>
  <c r="Q980" i="1"/>
  <c r="S980" i="1" s="1"/>
  <c r="Q981" i="1"/>
  <c r="S981" i="1" s="1"/>
  <c r="Q982" i="1"/>
  <c r="S982" i="1" s="1"/>
  <c r="Q983" i="1"/>
  <c r="S983" i="1" s="1"/>
  <c r="Q984" i="1"/>
  <c r="S984" i="1" s="1"/>
  <c r="Q985" i="1"/>
  <c r="S985" i="1" s="1"/>
  <c r="Q986" i="1"/>
  <c r="S986" i="1" s="1"/>
  <c r="Q987" i="1"/>
  <c r="S987" i="1" s="1"/>
  <c r="Q988" i="1"/>
  <c r="S988" i="1" s="1"/>
  <c r="Q989" i="1"/>
  <c r="S989" i="1" s="1"/>
  <c r="Q990" i="1"/>
  <c r="S990" i="1" s="1"/>
  <c r="Q991" i="1"/>
  <c r="S991" i="1" s="1"/>
  <c r="Q992" i="1"/>
  <c r="S992" i="1" s="1"/>
  <c r="Q993" i="1"/>
  <c r="S993" i="1" s="1"/>
  <c r="Q994" i="1"/>
  <c r="S994" i="1" s="1"/>
  <c r="Q995" i="1"/>
  <c r="S995" i="1" s="1"/>
  <c r="Q996" i="1"/>
  <c r="S996" i="1" s="1"/>
  <c r="Q997" i="1"/>
  <c r="S997" i="1" s="1"/>
  <c r="Q998" i="1"/>
  <c r="S998" i="1" s="1"/>
  <c r="Q999" i="1"/>
  <c r="S999" i="1" s="1"/>
  <c r="Q1000" i="1"/>
  <c r="S1000" i="1" s="1"/>
  <c r="Q1001" i="1"/>
  <c r="S1001" i="1" s="1"/>
  <c r="Q1002" i="1"/>
  <c r="S1002" i="1" s="1"/>
  <c r="Q1003" i="1"/>
  <c r="S1003" i="1" s="1"/>
  <c r="Q1004" i="1"/>
  <c r="S1004" i="1" s="1"/>
  <c r="Q1005" i="1"/>
  <c r="S1005" i="1" s="1"/>
  <c r="Q1006" i="1"/>
  <c r="S1006" i="1" s="1"/>
  <c r="Q1007" i="1"/>
  <c r="S1007" i="1" s="1"/>
  <c r="Q1008" i="1"/>
  <c r="S1008" i="1" s="1"/>
  <c r="Q1009" i="1"/>
  <c r="S1009" i="1" s="1"/>
  <c r="Q1010" i="1"/>
  <c r="S1010" i="1" s="1"/>
  <c r="Q1011" i="1"/>
  <c r="S1011" i="1" s="1"/>
  <c r="Q1012" i="1"/>
  <c r="S1012" i="1" s="1"/>
  <c r="Q1013" i="1"/>
  <c r="S1013" i="1" s="1"/>
  <c r="Q1014" i="1"/>
  <c r="S1014" i="1" s="1"/>
  <c r="Q1015" i="1"/>
  <c r="S1015" i="1" s="1"/>
  <c r="Q1016" i="1"/>
  <c r="S1016" i="1" s="1"/>
  <c r="Q1017" i="1"/>
  <c r="S1017" i="1" s="1"/>
  <c r="Q1018" i="1"/>
  <c r="S1018" i="1" s="1"/>
  <c r="Q1019" i="1"/>
  <c r="S1019" i="1" s="1"/>
  <c r="Q1020" i="1"/>
  <c r="S1020" i="1" s="1"/>
  <c r="Q1021" i="1"/>
  <c r="S1021" i="1" s="1"/>
  <c r="Q1022" i="1"/>
  <c r="S1022" i="1" s="1"/>
  <c r="Q1023" i="1"/>
  <c r="S1023" i="1" s="1"/>
  <c r="Q1024" i="1"/>
  <c r="S1024" i="1" s="1"/>
  <c r="Q1025" i="1"/>
  <c r="S1025" i="1" s="1"/>
  <c r="Q1026" i="1"/>
  <c r="S1026" i="1" s="1"/>
  <c r="Q1027" i="1"/>
  <c r="S1027" i="1" s="1"/>
  <c r="Q1028" i="1"/>
  <c r="S1028" i="1" s="1"/>
  <c r="Q1029" i="1"/>
  <c r="S1029" i="1" s="1"/>
  <c r="Q1030" i="1"/>
  <c r="S1030" i="1" s="1"/>
  <c r="Q1031" i="1"/>
  <c r="S1031" i="1" s="1"/>
  <c r="Q1032" i="1"/>
  <c r="S1032" i="1" s="1"/>
  <c r="Q1033" i="1"/>
  <c r="S1033" i="1" s="1"/>
  <c r="Q1034" i="1"/>
  <c r="S1034" i="1" s="1"/>
  <c r="Q1035" i="1"/>
  <c r="S1035" i="1" s="1"/>
  <c r="Q1036" i="1"/>
  <c r="S1036" i="1" s="1"/>
  <c r="Q1037" i="1"/>
  <c r="S1037" i="1" s="1"/>
  <c r="Q1038" i="1"/>
  <c r="S1038" i="1" s="1"/>
  <c r="Q1039" i="1"/>
  <c r="S1039" i="1" s="1"/>
  <c r="Q1040" i="1"/>
  <c r="S1040" i="1" s="1"/>
  <c r="Q1041" i="1"/>
  <c r="S1041" i="1" s="1"/>
  <c r="Q1042" i="1"/>
  <c r="S1042" i="1" s="1"/>
  <c r="Q1043" i="1"/>
  <c r="S1043" i="1" s="1"/>
  <c r="Q1044" i="1"/>
  <c r="S1044" i="1" s="1"/>
  <c r="Q1045" i="1"/>
  <c r="S1045" i="1" s="1"/>
  <c r="Q1046" i="1"/>
  <c r="S1046" i="1" s="1"/>
  <c r="Q1047" i="1"/>
  <c r="S1047" i="1" s="1"/>
  <c r="Q1048" i="1"/>
  <c r="S1048" i="1" s="1"/>
  <c r="Q1049" i="1"/>
  <c r="S1049" i="1" s="1"/>
  <c r="Q1050" i="1"/>
  <c r="S1050" i="1" s="1"/>
  <c r="Q1051" i="1"/>
  <c r="S1051" i="1" s="1"/>
  <c r="Q1052" i="1"/>
  <c r="S1052" i="1" s="1"/>
  <c r="Q1053" i="1"/>
  <c r="S1053" i="1" s="1"/>
  <c r="Q1054" i="1"/>
  <c r="S1054" i="1" s="1"/>
  <c r="Q1055" i="1"/>
  <c r="S1055" i="1" s="1"/>
  <c r="Q1056" i="1"/>
  <c r="S1056" i="1" s="1"/>
  <c r="Q1057" i="1"/>
  <c r="S1057" i="1" s="1"/>
  <c r="Q1058" i="1"/>
  <c r="S1058" i="1" s="1"/>
  <c r="Q1059" i="1"/>
  <c r="S1059" i="1" s="1"/>
  <c r="Q1060" i="1"/>
  <c r="S1060" i="1" s="1"/>
  <c r="Q1061" i="1"/>
  <c r="S1061" i="1" s="1"/>
  <c r="Q1062" i="1"/>
  <c r="S1062" i="1" s="1"/>
  <c r="Q1063" i="1"/>
  <c r="S1063" i="1" s="1"/>
  <c r="Q1064" i="1"/>
  <c r="S1064" i="1" s="1"/>
  <c r="Q1065" i="1"/>
  <c r="S1065" i="1" s="1"/>
  <c r="Q1066" i="1"/>
  <c r="S1066" i="1" s="1"/>
  <c r="Q1067" i="1"/>
  <c r="S1067" i="1" s="1"/>
  <c r="Q1068" i="1"/>
  <c r="S1068" i="1" s="1"/>
  <c r="Q1069" i="1"/>
  <c r="S1069" i="1" s="1"/>
  <c r="Q1070" i="1"/>
  <c r="S1070" i="1" s="1"/>
  <c r="Q1071" i="1"/>
  <c r="S1071" i="1" s="1"/>
  <c r="Q1072" i="1"/>
  <c r="S1072" i="1" s="1"/>
  <c r="Q1073" i="1"/>
  <c r="S1073" i="1" s="1"/>
  <c r="Q1074" i="1"/>
  <c r="S1074" i="1" s="1"/>
  <c r="Q1075" i="1"/>
  <c r="S1075" i="1" s="1"/>
  <c r="Q1076" i="1"/>
  <c r="S1076" i="1" s="1"/>
  <c r="Q1077" i="1"/>
  <c r="S1077" i="1" s="1"/>
  <c r="Q1078" i="1"/>
  <c r="S1078" i="1" s="1"/>
  <c r="Q1079" i="1"/>
  <c r="S1079" i="1" s="1"/>
  <c r="Q1080" i="1"/>
  <c r="S1080" i="1" s="1"/>
  <c r="Q1081" i="1"/>
  <c r="S1081" i="1" s="1"/>
  <c r="Q1082" i="1"/>
  <c r="S1082" i="1" s="1"/>
  <c r="Q1083" i="1"/>
  <c r="S1083" i="1" s="1"/>
  <c r="Q1084" i="1"/>
  <c r="S1084" i="1" s="1"/>
  <c r="Q1085" i="1"/>
  <c r="S1085" i="1" s="1"/>
  <c r="Q1086" i="1"/>
  <c r="S1086" i="1" s="1"/>
  <c r="Q1087" i="1"/>
  <c r="S1087" i="1" s="1"/>
  <c r="Q1088" i="1"/>
  <c r="S1088" i="1" s="1"/>
  <c r="Q1089" i="1"/>
  <c r="S1089" i="1" s="1"/>
  <c r="Q1090" i="1"/>
  <c r="S1090" i="1" s="1"/>
  <c r="Q1091" i="1"/>
  <c r="S1091" i="1" s="1"/>
  <c r="Q1092" i="1"/>
  <c r="S1092" i="1" s="1"/>
  <c r="Q1093" i="1"/>
  <c r="S1093" i="1" s="1"/>
  <c r="Q1094" i="1"/>
  <c r="S1094" i="1" s="1"/>
  <c r="Q1095" i="1"/>
  <c r="S1095" i="1" s="1"/>
  <c r="Q1096" i="1"/>
  <c r="S1096" i="1" s="1"/>
  <c r="Q1097" i="1"/>
  <c r="S1097" i="1" s="1"/>
  <c r="Q1098" i="1"/>
  <c r="S1098" i="1" s="1"/>
  <c r="Q1099" i="1"/>
  <c r="S1099" i="1" s="1"/>
  <c r="Q1100" i="1"/>
  <c r="S1100" i="1" s="1"/>
  <c r="Q1101" i="1"/>
  <c r="S1101" i="1" s="1"/>
  <c r="Q1102" i="1"/>
  <c r="S1102" i="1" s="1"/>
  <c r="Q1103" i="1"/>
  <c r="S1103" i="1" s="1"/>
  <c r="Q1104" i="1"/>
  <c r="S1104" i="1" s="1"/>
  <c r="Q1105" i="1"/>
  <c r="S1105" i="1" s="1"/>
  <c r="Q1106" i="1"/>
  <c r="S1106" i="1" s="1"/>
  <c r="Q1107" i="1"/>
  <c r="S1107" i="1" s="1"/>
  <c r="Q1108" i="1"/>
  <c r="S1108" i="1" s="1"/>
  <c r="Q1109" i="1"/>
  <c r="S1109" i="1" s="1"/>
  <c r="Q1110" i="1"/>
  <c r="S1110" i="1" s="1"/>
  <c r="Q1111" i="1"/>
  <c r="S1111" i="1" s="1"/>
  <c r="Q1112" i="1"/>
  <c r="S1112" i="1" s="1"/>
  <c r="Q1113" i="1"/>
  <c r="S1113" i="1" s="1"/>
  <c r="Q1114" i="1"/>
  <c r="S1114" i="1" s="1"/>
  <c r="Q1115" i="1"/>
  <c r="S1115" i="1" s="1"/>
  <c r="Q1116" i="1"/>
  <c r="S1116" i="1" s="1"/>
  <c r="Q1117" i="1"/>
  <c r="S1117" i="1" s="1"/>
  <c r="Q1118" i="1"/>
  <c r="S1118" i="1" s="1"/>
  <c r="Q1119" i="1"/>
  <c r="S1119" i="1" s="1"/>
  <c r="Q1120" i="1"/>
  <c r="S1120" i="1" s="1"/>
  <c r="Q1121" i="1"/>
  <c r="S1121" i="1" s="1"/>
  <c r="Q1122" i="1"/>
  <c r="S1122" i="1" s="1"/>
  <c r="Q1123" i="1"/>
  <c r="S1123" i="1" s="1"/>
  <c r="Q1124" i="1"/>
  <c r="S1124" i="1" s="1"/>
  <c r="Q1125" i="1"/>
  <c r="S1125" i="1" s="1"/>
  <c r="Q1126" i="1"/>
  <c r="S1126" i="1" s="1"/>
  <c r="Q1127" i="1"/>
  <c r="S1127" i="1" s="1"/>
  <c r="Q1128" i="1"/>
  <c r="S1128" i="1" s="1"/>
  <c r="Q1129" i="1"/>
  <c r="S1129" i="1" s="1"/>
  <c r="Q1130" i="1"/>
  <c r="S1130" i="1" s="1"/>
  <c r="Q1131" i="1"/>
  <c r="S1131" i="1" s="1"/>
  <c r="Q1132" i="1"/>
  <c r="S1132" i="1" s="1"/>
  <c r="Q1133" i="1"/>
  <c r="S1133" i="1" s="1"/>
  <c r="Q1134" i="1"/>
  <c r="S1134" i="1" s="1"/>
  <c r="Q1135" i="1"/>
  <c r="S1135" i="1" s="1"/>
  <c r="Q1136" i="1"/>
  <c r="S1136" i="1" s="1"/>
  <c r="Q1137" i="1"/>
  <c r="S1137" i="1" s="1"/>
  <c r="Q1138" i="1"/>
  <c r="S1138" i="1" s="1"/>
  <c r="Q1139" i="1"/>
  <c r="S1139" i="1" s="1"/>
  <c r="Q1140" i="1"/>
  <c r="S1140" i="1" s="1"/>
  <c r="Q1141" i="1"/>
  <c r="S1141" i="1" s="1"/>
  <c r="Q1142" i="1"/>
  <c r="S1142" i="1" s="1"/>
  <c r="Q1143" i="1"/>
  <c r="S1143" i="1" s="1"/>
  <c r="Q1144" i="1"/>
  <c r="S1144" i="1" s="1"/>
  <c r="Q1145" i="1"/>
  <c r="S1145" i="1" s="1"/>
  <c r="Q1146" i="1"/>
  <c r="S1146" i="1" s="1"/>
  <c r="Q1147" i="1"/>
  <c r="S1147" i="1" s="1"/>
  <c r="Q1148" i="1"/>
  <c r="S1148" i="1" s="1"/>
  <c r="Q1149" i="1"/>
  <c r="S1149" i="1" s="1"/>
  <c r="Q1150" i="1"/>
  <c r="S1150" i="1" s="1"/>
  <c r="Q1151" i="1"/>
  <c r="S1151" i="1" s="1"/>
  <c r="Q1152" i="1"/>
  <c r="S1152" i="1" s="1"/>
  <c r="Q1153" i="1"/>
  <c r="S1153" i="1" s="1"/>
  <c r="Q1154" i="1"/>
  <c r="S1154" i="1" s="1"/>
  <c r="Q1155" i="1"/>
  <c r="S1155" i="1" s="1"/>
  <c r="Q1156" i="1"/>
  <c r="S1156" i="1" s="1"/>
  <c r="Q1157" i="1"/>
  <c r="S1157" i="1" s="1"/>
  <c r="Q1158" i="1"/>
  <c r="S1158" i="1" s="1"/>
  <c r="Q1159" i="1"/>
  <c r="S1159" i="1" s="1"/>
  <c r="Q1160" i="1"/>
  <c r="S1160" i="1" s="1"/>
  <c r="Q1161" i="1"/>
  <c r="S1161" i="1" s="1"/>
  <c r="Q1162" i="1"/>
  <c r="S1162" i="1" s="1"/>
  <c r="Q1163" i="1"/>
  <c r="S1163" i="1" s="1"/>
  <c r="Q1164" i="1"/>
  <c r="S1164" i="1" s="1"/>
  <c r="Q1165" i="1"/>
  <c r="S1165" i="1" s="1"/>
  <c r="Q1166" i="1"/>
  <c r="S1166" i="1" s="1"/>
  <c r="Q1167" i="1"/>
  <c r="S1167" i="1" s="1"/>
  <c r="Q1168" i="1"/>
  <c r="S1168" i="1" s="1"/>
  <c r="Q1169" i="1"/>
  <c r="S1169" i="1" s="1"/>
  <c r="Q1170" i="1"/>
  <c r="S1170" i="1" s="1"/>
  <c r="Q1171" i="1"/>
  <c r="S1171" i="1" s="1"/>
  <c r="Q1172" i="1"/>
  <c r="S1172" i="1" s="1"/>
  <c r="Q1173" i="1"/>
  <c r="S1173" i="1" s="1"/>
  <c r="Q1174" i="1"/>
  <c r="S1174" i="1" s="1"/>
  <c r="Q1175" i="1"/>
  <c r="S1175" i="1" s="1"/>
  <c r="Q1176" i="1"/>
  <c r="S1176" i="1" s="1"/>
  <c r="Q1177" i="1"/>
  <c r="S1177" i="1" s="1"/>
  <c r="Q1178" i="1"/>
  <c r="S1178" i="1" s="1"/>
  <c r="Q1179" i="1"/>
  <c r="S1179" i="1" s="1"/>
  <c r="Q1180" i="1"/>
  <c r="S1180" i="1" s="1"/>
  <c r="Q1181" i="1"/>
  <c r="S1181" i="1" s="1"/>
  <c r="Q1182" i="1"/>
  <c r="S1182" i="1" s="1"/>
  <c r="Q1183" i="1"/>
  <c r="S1183" i="1" s="1"/>
  <c r="Q1184" i="1"/>
  <c r="S1184" i="1" s="1"/>
  <c r="Q1185" i="1"/>
  <c r="S1185" i="1" s="1"/>
  <c r="Q1186" i="1"/>
  <c r="S1186" i="1" s="1"/>
  <c r="Q1187" i="1"/>
  <c r="S1187" i="1" s="1"/>
  <c r="Q1188" i="1"/>
  <c r="S1188" i="1" s="1"/>
  <c r="Q1189" i="1"/>
  <c r="S1189" i="1" s="1"/>
  <c r="Q1190" i="1"/>
  <c r="S1190" i="1" s="1"/>
  <c r="Q1191" i="1"/>
  <c r="S1191" i="1" s="1"/>
  <c r="Q1192" i="1"/>
  <c r="S1192" i="1" s="1"/>
  <c r="Q1193" i="1"/>
  <c r="S1193" i="1" s="1"/>
  <c r="Q1194" i="1"/>
  <c r="S1194" i="1" s="1"/>
  <c r="Q1195" i="1"/>
  <c r="S1195" i="1" s="1"/>
  <c r="Q1196" i="1"/>
  <c r="S1196" i="1" s="1"/>
  <c r="Q1197" i="1"/>
  <c r="S1197" i="1" s="1"/>
  <c r="Q1198" i="1"/>
  <c r="S1198" i="1" s="1"/>
  <c r="Q1199" i="1"/>
  <c r="S1199" i="1" s="1"/>
  <c r="Q1200" i="1"/>
  <c r="S1200" i="1" s="1"/>
  <c r="Q1201" i="1"/>
  <c r="S1201" i="1" s="1"/>
  <c r="Q2" i="1"/>
  <c r="S2" i="1" s="1"/>
  <c r="B96" i="5"/>
  <c r="B98" i="5"/>
  <c r="B94" i="5"/>
  <c r="B100" i="5"/>
  <c r="R2" i="1" l="1"/>
</calcChain>
</file>

<file path=xl/sharedStrings.xml><?xml version="1.0" encoding="utf-8"?>
<sst xmlns="http://schemas.openxmlformats.org/spreadsheetml/2006/main" count="7312" uniqueCount="57">
  <si>
    <t>age</t>
  </si>
  <si>
    <t>gender</t>
  </si>
  <si>
    <t>daily_social_media_hours</t>
  </si>
  <si>
    <t>platform_usage</t>
  </si>
  <si>
    <t>sleep_hours</t>
  </si>
  <si>
    <t>screen_time_before_sleep</t>
  </si>
  <si>
    <t>academic_performance</t>
  </si>
  <si>
    <t>physical_activity</t>
  </si>
  <si>
    <t>social_interaction_level</t>
  </si>
  <si>
    <t>stress_level</t>
  </si>
  <si>
    <t>anxiety_level</t>
  </si>
  <si>
    <t>addiction_level</t>
  </si>
  <si>
    <t>depression_label</t>
  </si>
  <si>
    <t>mental distress score</t>
  </si>
  <si>
    <t>Average</t>
  </si>
  <si>
    <t>Mental State</t>
  </si>
  <si>
    <t>male</t>
  </si>
  <si>
    <t>Instagram</t>
  </si>
  <si>
    <t>low</t>
  </si>
  <si>
    <t>female</t>
  </si>
  <si>
    <t>TikTok</t>
  </si>
  <si>
    <t>high</t>
  </si>
  <si>
    <t>medium</t>
  </si>
  <si>
    <t>Both</t>
  </si>
  <si>
    <t>Mentally Unstable</t>
  </si>
  <si>
    <t>Category</t>
  </si>
  <si>
    <t>Row Labels</t>
  </si>
  <si>
    <t>Grand Total</t>
  </si>
  <si>
    <t>Sum of daily_social_media_hours</t>
  </si>
  <si>
    <t>Count of platform_usage</t>
  </si>
  <si>
    <t>Count of age</t>
  </si>
  <si>
    <t>Average of age</t>
  </si>
  <si>
    <t>Total screen time</t>
  </si>
  <si>
    <t>Sum of Total screen time</t>
  </si>
  <si>
    <t>Grade</t>
  </si>
  <si>
    <t>Column Labels</t>
  </si>
  <si>
    <t>first class</t>
  </si>
  <si>
    <t>Second class lower</t>
  </si>
  <si>
    <t>Second class upper</t>
  </si>
  <si>
    <t>third class</t>
  </si>
  <si>
    <t>Sum of stress_level</t>
  </si>
  <si>
    <t>Sum of mental distress score</t>
  </si>
  <si>
    <t>Young Teenager</t>
  </si>
  <si>
    <t>Young Teenager Total</t>
  </si>
  <si>
    <t>Both Total</t>
  </si>
  <si>
    <t>Instagram Total</t>
  </si>
  <si>
    <t>TikTok Total</t>
  </si>
  <si>
    <t>DATA SUMMARY</t>
  </si>
  <si>
    <t>Total Population</t>
  </si>
  <si>
    <t>Average Age</t>
  </si>
  <si>
    <t>Total Screen Time</t>
  </si>
  <si>
    <t>Sum of sleep_hours</t>
  </si>
  <si>
    <t>Total Sleep Hours</t>
  </si>
  <si>
    <t>Old Teenager</t>
  </si>
  <si>
    <t>Old Teenager Total</t>
  </si>
  <si>
    <t>Mentally Strained</t>
  </si>
  <si>
    <t>Mentally Sound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</si>
</sst>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pivotButton="1"/>
    <xf numFmtId="0" fontId="0" fillId="0" borderId="0" xfId="0" applyAlignment="1">
      <alignment horizontal="left"/>
    </xf>
    <xf numFmtId="164" fontId="0" fillId="0" borderId="0" xfId="0" applyNumberFormat="1"/>
    <xf numFmtId="1"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
    <dxf>
      <numFmt numFmtId="164" formatCode="0.0"/>
    </dxf>
    <dxf>
      <numFmt numFmtId="164" formatCode="0.0"/>
    </dxf>
    <dxf>
      <numFmt numFmtId="164" formatCode="0.0"/>
    </dxf>
    <dxf>
      <numFmt numFmtId="164" formatCode="0.0"/>
    </dxf>
    <dxf>
      <numFmt numFmtId="164" formatCode="0.0"/>
    </dxf>
    <dxf>
      <numFmt numFmtId="164" formatCode="0.0"/>
    </dxf>
    <dxf>
      <font>
        <b/>
        <color theme="1"/>
      </font>
      <border>
        <bottom style="thin">
          <color theme="9"/>
        </bottom>
        <vertical/>
        <horizontal/>
      </border>
    </dxf>
    <dxf>
      <font>
        <color theme="1"/>
      </font>
      <fill>
        <patternFill patternType="solid">
          <bgColor theme="7" tint="-0.24994659260841701"/>
        </patternFill>
      </fill>
      <border>
        <left style="thin">
          <color theme="9"/>
        </left>
        <right style="thin">
          <color theme="9"/>
        </right>
        <top style="thin">
          <color theme="9"/>
        </top>
        <bottom style="thin">
          <color theme="9"/>
        </bottom>
        <vertical/>
        <horizontal/>
      </border>
    </dxf>
    <dxf>
      <font>
        <b/>
        <color theme="1"/>
      </font>
      <border>
        <bottom style="thin">
          <color theme="9"/>
        </bottom>
        <vertical/>
        <horizontal/>
      </border>
    </dxf>
    <dxf>
      <font>
        <color theme="1"/>
      </font>
      <border>
        <left style="thin">
          <color theme="9"/>
        </left>
        <right style="thin">
          <color theme="9"/>
        </right>
        <top style="thin">
          <color theme="9"/>
        </top>
        <bottom style="thin">
          <color theme="9"/>
        </bottom>
        <vertical/>
        <horizontal/>
      </border>
    </dxf>
    <dxf>
      <fill>
        <patternFill patternType="gray125">
          <bgColor rgb="FF051355"/>
        </patternFill>
      </fill>
    </dxf>
    <dxf>
      <fill>
        <patternFill>
          <fgColor rgb="FF00BE70"/>
        </patternFill>
      </fill>
    </dxf>
    <dxf>
      <font>
        <color theme="0"/>
      </font>
    </dxf>
    <dxf>
      <font>
        <color theme="0"/>
      </font>
    </dxf>
    <dxf>
      <fill>
        <patternFill>
          <bgColor rgb="FF051355"/>
        </patternFill>
      </fill>
    </dxf>
    <dxf>
      <font>
        <b val="0"/>
        <i val="0"/>
        <sz val="11"/>
        <color theme="0"/>
        <name val="Agency FB"/>
        <family val="2"/>
        <scheme val="none"/>
      </font>
      <fill>
        <patternFill>
          <fgColor theme="3" tint="0.89996032593768116"/>
          <bgColor rgb="FF12255B"/>
        </patternFill>
      </fill>
      <border diagonalUp="0" diagonalDown="0">
        <left/>
        <right/>
        <top/>
        <bottom/>
        <vertical/>
        <horizontal/>
      </border>
    </dxf>
  </dxfs>
  <tableStyles count="8" defaultTableStyle="TableStyleMedium2" defaultPivotStyle="PivotStyleLight16">
    <tableStyle name="Slicer Style 1" pivot="0" table="0" count="1" xr9:uid="{C18A46C4-2C63-45BA-B825-10CB9DE9F2AA}">
      <tableStyleElement type="wholeTable" dxfId="15"/>
    </tableStyle>
    <tableStyle name="Slicer Style 2" pivot="0" table="0" count="1" xr9:uid="{49418F47-A570-4697-B841-822FE561E036}">
      <tableStyleElement type="wholeTable" dxfId="14"/>
    </tableStyle>
    <tableStyle name="Slicer Style 3" pivot="0" table="0" count="1" xr9:uid="{B15FA964-C898-43B3-9571-93C7E5902C50}">
      <tableStyleElement type="wholeTable" dxfId="13"/>
    </tableStyle>
    <tableStyle name="Slicer Style 4" pivot="0" table="0" count="1" xr9:uid="{235C905B-BEEF-4481-AFB6-D57B3526173C}">
      <tableStyleElement type="wholeTable" dxfId="12"/>
    </tableStyle>
    <tableStyle name="Slicer Style 5" pivot="0" table="0" count="1" xr9:uid="{AA8D4032-331E-4B78-AC59-D40E1AE5C4A1}">
      <tableStyleElement type="wholeTable" dxfId="11"/>
    </tableStyle>
    <tableStyle name="Slicer Style 6" pivot="0" table="0" count="1" xr9:uid="{3BC25805-6B8C-4BCC-953D-2EC0761DF755}">
      <tableStyleElement type="wholeTable" dxfId="10"/>
    </tableStyle>
    <tableStyle name="SlicerStyleDark6 2" pivot="0" table="0" count="10" xr9:uid="{03297597-39EE-4DB7-8F18-5DE14761ED1A}">
      <tableStyleElement type="wholeTable" dxfId="9"/>
      <tableStyleElement type="headerRow" dxfId="8"/>
    </tableStyle>
    <tableStyle name="SlicerStyleDark6 3" pivot="0" table="0" count="10" xr9:uid="{87B26ECD-01E8-4AE8-9331-5FCC79C3D208}">
      <tableStyleElement type="wholeTable" dxfId="7"/>
      <tableStyleElement type="headerRow" dxfId="6"/>
    </tableStyle>
  </tableStyles>
  <colors>
    <mruColors>
      <color rgb="FF89C4E9"/>
      <color rgb="FF4C49E3"/>
      <color rgb="FF88AAFA"/>
      <color rgb="FF88AAFE"/>
      <color rgb="FFA4D8EE"/>
      <color rgb="FF48AEDF"/>
      <color rgb="FF88ABF6"/>
      <color rgb="FF00F18D"/>
      <color rgb="FFEFB70D"/>
      <color rgb="FF7F3AB1"/>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 name="Slicer Style 5"/>
        <x14:slicerStyle name="Slicer Style 6"/>
        <x14:slicerStyle name="SlicerStyleDark6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6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[Teen_Mental_Health_Dataset.xlsx]Pivot_Table!PivotTable8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Pivot_Table!$B$18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307-440B-87BA-2D27F098A69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307-440B-87BA-2D27F098A69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307-440B-87BA-2D27F098A693}"/>
              </c:ext>
            </c:extLst>
          </c:dPt>
          <c:cat>
            <c:strRef>
              <c:f>Pivot_Table!$A$19:$A$22</c:f>
              <c:strCache>
                <c:ptCount val="3"/>
                <c:pt idx="0">
                  <c:v>Mentally Sound</c:v>
                </c:pt>
                <c:pt idx="1">
                  <c:v>Mentally Strained</c:v>
                </c:pt>
                <c:pt idx="2">
                  <c:v>Mentally Unstable</c:v>
                </c:pt>
              </c:strCache>
            </c:strRef>
          </c:cat>
          <c:val>
            <c:numRef>
              <c:f>Pivot_Table!$B$19:$B$22</c:f>
              <c:numCache>
                <c:formatCode>General</c:formatCode>
                <c:ptCount val="3"/>
                <c:pt idx="0">
                  <c:v>294.90000000000009</c:v>
                </c:pt>
                <c:pt idx="1">
                  <c:v>2411.2000000000007</c:v>
                </c:pt>
                <c:pt idx="2">
                  <c:v>1093.2000000000003</c:v>
                </c:pt>
              </c:numCache>
            </c:numRef>
          </c:val>
          <c:extLst>
            <c:ext xmlns:c16="http://schemas.microsoft.com/office/drawing/2014/chart" uri="{C3380CC4-5D6E-409C-BE32-E72D297353CC}">
              <c16:uniqueId val="{00000000-43D1-4923-9864-AB8BD7C29D2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[Teen_Mental_Health_Dataset.xlsx]Pivot_Table!PivotTable1</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Pivot_Table!$B$32:$B$33</c:f>
              <c:strCache>
                <c:ptCount val="1"/>
                <c:pt idx="0">
                  <c:v>Old Teenager</c:v>
                </c:pt>
              </c:strCache>
            </c:strRef>
          </c:tx>
          <c:spPr>
            <a:solidFill>
              <a:schemeClr val="accent1"/>
            </a:solidFill>
            <a:ln>
              <a:noFill/>
            </a:ln>
            <a:effectLst/>
          </c:spPr>
          <c:invertIfNegative val="0"/>
          <c:cat>
            <c:strRef>
              <c:f>Pivot_Table!$A$34:$A$38</c:f>
              <c:strCache>
                <c:ptCount val="4"/>
                <c:pt idx="0">
                  <c:v>first class</c:v>
                </c:pt>
                <c:pt idx="1">
                  <c:v>Second class lower</c:v>
                </c:pt>
                <c:pt idx="2">
                  <c:v>Second class upper</c:v>
                </c:pt>
                <c:pt idx="3">
                  <c:v>third class</c:v>
                </c:pt>
              </c:strCache>
            </c:strRef>
          </c:cat>
          <c:val>
            <c:numRef>
              <c:f>Pivot_Table!$B$34:$B$38</c:f>
              <c:numCache>
                <c:formatCode>General</c:formatCode>
                <c:ptCount val="4"/>
                <c:pt idx="0">
                  <c:v>1415</c:v>
                </c:pt>
                <c:pt idx="1">
                  <c:v>2003</c:v>
                </c:pt>
                <c:pt idx="2">
                  <c:v>2267</c:v>
                </c:pt>
                <c:pt idx="3">
                  <c:v>1891</c:v>
                </c:pt>
              </c:numCache>
            </c:numRef>
          </c:val>
          <c:extLst>
            <c:ext xmlns:c16="http://schemas.microsoft.com/office/drawing/2014/chart" uri="{C3380CC4-5D6E-409C-BE32-E72D297353CC}">
              <c16:uniqueId val="{00000005-FBCC-4914-B56F-3716605C41B2}"/>
            </c:ext>
          </c:extLst>
        </c:ser>
        <c:ser>
          <c:idx val="1"/>
          <c:order val="1"/>
          <c:tx>
            <c:strRef>
              <c:f>Pivot_Table!$C$32:$C$33</c:f>
              <c:strCache>
                <c:ptCount val="1"/>
                <c:pt idx="0">
                  <c:v>Young Teenager</c:v>
                </c:pt>
              </c:strCache>
            </c:strRef>
          </c:tx>
          <c:spPr>
            <a:solidFill>
              <a:schemeClr val="accent2"/>
            </a:solidFill>
            <a:ln>
              <a:noFill/>
            </a:ln>
            <a:effectLst/>
          </c:spPr>
          <c:invertIfNegative val="0"/>
          <c:cat>
            <c:strRef>
              <c:f>Pivot_Table!$A$34:$A$38</c:f>
              <c:strCache>
                <c:ptCount val="4"/>
                <c:pt idx="0">
                  <c:v>first class</c:v>
                </c:pt>
                <c:pt idx="1">
                  <c:v>Second class lower</c:v>
                </c:pt>
                <c:pt idx="2">
                  <c:v>Second class upper</c:v>
                </c:pt>
                <c:pt idx="3">
                  <c:v>third class</c:v>
                </c:pt>
              </c:strCache>
            </c:strRef>
          </c:cat>
          <c:val>
            <c:numRef>
              <c:f>Pivot_Table!$C$34:$C$38</c:f>
              <c:numCache>
                <c:formatCode>General</c:formatCode>
                <c:ptCount val="4"/>
                <c:pt idx="0">
                  <c:v>1332</c:v>
                </c:pt>
                <c:pt idx="1">
                  <c:v>1467</c:v>
                </c:pt>
                <c:pt idx="2">
                  <c:v>1909</c:v>
                </c:pt>
                <c:pt idx="3">
                  <c:v>1513</c:v>
                </c:pt>
              </c:numCache>
            </c:numRef>
          </c:val>
          <c:extLst>
            <c:ext xmlns:c16="http://schemas.microsoft.com/office/drawing/2014/chart" uri="{C3380CC4-5D6E-409C-BE32-E72D297353CC}">
              <c16:uniqueId val="{00000007-B6D2-416D-ADDF-C02F248A0779}"/>
            </c:ext>
          </c:extLst>
        </c:ser>
        <c:dLbls>
          <c:showLegendKey val="0"/>
          <c:showVal val="0"/>
          <c:showCatName val="0"/>
          <c:showSerName val="0"/>
          <c:showPercent val="0"/>
          <c:showBubbleSize val="0"/>
        </c:dLbls>
        <c:gapWidth val="150"/>
        <c:axId val="1317698255"/>
        <c:axId val="1317691055"/>
      </c:barChart>
      <c:catAx>
        <c:axId val="1317698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7691055"/>
        <c:crosses val="autoZero"/>
        <c:auto val="1"/>
        <c:lblAlgn val="ctr"/>
        <c:lblOffset val="100"/>
        <c:noMultiLvlLbl val="0"/>
      </c:catAx>
      <c:valAx>
        <c:axId val="13176910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7698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[Teen_Mental_Health_Dataset.xlsx]Pivot_Table!PivotTable3</c:name>
    <c:fmtId val="4"/>
  </c:pivotSource>
  <c:chart>
    <c:title>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ivotFmts>
      <c:pivotFmt>
        <c:idx val="0"/>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3"/>
        <c:spPr>
          <a:gradFill>
            <a:gsLst>
              <a:gs pos="100000">
                <a:schemeClr val="accent1">
                  <a:lumMod val="60000"/>
                  <a:lumOff val="40000"/>
                </a:schemeClr>
              </a:gs>
              <a:gs pos="0">
                <a:schemeClr val="accent1"/>
              </a:gs>
            </a:gsLst>
            <a:lin ang="5400000" scaled="0"/>
          </a:gradFill>
          <a:ln w="19050">
            <a:solidFill>
              <a:schemeClr val="lt1"/>
            </a:solidFill>
          </a:ln>
          <a:effectLst/>
        </c:spPr>
      </c:pivotFmt>
    </c:pivotFmts>
    <c:plotArea>
      <c:layout/>
      <c:doughnutChart>
        <c:varyColors val="1"/>
        <c:ser>
          <c:idx val="0"/>
          <c:order val="0"/>
          <c:tx>
            <c:strRef>
              <c:f>Pivot_Table!$B$49</c:f>
              <c:strCache>
                <c:ptCount val="1"/>
                <c:pt idx="0">
                  <c:v>Total</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1-1F10-482D-9781-F55BD98CF014}"/>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3-1F10-482D-9781-F55BD98CF014}"/>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05-1F10-482D-9781-F55BD98CF014}"/>
              </c:ext>
            </c:extLst>
          </c:dPt>
          <c:cat>
            <c:strRef>
              <c:f>Pivot_Table!$A$50:$A$53</c:f>
              <c:strCache>
                <c:ptCount val="3"/>
                <c:pt idx="0">
                  <c:v>Both</c:v>
                </c:pt>
                <c:pt idx="1">
                  <c:v>Instagram</c:v>
                </c:pt>
                <c:pt idx="2">
                  <c:v>TikTok</c:v>
                </c:pt>
              </c:strCache>
            </c:strRef>
          </c:cat>
          <c:val>
            <c:numRef>
              <c:f>Pivot_Table!$B$50:$B$53</c:f>
              <c:numCache>
                <c:formatCode>General</c:formatCode>
                <c:ptCount val="3"/>
                <c:pt idx="0">
                  <c:v>4690</c:v>
                </c:pt>
                <c:pt idx="1">
                  <c:v>4626</c:v>
                </c:pt>
                <c:pt idx="2">
                  <c:v>4481</c:v>
                </c:pt>
              </c:numCache>
            </c:numRef>
          </c:val>
          <c:extLst>
            <c:ext xmlns:c16="http://schemas.microsoft.com/office/drawing/2014/chart" uri="{C3380CC4-5D6E-409C-BE32-E72D297353CC}">
              <c16:uniqueId val="{00000000-62B8-4F68-B2EA-2DC25CD7451C}"/>
            </c:ext>
          </c:extLst>
        </c:ser>
        <c:dLbls>
          <c:showLegendKey val="0"/>
          <c:showVal val="0"/>
          <c:showCatName val="0"/>
          <c:showSerName val="0"/>
          <c:showPercent val="0"/>
          <c:showBubbleSize val="0"/>
          <c:showLeaderLines val="1"/>
        </c:dLbls>
        <c:firstSliceAng val="0"/>
        <c:holeSize val="70"/>
      </c:doughnut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[Teen_Mental_Health_Dataset.xlsx]Pivot_Table!PivotTable6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Pivot_Table!$B$9</c:f>
              <c:strCache>
                <c:ptCount val="1"/>
                <c:pt idx="0">
                  <c:v>Total</c:v>
                </c:pt>
              </c:strCache>
            </c:strRef>
          </c:tx>
          <c:spPr>
            <a:solidFill>
              <a:schemeClr val="accent1"/>
            </a:solidFill>
            <a:ln>
              <a:noFill/>
            </a:ln>
            <a:effectLst/>
          </c:spPr>
          <c:invertIfNegative val="0"/>
          <c:cat>
            <c:strRef>
              <c:f>Pivot_Table!$A$10:$A$13</c:f>
              <c:strCache>
                <c:ptCount val="3"/>
                <c:pt idx="0">
                  <c:v>TikTok</c:v>
                </c:pt>
                <c:pt idx="1">
                  <c:v>Instagram</c:v>
                </c:pt>
                <c:pt idx="2">
                  <c:v>Both</c:v>
                </c:pt>
              </c:strCache>
            </c:strRef>
          </c:cat>
          <c:val>
            <c:numRef>
              <c:f>Pivot_Table!$B$10:$B$13</c:f>
              <c:numCache>
                <c:formatCode>General</c:formatCode>
                <c:ptCount val="3"/>
                <c:pt idx="0">
                  <c:v>268</c:v>
                </c:pt>
                <c:pt idx="1">
                  <c:v>275</c:v>
                </c:pt>
                <c:pt idx="2">
                  <c:v>288</c:v>
                </c:pt>
              </c:numCache>
            </c:numRef>
          </c:val>
          <c:extLst>
            <c:ext xmlns:c16="http://schemas.microsoft.com/office/drawing/2014/chart" uri="{C3380CC4-5D6E-409C-BE32-E72D297353CC}">
              <c16:uniqueId val="{00000000-F15F-474F-9F18-F66F05B794C1}"/>
            </c:ext>
          </c:extLst>
        </c:ser>
        <c:dLbls>
          <c:showLegendKey val="0"/>
          <c:showVal val="0"/>
          <c:showCatName val="0"/>
          <c:showSerName val="0"/>
          <c:showPercent val="0"/>
          <c:showBubbleSize val="0"/>
        </c:dLbls>
        <c:gapWidth val="182"/>
        <c:axId val="1490188351"/>
        <c:axId val="1490178751"/>
      </c:barChart>
      <c:catAx>
        <c:axId val="14901883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0178751"/>
        <c:crosses val="autoZero"/>
        <c:auto val="1"/>
        <c:lblAlgn val="ctr"/>
        <c:lblOffset val="100"/>
        <c:noMultiLvlLbl val="0"/>
      </c:catAx>
      <c:valAx>
        <c:axId val="14901787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0188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[Teen_Mental_Health_Dataset.xlsx]Pivot_Table!PivotTable7</c:name>
    <c:fmtId val="2"/>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5">
                <a:lumMod val="60000"/>
              </a:schemeClr>
            </a:solidFill>
            <a:ln w="9525">
              <a:solidFill>
                <a:schemeClr val="accent5">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6">
                <a:lumMod val="60000"/>
              </a:schemeClr>
            </a:solidFill>
            <a:ln w="9525">
              <a:solidFill>
                <a:schemeClr val="accent6">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Pivot_Table!$B$75:$B$78</c:f>
              <c:strCache>
                <c:ptCount val="1"/>
                <c:pt idx="0">
                  <c:v>Old Teenager - Both - female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Pivot_Table!$A$79:$A$83</c:f>
              <c:strCache>
                <c:ptCount val="4"/>
                <c:pt idx="0">
                  <c:v>first class</c:v>
                </c:pt>
                <c:pt idx="1">
                  <c:v>Second class lower</c:v>
                </c:pt>
                <c:pt idx="2">
                  <c:v>Second class upper</c:v>
                </c:pt>
                <c:pt idx="3">
                  <c:v>third class</c:v>
                </c:pt>
              </c:strCache>
            </c:strRef>
          </c:cat>
          <c:val>
            <c:numRef>
              <c:f>Pivot_Table!$B$79:$B$83</c:f>
              <c:numCache>
                <c:formatCode>General</c:formatCode>
                <c:ptCount val="4"/>
                <c:pt idx="0">
                  <c:v>231</c:v>
                </c:pt>
                <c:pt idx="1">
                  <c:v>334</c:v>
                </c:pt>
                <c:pt idx="2">
                  <c:v>474</c:v>
                </c:pt>
                <c:pt idx="3">
                  <c:v>306</c:v>
                </c:pt>
              </c:numCache>
            </c:numRef>
          </c:val>
          <c:extLst>
            <c:ext xmlns:c16="http://schemas.microsoft.com/office/drawing/2014/chart" uri="{C3380CC4-5D6E-409C-BE32-E72D297353CC}">
              <c16:uniqueId val="{00000000-C481-4CA7-8D16-BC3E647C5C8B}"/>
            </c:ext>
          </c:extLst>
        </c:ser>
        <c:ser>
          <c:idx val="1"/>
          <c:order val="1"/>
          <c:tx>
            <c:strRef>
              <c:f>Pivot_Table!$C$75:$C$78</c:f>
              <c:strCache>
                <c:ptCount val="1"/>
                <c:pt idx="0">
                  <c:v>Old Teenager - Both - male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Pivot_Table!$A$79:$A$83</c:f>
              <c:strCache>
                <c:ptCount val="4"/>
                <c:pt idx="0">
                  <c:v>first class</c:v>
                </c:pt>
                <c:pt idx="1">
                  <c:v>Second class lower</c:v>
                </c:pt>
                <c:pt idx="2">
                  <c:v>Second class upper</c:v>
                </c:pt>
                <c:pt idx="3">
                  <c:v>third class</c:v>
                </c:pt>
              </c:strCache>
            </c:strRef>
          </c:cat>
          <c:val>
            <c:numRef>
              <c:f>Pivot_Table!$C$79:$C$83</c:f>
              <c:numCache>
                <c:formatCode>General</c:formatCode>
                <c:ptCount val="4"/>
                <c:pt idx="0">
                  <c:v>200</c:v>
                </c:pt>
                <c:pt idx="1">
                  <c:v>285</c:v>
                </c:pt>
                <c:pt idx="2">
                  <c:v>342</c:v>
                </c:pt>
                <c:pt idx="3">
                  <c:v>358</c:v>
                </c:pt>
              </c:numCache>
            </c:numRef>
          </c:val>
          <c:extLst>
            <c:ext xmlns:c16="http://schemas.microsoft.com/office/drawing/2014/chart" uri="{C3380CC4-5D6E-409C-BE32-E72D297353CC}">
              <c16:uniqueId val="{00000001-C481-4CA7-8D16-BC3E647C5C8B}"/>
            </c:ext>
          </c:extLst>
        </c:ser>
        <c:ser>
          <c:idx val="2"/>
          <c:order val="2"/>
          <c:tx>
            <c:strRef>
              <c:f>Pivot_Table!$E$75:$E$78</c:f>
              <c:strCache>
                <c:ptCount val="1"/>
                <c:pt idx="0">
                  <c:v>Old Teenager - Instagram - female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Pivot_Table!$A$79:$A$83</c:f>
              <c:strCache>
                <c:ptCount val="4"/>
                <c:pt idx="0">
                  <c:v>first class</c:v>
                </c:pt>
                <c:pt idx="1">
                  <c:v>Second class lower</c:v>
                </c:pt>
                <c:pt idx="2">
                  <c:v>Second class upper</c:v>
                </c:pt>
                <c:pt idx="3">
                  <c:v>third class</c:v>
                </c:pt>
              </c:strCache>
            </c:strRef>
          </c:cat>
          <c:val>
            <c:numRef>
              <c:f>Pivot_Table!$E$79:$E$83</c:f>
              <c:numCache>
                <c:formatCode>General</c:formatCode>
                <c:ptCount val="4"/>
                <c:pt idx="0">
                  <c:v>176</c:v>
                </c:pt>
                <c:pt idx="1">
                  <c:v>248</c:v>
                </c:pt>
                <c:pt idx="2">
                  <c:v>351</c:v>
                </c:pt>
                <c:pt idx="3">
                  <c:v>322</c:v>
                </c:pt>
              </c:numCache>
            </c:numRef>
          </c:val>
          <c:extLst>
            <c:ext xmlns:c16="http://schemas.microsoft.com/office/drawing/2014/chart" uri="{C3380CC4-5D6E-409C-BE32-E72D297353CC}">
              <c16:uniqueId val="{00000002-C481-4CA7-8D16-BC3E647C5C8B}"/>
            </c:ext>
          </c:extLst>
        </c:ser>
        <c:ser>
          <c:idx val="3"/>
          <c:order val="3"/>
          <c:tx>
            <c:strRef>
              <c:f>Pivot_Table!$F$75:$F$78</c:f>
              <c:strCache>
                <c:ptCount val="1"/>
                <c:pt idx="0">
                  <c:v>Old Teenager - Instagram - male</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Pivot_Table!$A$79:$A$83</c:f>
              <c:strCache>
                <c:ptCount val="4"/>
                <c:pt idx="0">
                  <c:v>first class</c:v>
                </c:pt>
                <c:pt idx="1">
                  <c:v>Second class lower</c:v>
                </c:pt>
                <c:pt idx="2">
                  <c:v>Second class upper</c:v>
                </c:pt>
                <c:pt idx="3">
                  <c:v>third class</c:v>
                </c:pt>
              </c:strCache>
            </c:strRef>
          </c:cat>
          <c:val>
            <c:numRef>
              <c:f>Pivot_Table!$F$79:$F$83</c:f>
              <c:numCache>
                <c:formatCode>General</c:formatCode>
                <c:ptCount val="4"/>
                <c:pt idx="0">
                  <c:v>220</c:v>
                </c:pt>
                <c:pt idx="1">
                  <c:v>372</c:v>
                </c:pt>
                <c:pt idx="2">
                  <c:v>475</c:v>
                </c:pt>
                <c:pt idx="3">
                  <c:v>307</c:v>
                </c:pt>
              </c:numCache>
            </c:numRef>
          </c:val>
          <c:extLst>
            <c:ext xmlns:c16="http://schemas.microsoft.com/office/drawing/2014/chart" uri="{C3380CC4-5D6E-409C-BE32-E72D297353CC}">
              <c16:uniqueId val="{00000003-C481-4CA7-8D16-BC3E647C5C8B}"/>
            </c:ext>
          </c:extLst>
        </c:ser>
        <c:ser>
          <c:idx val="4"/>
          <c:order val="4"/>
          <c:tx>
            <c:strRef>
              <c:f>Pivot_Table!$H$75:$H$78</c:f>
              <c:strCache>
                <c:ptCount val="1"/>
                <c:pt idx="0">
                  <c:v>Old Teenager - TikTok - female</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Pivot_Table!$A$79:$A$83</c:f>
              <c:strCache>
                <c:ptCount val="4"/>
                <c:pt idx="0">
                  <c:v>first class</c:v>
                </c:pt>
                <c:pt idx="1">
                  <c:v>Second class lower</c:v>
                </c:pt>
                <c:pt idx="2">
                  <c:v>Second class upper</c:v>
                </c:pt>
                <c:pt idx="3">
                  <c:v>third class</c:v>
                </c:pt>
              </c:strCache>
            </c:strRef>
          </c:cat>
          <c:val>
            <c:numRef>
              <c:f>Pivot_Table!$H$79:$H$83</c:f>
              <c:numCache>
                <c:formatCode>General</c:formatCode>
                <c:ptCount val="4"/>
                <c:pt idx="0">
                  <c:v>334</c:v>
                </c:pt>
                <c:pt idx="1">
                  <c:v>309</c:v>
                </c:pt>
                <c:pt idx="2">
                  <c:v>225</c:v>
                </c:pt>
                <c:pt idx="3">
                  <c:v>261</c:v>
                </c:pt>
              </c:numCache>
            </c:numRef>
          </c:val>
          <c:extLst>
            <c:ext xmlns:c16="http://schemas.microsoft.com/office/drawing/2014/chart" uri="{C3380CC4-5D6E-409C-BE32-E72D297353CC}">
              <c16:uniqueId val="{00000004-C481-4CA7-8D16-BC3E647C5C8B}"/>
            </c:ext>
          </c:extLst>
        </c:ser>
        <c:ser>
          <c:idx val="5"/>
          <c:order val="5"/>
          <c:tx>
            <c:strRef>
              <c:f>Pivot_Table!$I$75:$I$78</c:f>
              <c:strCache>
                <c:ptCount val="1"/>
                <c:pt idx="0">
                  <c:v>Old Teenager - TikTok - male</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Pivot_Table!$A$79:$A$83</c:f>
              <c:strCache>
                <c:ptCount val="4"/>
                <c:pt idx="0">
                  <c:v>first class</c:v>
                </c:pt>
                <c:pt idx="1">
                  <c:v>Second class lower</c:v>
                </c:pt>
                <c:pt idx="2">
                  <c:v>Second class upper</c:v>
                </c:pt>
                <c:pt idx="3">
                  <c:v>third class</c:v>
                </c:pt>
              </c:strCache>
            </c:strRef>
          </c:cat>
          <c:val>
            <c:numRef>
              <c:f>Pivot_Table!$I$79:$I$83</c:f>
              <c:numCache>
                <c:formatCode>General</c:formatCode>
                <c:ptCount val="4"/>
                <c:pt idx="0">
                  <c:v>254</c:v>
                </c:pt>
                <c:pt idx="1">
                  <c:v>455</c:v>
                </c:pt>
                <c:pt idx="2">
                  <c:v>400</c:v>
                </c:pt>
                <c:pt idx="3">
                  <c:v>337</c:v>
                </c:pt>
              </c:numCache>
            </c:numRef>
          </c:val>
          <c:extLst>
            <c:ext xmlns:c16="http://schemas.microsoft.com/office/drawing/2014/chart" uri="{C3380CC4-5D6E-409C-BE32-E72D297353CC}">
              <c16:uniqueId val="{00000005-C481-4CA7-8D16-BC3E647C5C8B}"/>
            </c:ext>
          </c:extLst>
        </c:ser>
        <c:ser>
          <c:idx val="6"/>
          <c:order val="6"/>
          <c:tx>
            <c:strRef>
              <c:f>Pivot_Table!$L$75:$L$78</c:f>
              <c:strCache>
                <c:ptCount val="1"/>
                <c:pt idx="0">
                  <c:v>Young Teenager - Both - female</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Pivot_Table!$A$79:$A$83</c:f>
              <c:strCache>
                <c:ptCount val="4"/>
                <c:pt idx="0">
                  <c:v>first class</c:v>
                </c:pt>
                <c:pt idx="1">
                  <c:v>Second class lower</c:v>
                </c:pt>
                <c:pt idx="2">
                  <c:v>Second class upper</c:v>
                </c:pt>
                <c:pt idx="3">
                  <c:v>third class</c:v>
                </c:pt>
              </c:strCache>
            </c:strRef>
          </c:cat>
          <c:val>
            <c:numRef>
              <c:f>Pivot_Table!$L$79:$L$83</c:f>
              <c:numCache>
                <c:formatCode>General</c:formatCode>
                <c:ptCount val="4"/>
                <c:pt idx="0">
                  <c:v>253</c:v>
                </c:pt>
                <c:pt idx="1">
                  <c:v>243</c:v>
                </c:pt>
                <c:pt idx="2">
                  <c:v>204</c:v>
                </c:pt>
                <c:pt idx="3">
                  <c:v>250</c:v>
                </c:pt>
              </c:numCache>
            </c:numRef>
          </c:val>
          <c:extLst>
            <c:ext xmlns:c16="http://schemas.microsoft.com/office/drawing/2014/chart" uri="{C3380CC4-5D6E-409C-BE32-E72D297353CC}">
              <c16:uniqueId val="{00000025-04AE-4FE4-81C9-65929078D1DF}"/>
            </c:ext>
          </c:extLst>
        </c:ser>
        <c:ser>
          <c:idx val="7"/>
          <c:order val="7"/>
          <c:tx>
            <c:strRef>
              <c:f>Pivot_Table!$M$75:$M$78</c:f>
              <c:strCache>
                <c:ptCount val="1"/>
                <c:pt idx="0">
                  <c:v>Young Teenager - Both - male</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strRef>
              <c:f>Pivot_Table!$A$79:$A$83</c:f>
              <c:strCache>
                <c:ptCount val="4"/>
                <c:pt idx="0">
                  <c:v>first class</c:v>
                </c:pt>
                <c:pt idx="1">
                  <c:v>Second class lower</c:v>
                </c:pt>
                <c:pt idx="2">
                  <c:v>Second class upper</c:v>
                </c:pt>
                <c:pt idx="3">
                  <c:v>third class</c:v>
                </c:pt>
              </c:strCache>
            </c:strRef>
          </c:cat>
          <c:val>
            <c:numRef>
              <c:f>Pivot_Table!$M$79:$M$83</c:f>
              <c:numCache>
                <c:formatCode>General</c:formatCode>
                <c:ptCount val="4"/>
                <c:pt idx="0">
                  <c:v>181</c:v>
                </c:pt>
                <c:pt idx="1">
                  <c:v>300</c:v>
                </c:pt>
                <c:pt idx="2">
                  <c:v>476</c:v>
                </c:pt>
                <c:pt idx="3">
                  <c:v>253</c:v>
                </c:pt>
              </c:numCache>
            </c:numRef>
          </c:val>
          <c:extLst>
            <c:ext xmlns:c16="http://schemas.microsoft.com/office/drawing/2014/chart" uri="{C3380CC4-5D6E-409C-BE32-E72D297353CC}">
              <c16:uniqueId val="{00000026-04AE-4FE4-81C9-65929078D1DF}"/>
            </c:ext>
          </c:extLst>
        </c:ser>
        <c:ser>
          <c:idx val="8"/>
          <c:order val="8"/>
          <c:tx>
            <c:strRef>
              <c:f>Pivot_Table!$O$75:$O$78</c:f>
              <c:strCache>
                <c:ptCount val="1"/>
                <c:pt idx="0">
                  <c:v>Young Teenager - Instagram - female</c:v>
                </c:pt>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strRef>
              <c:f>Pivot_Table!$A$79:$A$83</c:f>
              <c:strCache>
                <c:ptCount val="4"/>
                <c:pt idx="0">
                  <c:v>first class</c:v>
                </c:pt>
                <c:pt idx="1">
                  <c:v>Second class lower</c:v>
                </c:pt>
                <c:pt idx="2">
                  <c:v>Second class upper</c:v>
                </c:pt>
                <c:pt idx="3">
                  <c:v>third class</c:v>
                </c:pt>
              </c:strCache>
            </c:strRef>
          </c:cat>
          <c:val>
            <c:numRef>
              <c:f>Pivot_Table!$O$79:$O$83</c:f>
              <c:numCache>
                <c:formatCode>General</c:formatCode>
                <c:ptCount val="4"/>
                <c:pt idx="0">
                  <c:v>243</c:v>
                </c:pt>
                <c:pt idx="1">
                  <c:v>244</c:v>
                </c:pt>
                <c:pt idx="2">
                  <c:v>295</c:v>
                </c:pt>
                <c:pt idx="3">
                  <c:v>305</c:v>
                </c:pt>
              </c:numCache>
            </c:numRef>
          </c:val>
          <c:extLst>
            <c:ext xmlns:c16="http://schemas.microsoft.com/office/drawing/2014/chart" uri="{C3380CC4-5D6E-409C-BE32-E72D297353CC}">
              <c16:uniqueId val="{00000027-04AE-4FE4-81C9-65929078D1DF}"/>
            </c:ext>
          </c:extLst>
        </c:ser>
        <c:ser>
          <c:idx val="9"/>
          <c:order val="9"/>
          <c:tx>
            <c:strRef>
              <c:f>Pivot_Table!$P$75:$P$78</c:f>
              <c:strCache>
                <c:ptCount val="1"/>
                <c:pt idx="0">
                  <c:v>Young Teenager - Instagram - male</c:v>
                </c:pt>
              </c:strCache>
            </c:strRef>
          </c:tx>
          <c:spPr>
            <a:ln w="28575"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cat>
            <c:strRef>
              <c:f>Pivot_Table!$A$79:$A$83</c:f>
              <c:strCache>
                <c:ptCount val="4"/>
                <c:pt idx="0">
                  <c:v>first class</c:v>
                </c:pt>
                <c:pt idx="1">
                  <c:v>Second class lower</c:v>
                </c:pt>
                <c:pt idx="2">
                  <c:v>Second class upper</c:v>
                </c:pt>
                <c:pt idx="3">
                  <c:v>third class</c:v>
                </c:pt>
              </c:strCache>
            </c:strRef>
          </c:cat>
          <c:val>
            <c:numRef>
              <c:f>Pivot_Table!$P$79:$P$83</c:f>
              <c:numCache>
                <c:formatCode>General</c:formatCode>
                <c:ptCount val="4"/>
                <c:pt idx="0">
                  <c:v>246</c:v>
                </c:pt>
                <c:pt idx="1">
                  <c:v>200</c:v>
                </c:pt>
                <c:pt idx="2">
                  <c:v>416</c:v>
                </c:pt>
                <c:pt idx="3">
                  <c:v>206</c:v>
                </c:pt>
              </c:numCache>
            </c:numRef>
          </c:val>
          <c:extLst>
            <c:ext xmlns:c16="http://schemas.microsoft.com/office/drawing/2014/chart" uri="{C3380CC4-5D6E-409C-BE32-E72D297353CC}">
              <c16:uniqueId val="{00000028-04AE-4FE4-81C9-65929078D1DF}"/>
            </c:ext>
          </c:extLst>
        </c:ser>
        <c:ser>
          <c:idx val="10"/>
          <c:order val="10"/>
          <c:tx>
            <c:strRef>
              <c:f>Pivot_Table!$R$75:$R$78</c:f>
              <c:strCache>
                <c:ptCount val="1"/>
                <c:pt idx="0">
                  <c:v>Young Teenager - TikTok - female</c:v>
                </c:pt>
              </c:strCache>
            </c:strRef>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cat>
            <c:strRef>
              <c:f>Pivot_Table!$A$79:$A$83</c:f>
              <c:strCache>
                <c:ptCount val="4"/>
                <c:pt idx="0">
                  <c:v>first class</c:v>
                </c:pt>
                <c:pt idx="1">
                  <c:v>Second class lower</c:v>
                </c:pt>
                <c:pt idx="2">
                  <c:v>Second class upper</c:v>
                </c:pt>
                <c:pt idx="3">
                  <c:v>third class</c:v>
                </c:pt>
              </c:strCache>
            </c:strRef>
          </c:cat>
          <c:val>
            <c:numRef>
              <c:f>Pivot_Table!$R$79:$R$83</c:f>
              <c:numCache>
                <c:formatCode>General</c:formatCode>
                <c:ptCount val="4"/>
                <c:pt idx="0">
                  <c:v>191</c:v>
                </c:pt>
                <c:pt idx="1">
                  <c:v>207</c:v>
                </c:pt>
                <c:pt idx="2">
                  <c:v>284</c:v>
                </c:pt>
                <c:pt idx="3">
                  <c:v>233</c:v>
                </c:pt>
              </c:numCache>
            </c:numRef>
          </c:val>
          <c:extLst>
            <c:ext xmlns:c16="http://schemas.microsoft.com/office/drawing/2014/chart" uri="{C3380CC4-5D6E-409C-BE32-E72D297353CC}">
              <c16:uniqueId val="{00000029-04AE-4FE4-81C9-65929078D1DF}"/>
            </c:ext>
          </c:extLst>
        </c:ser>
        <c:ser>
          <c:idx val="11"/>
          <c:order val="11"/>
          <c:tx>
            <c:strRef>
              <c:f>Pivot_Table!$S$75:$S$78</c:f>
              <c:strCache>
                <c:ptCount val="1"/>
                <c:pt idx="0">
                  <c:v>Young Teenager - TikTok - male</c:v>
                </c:pt>
              </c:strCache>
            </c:strRef>
          </c:tx>
          <c:spPr>
            <a:ln w="28575"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cat>
            <c:strRef>
              <c:f>Pivot_Table!$A$79:$A$83</c:f>
              <c:strCache>
                <c:ptCount val="4"/>
                <c:pt idx="0">
                  <c:v>first class</c:v>
                </c:pt>
                <c:pt idx="1">
                  <c:v>Second class lower</c:v>
                </c:pt>
                <c:pt idx="2">
                  <c:v>Second class upper</c:v>
                </c:pt>
                <c:pt idx="3">
                  <c:v>third class</c:v>
                </c:pt>
              </c:strCache>
            </c:strRef>
          </c:cat>
          <c:val>
            <c:numRef>
              <c:f>Pivot_Table!$S$79:$S$83</c:f>
              <c:numCache>
                <c:formatCode>General</c:formatCode>
                <c:ptCount val="4"/>
                <c:pt idx="0">
                  <c:v>218</c:v>
                </c:pt>
                <c:pt idx="1">
                  <c:v>273</c:v>
                </c:pt>
                <c:pt idx="2">
                  <c:v>234</c:v>
                </c:pt>
                <c:pt idx="3">
                  <c:v>266</c:v>
                </c:pt>
              </c:numCache>
            </c:numRef>
          </c:val>
          <c:extLst>
            <c:ext xmlns:c16="http://schemas.microsoft.com/office/drawing/2014/chart" uri="{C3380CC4-5D6E-409C-BE32-E72D297353CC}">
              <c16:uniqueId val="{0000002A-04AE-4FE4-81C9-65929078D1DF}"/>
            </c:ext>
          </c:extLst>
        </c:ser>
        <c:dLbls>
          <c:showLegendKey val="0"/>
          <c:showVal val="0"/>
          <c:showCatName val="0"/>
          <c:showSerName val="0"/>
          <c:showPercent val="0"/>
          <c:showBubbleSize val="0"/>
        </c:dLbls>
        <c:axId val="1469520639"/>
        <c:axId val="1469528319"/>
      </c:radarChart>
      <c:catAx>
        <c:axId val="1469520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9528319"/>
        <c:crosses val="autoZero"/>
        <c:auto val="1"/>
        <c:lblAlgn val="ctr"/>
        <c:lblOffset val="100"/>
        <c:noMultiLvlLbl val="0"/>
      </c:catAx>
      <c:valAx>
        <c:axId val="14695283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9520639"/>
        <c:crosses val="autoZero"/>
        <c:crossBetween val="between"/>
      </c:valAx>
      <c:spPr>
        <a:noFill/>
        <a:ln>
          <a:noFill/>
        </a:ln>
        <a:effectLst/>
      </c:spPr>
    </c:plotArea>
    <c:legend>
      <c:legendPos val="r"/>
      <c:layout>
        <c:manualLayout>
          <c:xMode val="edge"/>
          <c:yMode val="edge"/>
          <c:x val="0.64444444444444449"/>
          <c:y val="0.26946959755030619"/>
          <c:w val="0.33333333333333331"/>
          <c:h val="0.4981193113863334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[Teen_Mental_Health_Dataset.xlsx]Pivot_Table!PivotTable5</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Pivot_Table!$B$60</c:f>
              <c:strCache>
                <c:ptCount val="1"/>
                <c:pt idx="0">
                  <c:v>Total</c:v>
                </c:pt>
              </c:strCache>
            </c:strRef>
          </c:tx>
          <c:spPr>
            <a:solidFill>
              <a:schemeClr val="accent1"/>
            </a:solidFill>
            <a:ln>
              <a:noFill/>
            </a:ln>
            <a:effectLst/>
          </c:spPr>
          <c:invertIfNegative val="0"/>
          <c:cat>
            <c:strRef>
              <c:f>Pivot_Table!$A$61:$A$63</c:f>
              <c:strCache>
                <c:ptCount val="2"/>
                <c:pt idx="0">
                  <c:v>low</c:v>
                </c:pt>
                <c:pt idx="1">
                  <c:v>medium</c:v>
                </c:pt>
              </c:strCache>
            </c:strRef>
          </c:cat>
          <c:val>
            <c:numRef>
              <c:f>Pivot_Table!$B$61:$B$63</c:f>
              <c:numCache>
                <c:formatCode>General</c:formatCode>
                <c:ptCount val="2"/>
                <c:pt idx="0">
                  <c:v>2220</c:v>
                </c:pt>
                <c:pt idx="1">
                  <c:v>2281</c:v>
                </c:pt>
              </c:numCache>
            </c:numRef>
          </c:val>
          <c:extLst>
            <c:ext xmlns:c16="http://schemas.microsoft.com/office/drawing/2014/chart" uri="{C3380CC4-5D6E-409C-BE32-E72D297353CC}">
              <c16:uniqueId val="{00000000-A89C-425B-A147-8D6355F3A5B8}"/>
            </c:ext>
          </c:extLst>
        </c:ser>
        <c:dLbls>
          <c:showLegendKey val="0"/>
          <c:showVal val="0"/>
          <c:showCatName val="0"/>
          <c:showSerName val="0"/>
          <c:showPercent val="0"/>
          <c:showBubbleSize val="0"/>
        </c:dLbls>
        <c:gapWidth val="150"/>
        <c:overlap val="100"/>
        <c:axId val="2054739040"/>
        <c:axId val="2054728960"/>
      </c:barChart>
      <c:catAx>
        <c:axId val="2054739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4728960"/>
        <c:crosses val="autoZero"/>
        <c:auto val="1"/>
        <c:lblAlgn val="ctr"/>
        <c:lblOffset val="100"/>
        <c:noMultiLvlLbl val="0"/>
      </c:catAx>
      <c:valAx>
        <c:axId val="2054728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4739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rnd"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[Teen_Mental_Health_Dataset.xlsx]Pivot_Table!PivotTable1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EFB70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00BE7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Pivot_Table!$B$32:$B$33</c:f>
              <c:strCache>
                <c:ptCount val="1"/>
                <c:pt idx="0">
                  <c:v>Old Teenager</c:v>
                </c:pt>
              </c:strCache>
            </c:strRef>
          </c:tx>
          <c:spPr>
            <a:solidFill>
              <a:srgbClr val="EFB70D"/>
            </a:solidFill>
            <a:ln>
              <a:noFill/>
            </a:ln>
            <a:effectLst/>
          </c:spPr>
          <c:invertIfNegative val="0"/>
          <c:cat>
            <c:strRef>
              <c:f>Pivot_Table!$A$34:$A$38</c:f>
              <c:strCache>
                <c:ptCount val="4"/>
                <c:pt idx="0">
                  <c:v>first class</c:v>
                </c:pt>
                <c:pt idx="1">
                  <c:v>Second class lower</c:v>
                </c:pt>
                <c:pt idx="2">
                  <c:v>Second class upper</c:v>
                </c:pt>
                <c:pt idx="3">
                  <c:v>third class</c:v>
                </c:pt>
              </c:strCache>
            </c:strRef>
          </c:cat>
          <c:val>
            <c:numRef>
              <c:f>Pivot_Table!$B$34:$B$38</c:f>
              <c:numCache>
                <c:formatCode>General</c:formatCode>
                <c:ptCount val="4"/>
                <c:pt idx="0">
                  <c:v>1415</c:v>
                </c:pt>
                <c:pt idx="1">
                  <c:v>2003</c:v>
                </c:pt>
                <c:pt idx="2">
                  <c:v>2267</c:v>
                </c:pt>
                <c:pt idx="3">
                  <c:v>1891</c:v>
                </c:pt>
              </c:numCache>
            </c:numRef>
          </c:val>
          <c:extLst>
            <c:ext xmlns:c16="http://schemas.microsoft.com/office/drawing/2014/chart" uri="{C3380CC4-5D6E-409C-BE32-E72D297353CC}">
              <c16:uniqueId val="{00000000-40AF-41F3-9E0B-6E6E7CD753C5}"/>
            </c:ext>
          </c:extLst>
        </c:ser>
        <c:ser>
          <c:idx val="1"/>
          <c:order val="1"/>
          <c:tx>
            <c:strRef>
              <c:f>Pivot_Table!$C$32:$C$33</c:f>
              <c:strCache>
                <c:ptCount val="1"/>
                <c:pt idx="0">
                  <c:v>Young Teenager</c:v>
                </c:pt>
              </c:strCache>
            </c:strRef>
          </c:tx>
          <c:spPr>
            <a:solidFill>
              <a:srgbClr val="00BE70"/>
            </a:solidFill>
            <a:ln>
              <a:noFill/>
            </a:ln>
            <a:effectLst/>
          </c:spPr>
          <c:invertIfNegative val="0"/>
          <c:cat>
            <c:strRef>
              <c:f>Pivot_Table!$A$34:$A$38</c:f>
              <c:strCache>
                <c:ptCount val="4"/>
                <c:pt idx="0">
                  <c:v>first class</c:v>
                </c:pt>
                <c:pt idx="1">
                  <c:v>Second class lower</c:v>
                </c:pt>
                <c:pt idx="2">
                  <c:v>Second class upper</c:v>
                </c:pt>
                <c:pt idx="3">
                  <c:v>third class</c:v>
                </c:pt>
              </c:strCache>
            </c:strRef>
          </c:cat>
          <c:val>
            <c:numRef>
              <c:f>Pivot_Table!$C$34:$C$38</c:f>
              <c:numCache>
                <c:formatCode>General</c:formatCode>
                <c:ptCount val="4"/>
                <c:pt idx="0">
                  <c:v>1332</c:v>
                </c:pt>
                <c:pt idx="1">
                  <c:v>1467</c:v>
                </c:pt>
                <c:pt idx="2">
                  <c:v>1909</c:v>
                </c:pt>
                <c:pt idx="3">
                  <c:v>1513</c:v>
                </c:pt>
              </c:numCache>
            </c:numRef>
          </c:val>
          <c:extLst>
            <c:ext xmlns:c16="http://schemas.microsoft.com/office/drawing/2014/chart" uri="{C3380CC4-5D6E-409C-BE32-E72D297353CC}">
              <c16:uniqueId val="{00000007-578B-4618-A6B6-771197692C43}"/>
            </c:ext>
          </c:extLst>
        </c:ser>
        <c:dLbls>
          <c:showLegendKey val="0"/>
          <c:showVal val="0"/>
          <c:showCatName val="0"/>
          <c:showSerName val="0"/>
          <c:showPercent val="0"/>
          <c:showBubbleSize val="0"/>
        </c:dLbls>
        <c:gapWidth val="150"/>
        <c:axId val="1317698255"/>
        <c:axId val="1317691055"/>
      </c:barChart>
      <c:catAx>
        <c:axId val="1317698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17691055"/>
        <c:crosses val="autoZero"/>
        <c:auto val="1"/>
        <c:lblAlgn val="ctr"/>
        <c:lblOffset val="100"/>
        <c:noMultiLvlLbl val="0"/>
      </c:catAx>
      <c:valAx>
        <c:axId val="13176910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17698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aseline="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[Teen_Mental_Health_Dataset.xlsx]Pivot_Table!PivotTable6</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FB70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Pivot_Table!$B$9</c:f>
              <c:strCache>
                <c:ptCount val="1"/>
                <c:pt idx="0">
                  <c:v>Total</c:v>
                </c:pt>
              </c:strCache>
            </c:strRef>
          </c:tx>
          <c:spPr>
            <a:solidFill>
              <a:srgbClr val="EFB70D"/>
            </a:solidFill>
            <a:ln>
              <a:noFill/>
            </a:ln>
            <a:effectLst/>
          </c:spPr>
          <c:invertIfNegative val="0"/>
          <c:cat>
            <c:strRef>
              <c:f>Pivot_Table!$A$10:$A$13</c:f>
              <c:strCache>
                <c:ptCount val="3"/>
                <c:pt idx="0">
                  <c:v>TikTok</c:v>
                </c:pt>
                <c:pt idx="1">
                  <c:v>Instagram</c:v>
                </c:pt>
                <c:pt idx="2">
                  <c:v>Both</c:v>
                </c:pt>
              </c:strCache>
            </c:strRef>
          </c:cat>
          <c:val>
            <c:numRef>
              <c:f>Pivot_Table!$B$10:$B$13</c:f>
              <c:numCache>
                <c:formatCode>General</c:formatCode>
                <c:ptCount val="3"/>
                <c:pt idx="0">
                  <c:v>268</c:v>
                </c:pt>
                <c:pt idx="1">
                  <c:v>275</c:v>
                </c:pt>
                <c:pt idx="2">
                  <c:v>288</c:v>
                </c:pt>
              </c:numCache>
            </c:numRef>
          </c:val>
          <c:extLst>
            <c:ext xmlns:c16="http://schemas.microsoft.com/office/drawing/2014/chart" uri="{C3380CC4-5D6E-409C-BE32-E72D297353CC}">
              <c16:uniqueId val="{00000000-9DEA-493B-AF25-315BD862204C}"/>
            </c:ext>
          </c:extLst>
        </c:ser>
        <c:dLbls>
          <c:showLegendKey val="0"/>
          <c:showVal val="0"/>
          <c:showCatName val="0"/>
          <c:showSerName val="0"/>
          <c:showPercent val="0"/>
          <c:showBubbleSize val="0"/>
        </c:dLbls>
        <c:gapWidth val="182"/>
        <c:axId val="1490188351"/>
        <c:axId val="1490178751"/>
      </c:barChart>
      <c:catAx>
        <c:axId val="14901883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90178751"/>
        <c:crosses val="autoZero"/>
        <c:auto val="1"/>
        <c:lblAlgn val="ctr"/>
        <c:lblOffset val="100"/>
        <c:noMultiLvlLbl val="0"/>
      </c:catAx>
      <c:valAx>
        <c:axId val="14901787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90188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aseline="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[Teen_Mental_Health_Dataset.xlsx]Pivot_Table!PivotTable3</c:name>
    <c:fmtId val="7"/>
  </c:pivotSource>
  <c:chart>
    <c:title>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bg1"/>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7F3AB1"/>
          </a:solidFill>
          <a:ln w="19050">
            <a:solidFill>
              <a:schemeClr val="lt1"/>
            </a:solidFill>
          </a:ln>
          <a:effectLst/>
        </c:spPr>
      </c:pivotFmt>
      <c:pivotFmt>
        <c:idx val="7"/>
        <c:spPr>
          <a:solidFill>
            <a:srgbClr val="EFB70D"/>
          </a:solidFill>
          <a:ln w="19050">
            <a:solidFill>
              <a:schemeClr val="lt1"/>
            </a:solidFill>
          </a:ln>
          <a:effectLst/>
        </c:spPr>
      </c:pivotFmt>
      <c:pivotFmt>
        <c:idx val="8"/>
        <c:spPr>
          <a:solidFill>
            <a:srgbClr val="00F18D"/>
          </a:solidFill>
          <a:ln w="19050">
            <a:solidFill>
              <a:schemeClr val="lt1"/>
            </a:solidFill>
          </a:ln>
          <a:effectLst/>
        </c:spPr>
      </c:pivotFmt>
    </c:pivotFmts>
    <c:plotArea>
      <c:layout/>
      <c:doughnutChart>
        <c:varyColors val="1"/>
        <c:ser>
          <c:idx val="0"/>
          <c:order val="0"/>
          <c:tx>
            <c:strRef>
              <c:f>Pivot_Table!$B$49</c:f>
              <c:strCache>
                <c:ptCount val="1"/>
                <c:pt idx="0">
                  <c:v>Total</c:v>
                </c:pt>
              </c:strCache>
            </c:strRef>
          </c:tx>
          <c:dPt>
            <c:idx val="0"/>
            <c:bubble3D val="0"/>
            <c:spPr>
              <a:solidFill>
                <a:srgbClr val="7F3AB1"/>
              </a:solidFill>
              <a:ln w="19050">
                <a:solidFill>
                  <a:schemeClr val="lt1"/>
                </a:solidFill>
              </a:ln>
              <a:effectLst/>
            </c:spPr>
            <c:extLst>
              <c:ext xmlns:c16="http://schemas.microsoft.com/office/drawing/2014/chart" uri="{C3380CC4-5D6E-409C-BE32-E72D297353CC}">
                <c16:uniqueId val="{00000001-03B0-46B6-92BF-DEA5870292AC}"/>
              </c:ext>
            </c:extLst>
          </c:dPt>
          <c:dPt>
            <c:idx val="1"/>
            <c:bubble3D val="0"/>
            <c:spPr>
              <a:solidFill>
                <a:srgbClr val="EFB70D"/>
              </a:solidFill>
              <a:ln w="19050">
                <a:solidFill>
                  <a:schemeClr val="lt1"/>
                </a:solidFill>
              </a:ln>
              <a:effectLst/>
            </c:spPr>
            <c:extLst>
              <c:ext xmlns:c16="http://schemas.microsoft.com/office/drawing/2014/chart" uri="{C3380CC4-5D6E-409C-BE32-E72D297353CC}">
                <c16:uniqueId val="{00000003-03B0-46B6-92BF-DEA5870292AC}"/>
              </c:ext>
            </c:extLst>
          </c:dPt>
          <c:dPt>
            <c:idx val="2"/>
            <c:bubble3D val="0"/>
            <c:spPr>
              <a:solidFill>
                <a:srgbClr val="00F18D"/>
              </a:solidFill>
              <a:ln w="19050">
                <a:solidFill>
                  <a:schemeClr val="lt1"/>
                </a:solidFill>
              </a:ln>
              <a:effectLst/>
            </c:spPr>
            <c:extLst>
              <c:ext xmlns:c16="http://schemas.microsoft.com/office/drawing/2014/chart" uri="{C3380CC4-5D6E-409C-BE32-E72D297353CC}">
                <c16:uniqueId val="{00000005-03B0-46B6-92BF-DEA5870292AC}"/>
              </c:ext>
            </c:extLst>
          </c:dPt>
          <c:cat>
            <c:strRef>
              <c:f>Pivot_Table!$A$50:$A$53</c:f>
              <c:strCache>
                <c:ptCount val="3"/>
                <c:pt idx="0">
                  <c:v>Both</c:v>
                </c:pt>
                <c:pt idx="1">
                  <c:v>Instagram</c:v>
                </c:pt>
                <c:pt idx="2">
                  <c:v>TikTok</c:v>
                </c:pt>
              </c:strCache>
            </c:strRef>
          </c:cat>
          <c:val>
            <c:numRef>
              <c:f>Pivot_Table!$B$50:$B$53</c:f>
              <c:numCache>
                <c:formatCode>General</c:formatCode>
                <c:ptCount val="3"/>
                <c:pt idx="0">
                  <c:v>4690</c:v>
                </c:pt>
                <c:pt idx="1">
                  <c:v>4626</c:v>
                </c:pt>
                <c:pt idx="2">
                  <c:v>4481</c:v>
                </c:pt>
              </c:numCache>
            </c:numRef>
          </c:val>
          <c:extLst>
            <c:ext xmlns:c16="http://schemas.microsoft.com/office/drawing/2014/chart" uri="{C3380CC4-5D6E-409C-BE32-E72D297353CC}">
              <c16:uniqueId val="{00000006-03B0-46B6-92BF-DEA5870292AC}"/>
            </c:ext>
          </c:extLst>
        </c:ser>
        <c:dLbls>
          <c:showLegendKey val="0"/>
          <c:showVal val="0"/>
          <c:showCatName val="0"/>
          <c:showSerName val="0"/>
          <c:showPercent val="0"/>
          <c:showBubbleSize val="0"/>
          <c:showLeaderLines val="1"/>
        </c:dLbls>
        <c:firstSliceAng val="0"/>
        <c:holeSize val="7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aseline="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[Teen_Mental_Health_Dataset.xlsx]Pivot_Table!PivotTable8</c:name>
    <c:fmtId val="2"/>
  </c:pivotSource>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bg1">
                  <a:lumMod val="9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0"/>
        <c:spPr>
          <a:solidFill>
            <a:srgbClr val="00F18D"/>
          </a:solidFill>
          <a:ln w="19050">
            <a:solidFill>
              <a:schemeClr val="lt1"/>
            </a:solidFill>
          </a:ln>
          <a:effectLst>
            <a:innerShdw blurRad="114300">
              <a:schemeClr val="accent1"/>
            </a:innerShdw>
          </a:effectLst>
        </c:spPr>
      </c:pivotFmt>
      <c:pivotFmt>
        <c:idx val="11"/>
        <c:spPr>
          <a:solidFill>
            <a:srgbClr val="EFB70D"/>
          </a:solidFill>
          <a:ln w="19050">
            <a:solidFill>
              <a:schemeClr val="lt1"/>
            </a:solidFill>
          </a:ln>
          <a:effectLst>
            <a:innerShdw blurRad="114300">
              <a:schemeClr val="accent1"/>
            </a:innerShdw>
          </a:effectLst>
        </c:spPr>
      </c:pivotFmt>
    </c:pivotFmts>
    <c:plotArea>
      <c:layout/>
      <c:pieChart>
        <c:varyColors val="1"/>
        <c:ser>
          <c:idx val="0"/>
          <c:order val="0"/>
          <c:tx>
            <c:strRef>
              <c:f>Pivot_Table!$B$18</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5E7A-4D54-96FA-15F60D521AE6}"/>
              </c:ext>
            </c:extLst>
          </c:dPt>
          <c:dPt>
            <c:idx val="1"/>
            <c:bubble3D val="0"/>
            <c:spPr>
              <a:solidFill>
                <a:srgbClr val="00F18D"/>
              </a:solidFill>
              <a:ln w="19050">
                <a:solidFill>
                  <a:schemeClr val="lt1"/>
                </a:solidFill>
              </a:ln>
              <a:effectLst>
                <a:innerShdw blurRad="114300">
                  <a:schemeClr val="accent2"/>
                </a:innerShdw>
              </a:effectLst>
            </c:spPr>
            <c:extLst>
              <c:ext xmlns:c16="http://schemas.microsoft.com/office/drawing/2014/chart" uri="{C3380CC4-5D6E-409C-BE32-E72D297353CC}">
                <c16:uniqueId val="{00000003-5E7A-4D54-96FA-15F60D521AE6}"/>
              </c:ext>
            </c:extLst>
          </c:dPt>
          <c:dPt>
            <c:idx val="2"/>
            <c:bubble3D val="0"/>
            <c:spPr>
              <a:solidFill>
                <a:srgbClr val="EFB70D"/>
              </a:solidFill>
              <a:ln w="19050">
                <a:solidFill>
                  <a:schemeClr val="lt1"/>
                </a:solidFill>
              </a:ln>
              <a:effectLst>
                <a:innerShdw blurRad="114300">
                  <a:schemeClr val="accent3"/>
                </a:innerShdw>
              </a:effectLst>
            </c:spPr>
            <c:extLst>
              <c:ext xmlns:c16="http://schemas.microsoft.com/office/drawing/2014/chart" uri="{C3380CC4-5D6E-409C-BE32-E72D297353CC}">
                <c16:uniqueId val="{00000005-5E7A-4D54-96FA-15F60D521AE6}"/>
              </c:ext>
            </c:extLst>
          </c:dPt>
          <c:cat>
            <c:strRef>
              <c:f>Pivot_Table!$A$19:$A$22</c:f>
              <c:strCache>
                <c:ptCount val="3"/>
                <c:pt idx="0">
                  <c:v>Mentally Sound</c:v>
                </c:pt>
                <c:pt idx="1">
                  <c:v>Mentally Strained</c:v>
                </c:pt>
                <c:pt idx="2">
                  <c:v>Mentally Unstable</c:v>
                </c:pt>
              </c:strCache>
            </c:strRef>
          </c:cat>
          <c:val>
            <c:numRef>
              <c:f>Pivot_Table!$B$19:$B$22</c:f>
              <c:numCache>
                <c:formatCode>General</c:formatCode>
                <c:ptCount val="3"/>
                <c:pt idx="0">
                  <c:v>294.90000000000009</c:v>
                </c:pt>
                <c:pt idx="1">
                  <c:v>2411.2000000000007</c:v>
                </c:pt>
                <c:pt idx="2">
                  <c:v>1093.2000000000003</c:v>
                </c:pt>
              </c:numCache>
            </c:numRef>
          </c:val>
          <c:extLst>
            <c:ext xmlns:c16="http://schemas.microsoft.com/office/drawing/2014/chart" uri="{C3380CC4-5D6E-409C-BE32-E72D297353CC}">
              <c16:uniqueId val="{00000006-5E7A-4D54-96FA-15F60D521AE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aseline="0">
          <a:solidFill>
            <a:schemeClr val="bg1">
              <a:lumMod val="9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[Teen_Mental_Health_Dataset.xlsx]Pivot_Table!PivotTable5</c:name>
    <c:fmtId val="11"/>
  </c:pivotSource>
  <c:chart>
    <c:title>
      <c:tx>
        <c:rich>
          <a:bodyPr rot="0" spcFirstLastPara="1" vertOverflow="ellipsis" vert="horz" wrap="square" anchor="ctr" anchorCtr="1"/>
          <a:lstStyle/>
          <a:p>
            <a:pPr>
              <a:defRPr sz="1800" b="1" i="0" u="none" strike="noStrike" kern="1200" cap="all" spc="150" baseline="0">
                <a:solidFill>
                  <a:srgbClr val="BEBEBE"/>
                </a:solidFill>
                <a:latin typeface="+mn-lt"/>
                <a:ea typeface="+mn-ea"/>
                <a:cs typeface="+mn-cs"/>
              </a:defRPr>
            </a:pPr>
            <a:r>
              <a:rPr lang="en-US"/>
              <a:t>Social Interaction Level</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rgbClr val="BEBEBE"/>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60000"/>
              <a:lumOff val="40000"/>
            </a:schemeClr>
          </a:solid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EBEBE"/>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Pivot_Table!$B$60</c:f>
              <c:strCache>
                <c:ptCount val="1"/>
                <c:pt idx="0">
                  <c:v>Total</c:v>
                </c:pt>
              </c:strCache>
            </c:strRef>
          </c:tx>
          <c:spPr>
            <a:solidFill>
              <a:schemeClr val="accent3">
                <a:lumMod val="60000"/>
                <a:lumOff val="40000"/>
              </a:schemeClr>
            </a:solidFill>
            <a:ln>
              <a:noFill/>
            </a:ln>
            <a:effectLst>
              <a:innerShdw blurRad="114300">
                <a:schemeClr val="accent1"/>
              </a:innerShdw>
            </a:effectLst>
          </c:spPr>
          <c:invertIfNegative val="0"/>
          <c:cat>
            <c:strRef>
              <c:f>Pivot_Table!$A$61:$A$63</c:f>
              <c:strCache>
                <c:ptCount val="2"/>
                <c:pt idx="0">
                  <c:v>low</c:v>
                </c:pt>
                <c:pt idx="1">
                  <c:v>medium</c:v>
                </c:pt>
              </c:strCache>
            </c:strRef>
          </c:cat>
          <c:val>
            <c:numRef>
              <c:f>Pivot_Table!$B$61:$B$63</c:f>
              <c:numCache>
                <c:formatCode>General</c:formatCode>
                <c:ptCount val="2"/>
                <c:pt idx="0">
                  <c:v>2220</c:v>
                </c:pt>
                <c:pt idx="1">
                  <c:v>2281</c:v>
                </c:pt>
              </c:numCache>
            </c:numRef>
          </c:val>
          <c:extLst>
            <c:ext xmlns:c16="http://schemas.microsoft.com/office/drawing/2014/chart" uri="{C3380CC4-5D6E-409C-BE32-E72D297353CC}">
              <c16:uniqueId val="{00000000-91CA-47B6-91E3-1F67D5C08C21}"/>
            </c:ext>
          </c:extLst>
        </c:ser>
        <c:dLbls>
          <c:showLegendKey val="0"/>
          <c:showVal val="0"/>
          <c:showCatName val="0"/>
          <c:showSerName val="0"/>
          <c:showPercent val="0"/>
          <c:showBubbleSize val="0"/>
        </c:dLbls>
        <c:gapWidth val="150"/>
        <c:overlap val="100"/>
        <c:axId val="2054739040"/>
        <c:axId val="2054728960"/>
      </c:barChart>
      <c:catAx>
        <c:axId val="2054739040"/>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rgbClr val="BEBEBE"/>
                </a:solidFill>
                <a:latin typeface="+mn-lt"/>
                <a:ea typeface="+mn-ea"/>
                <a:cs typeface="+mn-cs"/>
              </a:defRPr>
            </a:pPr>
            <a:endParaRPr lang="en-US"/>
          </a:p>
        </c:txPr>
        <c:crossAx val="2054728960"/>
        <c:crosses val="autoZero"/>
        <c:auto val="1"/>
        <c:lblAlgn val="ctr"/>
        <c:lblOffset val="100"/>
        <c:noMultiLvlLbl val="0"/>
      </c:catAx>
      <c:valAx>
        <c:axId val="2054728960"/>
        <c:scaling>
          <c:orientation val="minMax"/>
        </c:scaling>
        <c:delete val="0"/>
        <c:axPos val="l"/>
        <c:majorGridlines>
          <c:spPr>
            <a:ln>
              <a:solidFill>
                <a:schemeClr val="tx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BEBEBE"/>
                </a:solidFill>
                <a:latin typeface="+mn-lt"/>
                <a:ea typeface="+mn-ea"/>
                <a:cs typeface="+mn-cs"/>
              </a:defRPr>
            </a:pPr>
            <a:endParaRPr lang="en-US"/>
          </a:p>
        </c:txPr>
        <c:crossAx val="2054739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BEBEBE"/>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aseline="0">
          <a:solidFill>
            <a:srgbClr val="BEBEBE"/>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[Teen_Mental_Health_Dataset.xlsx]Pivot_Table!PivotTable3</c:name>
    <c:fmtId val="17"/>
  </c:pivotSource>
  <c:chart>
    <c:title>
      <c:layout>
        <c:manualLayout>
          <c:xMode val="edge"/>
          <c:yMode val="edge"/>
          <c:x val="0.44335134723341629"/>
          <c:y val="5.0874828423016223E-2"/>
        </c:manualLayout>
      </c:layout>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bg2">
                  <a:lumMod val="75000"/>
                </a:schemeClr>
              </a:solidFill>
              <a:latin typeface="+mj-lt"/>
              <a:ea typeface="+mj-ea"/>
              <a:cs typeface="+mj-cs"/>
            </a:defRPr>
          </a:pPr>
          <a:endParaRPr lang="en-US"/>
        </a:p>
      </c:txPr>
    </c:title>
    <c:autoTitleDeleted val="0"/>
    <c:pivotFmts>
      <c:pivotFmt>
        <c:idx val="0"/>
        <c:spPr>
          <a:gradFill>
            <a:gsLst>
              <a:gs pos="100000">
                <a:schemeClr val="accent1">
                  <a:lumMod val="60000"/>
                  <a:lumOff val="40000"/>
                </a:schemeClr>
              </a:gs>
              <a:gs pos="0">
                <a:schemeClr val="accent1"/>
              </a:gs>
            </a:gsLst>
            <a:lin ang="5400000" scaled="0"/>
          </a:gradFill>
          <a:ln w="19050">
            <a:solidFill>
              <a:schemeClr val="lt1"/>
            </a:solid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
        <c:spPr>
          <a:gradFill>
            <a:gsLst>
              <a:gs pos="100000">
                <a:schemeClr val="accent2">
                  <a:lumMod val="60000"/>
                  <a:lumOff val="40000"/>
                </a:schemeClr>
              </a:gs>
              <a:gs pos="0">
                <a:schemeClr val="accent2"/>
              </a:gs>
            </a:gsLst>
            <a:lin ang="5400000" scaled="0"/>
          </a:gradFill>
          <a:ln w="19050">
            <a:solidFill>
              <a:schemeClr val="lt1"/>
            </a:solidFill>
          </a:ln>
          <a:effectLst/>
        </c:spPr>
      </c:pivotFmt>
      <c:pivotFmt>
        <c:idx val="3"/>
        <c:spPr>
          <a:gradFill>
            <a:gsLst>
              <a:gs pos="100000">
                <a:schemeClr val="accent3">
                  <a:lumMod val="60000"/>
                  <a:lumOff val="40000"/>
                </a:schemeClr>
              </a:gs>
              <a:gs pos="0">
                <a:schemeClr val="accent3"/>
              </a:gs>
            </a:gsLst>
            <a:lin ang="5400000" scaled="0"/>
          </a:gradFill>
          <a:ln w="19050">
            <a:solidFill>
              <a:schemeClr val="lt1"/>
            </a:solidFill>
          </a:ln>
          <a:effectLst/>
        </c:spPr>
      </c:pivotFmt>
      <c:pivotFmt>
        <c:idx val="4"/>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6"/>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7"/>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8"/>
        <c:spPr>
          <a:gradFill>
            <a:gsLst>
              <a:gs pos="100000">
                <a:schemeClr val="accent1">
                  <a:lumMod val="60000"/>
                  <a:lumOff val="40000"/>
                </a:schemeClr>
              </a:gs>
              <a:gs pos="0">
                <a:schemeClr val="accent1"/>
              </a:gs>
            </a:gsLst>
            <a:lin ang="5400000" scaled="0"/>
          </a:gradFill>
          <a:ln w="19050">
            <a:solidFill>
              <a:schemeClr val="tx1">
                <a:lumMod val="50000"/>
                <a:lumOff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a:gsLst>
              <a:gs pos="100000">
                <a:schemeClr val="accent1">
                  <a:lumMod val="60000"/>
                  <a:lumOff val="40000"/>
                </a:schemeClr>
              </a:gs>
              <a:gs pos="0">
                <a:schemeClr val="accent1"/>
              </a:gs>
            </a:gsLst>
            <a:lin ang="5400000" scaled="0"/>
          </a:gradFill>
          <a:ln w="19050">
            <a:solidFill>
              <a:schemeClr val="tx1">
                <a:lumMod val="50000"/>
                <a:lumOff val="50000"/>
              </a:schemeClr>
            </a:solidFill>
          </a:ln>
          <a:effectLst/>
        </c:spPr>
      </c:pivotFmt>
      <c:pivotFmt>
        <c:idx val="10"/>
        <c:spPr>
          <a:gradFill>
            <a:gsLst>
              <a:gs pos="100000">
                <a:schemeClr val="accent1">
                  <a:lumMod val="60000"/>
                  <a:lumOff val="40000"/>
                </a:schemeClr>
              </a:gs>
              <a:gs pos="0">
                <a:schemeClr val="accent1"/>
              </a:gs>
            </a:gsLst>
            <a:lin ang="5400000" scaled="0"/>
          </a:gradFill>
          <a:ln w="19050">
            <a:solidFill>
              <a:schemeClr val="tx1">
                <a:lumMod val="50000"/>
                <a:lumOff val="50000"/>
              </a:schemeClr>
            </a:solidFill>
          </a:ln>
          <a:effectLst/>
        </c:spPr>
      </c:pivotFmt>
      <c:pivotFmt>
        <c:idx val="11"/>
        <c:spPr>
          <a:gradFill>
            <a:gsLst>
              <a:gs pos="100000">
                <a:schemeClr val="accent1">
                  <a:lumMod val="60000"/>
                  <a:lumOff val="40000"/>
                </a:schemeClr>
              </a:gs>
              <a:gs pos="0">
                <a:schemeClr val="accent1"/>
              </a:gs>
            </a:gsLst>
            <a:lin ang="5400000" scaled="0"/>
          </a:gradFill>
          <a:ln w="19050">
            <a:solidFill>
              <a:schemeClr val="tx1">
                <a:lumMod val="50000"/>
                <a:lumOff val="50000"/>
              </a:schemeClr>
            </a:solidFill>
          </a:ln>
          <a:effectLst/>
        </c:spPr>
      </c:pivotFmt>
    </c:pivotFmts>
    <c:plotArea>
      <c:layout>
        <c:manualLayout>
          <c:layoutTarget val="inner"/>
          <c:xMode val="edge"/>
          <c:yMode val="edge"/>
          <c:x val="0.47299099406066231"/>
          <c:y val="0.21998193086813966"/>
          <c:w val="0.22369288046981051"/>
          <c:h val="0.69747203509358668"/>
        </c:manualLayout>
      </c:layout>
      <c:doughnutChart>
        <c:varyColors val="1"/>
        <c:ser>
          <c:idx val="0"/>
          <c:order val="0"/>
          <c:tx>
            <c:strRef>
              <c:f>Pivot_Table!$B$49</c:f>
              <c:strCache>
                <c:ptCount val="1"/>
                <c:pt idx="0">
                  <c:v>Total</c:v>
                </c:pt>
              </c:strCache>
            </c:strRef>
          </c:tx>
          <c:spPr>
            <a:ln>
              <a:solidFill>
                <a:schemeClr val="tx1">
                  <a:lumMod val="50000"/>
                  <a:lumOff val="50000"/>
                </a:schemeClr>
              </a:solidFill>
            </a:ln>
          </c:spPr>
          <c:dPt>
            <c:idx val="0"/>
            <c:bubble3D val="0"/>
            <c:spPr>
              <a:gradFill>
                <a:gsLst>
                  <a:gs pos="100000">
                    <a:schemeClr val="accent1">
                      <a:lumMod val="60000"/>
                      <a:lumOff val="40000"/>
                    </a:schemeClr>
                  </a:gs>
                  <a:gs pos="0">
                    <a:schemeClr val="accent1"/>
                  </a:gs>
                </a:gsLst>
                <a:lin ang="5400000" scaled="0"/>
              </a:gradFill>
              <a:ln w="19050">
                <a:solidFill>
                  <a:schemeClr val="tx1">
                    <a:lumMod val="50000"/>
                    <a:lumOff val="50000"/>
                  </a:schemeClr>
                </a:solidFill>
              </a:ln>
              <a:effectLst/>
            </c:spPr>
            <c:extLst>
              <c:ext xmlns:c16="http://schemas.microsoft.com/office/drawing/2014/chart" uri="{C3380CC4-5D6E-409C-BE32-E72D297353CC}">
                <c16:uniqueId val="{00000001-286E-4C15-9290-0EFA26A6FFF5}"/>
              </c:ext>
            </c:extLst>
          </c:dPt>
          <c:dPt>
            <c:idx val="1"/>
            <c:bubble3D val="0"/>
            <c:spPr>
              <a:gradFill>
                <a:gsLst>
                  <a:gs pos="100000">
                    <a:schemeClr val="accent2">
                      <a:lumMod val="60000"/>
                      <a:lumOff val="40000"/>
                    </a:schemeClr>
                  </a:gs>
                  <a:gs pos="0">
                    <a:schemeClr val="accent2"/>
                  </a:gs>
                </a:gsLst>
                <a:lin ang="5400000" scaled="0"/>
              </a:gradFill>
              <a:ln w="19050">
                <a:solidFill>
                  <a:schemeClr val="tx1">
                    <a:lumMod val="50000"/>
                    <a:lumOff val="50000"/>
                  </a:schemeClr>
                </a:solidFill>
              </a:ln>
              <a:effectLst/>
            </c:spPr>
            <c:extLst>
              <c:ext xmlns:c16="http://schemas.microsoft.com/office/drawing/2014/chart" uri="{C3380CC4-5D6E-409C-BE32-E72D297353CC}">
                <c16:uniqueId val="{00000003-286E-4C15-9290-0EFA26A6FFF5}"/>
              </c:ext>
            </c:extLst>
          </c:dPt>
          <c:dPt>
            <c:idx val="2"/>
            <c:bubble3D val="0"/>
            <c:spPr>
              <a:gradFill>
                <a:gsLst>
                  <a:gs pos="100000">
                    <a:schemeClr val="accent3">
                      <a:lumMod val="60000"/>
                      <a:lumOff val="40000"/>
                    </a:schemeClr>
                  </a:gs>
                  <a:gs pos="0">
                    <a:schemeClr val="accent3"/>
                  </a:gs>
                </a:gsLst>
                <a:lin ang="5400000" scaled="0"/>
              </a:gradFill>
              <a:ln w="19050">
                <a:solidFill>
                  <a:schemeClr val="tx1">
                    <a:lumMod val="50000"/>
                    <a:lumOff val="50000"/>
                  </a:schemeClr>
                </a:solidFill>
              </a:ln>
              <a:effectLst/>
            </c:spPr>
            <c:extLst>
              <c:ext xmlns:c16="http://schemas.microsoft.com/office/drawing/2014/chart" uri="{C3380CC4-5D6E-409C-BE32-E72D297353CC}">
                <c16:uniqueId val="{00000005-286E-4C15-9290-0EFA26A6FFF5}"/>
              </c:ext>
            </c:extLst>
          </c:dPt>
          <c:cat>
            <c:strRef>
              <c:f>Pivot_Table!$A$50:$A$53</c:f>
              <c:strCache>
                <c:ptCount val="3"/>
                <c:pt idx="0">
                  <c:v>Both</c:v>
                </c:pt>
                <c:pt idx="1">
                  <c:v>Instagram</c:v>
                </c:pt>
                <c:pt idx="2">
                  <c:v>TikTok</c:v>
                </c:pt>
              </c:strCache>
            </c:strRef>
          </c:cat>
          <c:val>
            <c:numRef>
              <c:f>Pivot_Table!$B$50:$B$53</c:f>
              <c:numCache>
                <c:formatCode>General</c:formatCode>
                <c:ptCount val="3"/>
                <c:pt idx="0">
                  <c:v>4690</c:v>
                </c:pt>
                <c:pt idx="1">
                  <c:v>4626</c:v>
                </c:pt>
                <c:pt idx="2">
                  <c:v>4481</c:v>
                </c:pt>
              </c:numCache>
            </c:numRef>
          </c:val>
          <c:extLst>
            <c:ext xmlns:c16="http://schemas.microsoft.com/office/drawing/2014/chart" uri="{C3380CC4-5D6E-409C-BE32-E72D297353CC}">
              <c16:uniqueId val="{00000006-286E-4C15-9290-0EFA26A6FFF5}"/>
            </c:ext>
          </c:extLst>
        </c:ser>
        <c:dLbls>
          <c:showLegendKey val="0"/>
          <c:showVal val="0"/>
          <c:showCatName val="0"/>
          <c:showSerName val="0"/>
          <c:showPercent val="0"/>
          <c:showBubbleSize val="0"/>
          <c:showLeaderLines val="1"/>
        </c:dLbls>
        <c:firstSliceAng val="0"/>
        <c:holeSize val="70"/>
      </c:doughnutChart>
      <c:spPr>
        <a:noFill/>
        <a:ln>
          <a:noFill/>
        </a:ln>
        <a:effectLst/>
      </c:spPr>
    </c:plotArea>
    <c:legend>
      <c:legendPos val="r"/>
      <c:layout>
        <c:manualLayout>
          <c:xMode val="edge"/>
          <c:yMode val="edge"/>
          <c:x val="5.5355172999957743E-2"/>
          <c:y val="0.31252566638048346"/>
          <c:w val="0.21780982635287599"/>
          <c:h val="0.6249467468767523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2">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aseline="0">
          <a:solidFill>
            <a:schemeClr val="bg2">
              <a:lumMod val="7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[Teen_Mental_Health_Dataset.xlsx]Pivot_Table!PivotTable8</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rgbClr val="89C4E9"/>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gradFill flip="none" rotWithShape="1">
            <a:gsLst>
              <a:gs pos="65000">
                <a:srgbClr val="48AEDF"/>
              </a:gs>
              <a:gs pos="41000">
                <a:srgbClr val="A4D8EE"/>
              </a:gs>
            </a:gsLst>
            <a:lin ang="2700000" scaled="1"/>
            <a:tileRect/>
          </a:gradFill>
          <a:ln w="19050">
            <a:solidFill>
              <a:srgbClr val="89C4E9"/>
            </a:solidFill>
          </a:ln>
          <a:effectLst/>
        </c:spPr>
      </c:pivotFmt>
      <c:pivotFmt>
        <c:idx val="11"/>
        <c:spPr>
          <a:gradFill flip="none" rotWithShape="1">
            <a:gsLst>
              <a:gs pos="65000">
                <a:srgbClr val="4C49E3"/>
              </a:gs>
              <a:gs pos="41000">
                <a:srgbClr val="88AAFA"/>
              </a:gs>
            </a:gsLst>
            <a:lin ang="2700000" scaled="1"/>
            <a:tileRect/>
          </a:gradFill>
          <a:ln w="19050">
            <a:solidFill>
              <a:srgbClr val="89C4E9"/>
            </a:solidFill>
          </a:ln>
          <a:effectLst/>
        </c:spPr>
      </c:pivotFmt>
    </c:pivotFmts>
    <c:plotArea>
      <c:layout/>
      <c:pieChart>
        <c:varyColors val="1"/>
        <c:ser>
          <c:idx val="0"/>
          <c:order val="0"/>
          <c:tx>
            <c:strRef>
              <c:f>Pivot_Table!$B$18</c:f>
              <c:strCache>
                <c:ptCount val="1"/>
                <c:pt idx="0">
                  <c:v>Total</c:v>
                </c:pt>
              </c:strCache>
            </c:strRef>
          </c:tx>
          <c:spPr>
            <a:ln>
              <a:solidFill>
                <a:srgbClr val="89C4E9"/>
              </a:solidFill>
            </a:ln>
          </c:spPr>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79A-4C47-ADA3-6D0972129E82}"/>
              </c:ext>
            </c:extLst>
          </c:dPt>
          <c:dPt>
            <c:idx val="1"/>
            <c:bubble3D val="0"/>
            <c:spPr>
              <a:gradFill flip="none" rotWithShape="1">
                <a:gsLst>
                  <a:gs pos="65000">
                    <a:srgbClr val="48AEDF"/>
                  </a:gs>
                  <a:gs pos="41000">
                    <a:srgbClr val="A4D8EE"/>
                  </a:gs>
                </a:gsLst>
                <a:lin ang="2700000" scaled="1"/>
                <a:tileRect/>
              </a:gradFill>
              <a:ln w="19050">
                <a:solidFill>
                  <a:srgbClr val="89C4E9"/>
                </a:solidFill>
              </a:ln>
              <a:effectLst/>
            </c:spPr>
            <c:extLst>
              <c:ext xmlns:c16="http://schemas.microsoft.com/office/drawing/2014/chart" uri="{C3380CC4-5D6E-409C-BE32-E72D297353CC}">
                <c16:uniqueId val="{00000003-F79A-4C47-ADA3-6D0972129E82}"/>
              </c:ext>
            </c:extLst>
          </c:dPt>
          <c:dPt>
            <c:idx val="2"/>
            <c:bubble3D val="0"/>
            <c:spPr>
              <a:gradFill flip="none" rotWithShape="1">
                <a:gsLst>
                  <a:gs pos="65000">
                    <a:srgbClr val="4C49E3"/>
                  </a:gs>
                  <a:gs pos="41000">
                    <a:srgbClr val="88AAFA"/>
                  </a:gs>
                </a:gsLst>
                <a:lin ang="2700000" scaled="1"/>
                <a:tileRect/>
              </a:gradFill>
              <a:ln w="19050">
                <a:solidFill>
                  <a:srgbClr val="89C4E9"/>
                </a:solidFill>
              </a:ln>
              <a:effectLst/>
            </c:spPr>
            <c:extLst>
              <c:ext xmlns:c16="http://schemas.microsoft.com/office/drawing/2014/chart" uri="{C3380CC4-5D6E-409C-BE32-E72D297353CC}">
                <c16:uniqueId val="{00000005-F79A-4C47-ADA3-6D0972129E82}"/>
              </c:ext>
            </c:extLst>
          </c:dPt>
          <c:cat>
            <c:strRef>
              <c:f>Pivot_Table!$A$19:$A$22</c:f>
              <c:strCache>
                <c:ptCount val="3"/>
                <c:pt idx="0">
                  <c:v>Mentally Sound</c:v>
                </c:pt>
                <c:pt idx="1">
                  <c:v>Mentally Strained</c:v>
                </c:pt>
                <c:pt idx="2">
                  <c:v>Mentally Unstable</c:v>
                </c:pt>
              </c:strCache>
            </c:strRef>
          </c:cat>
          <c:val>
            <c:numRef>
              <c:f>Pivot_Table!$B$19:$B$22</c:f>
              <c:numCache>
                <c:formatCode>General</c:formatCode>
                <c:ptCount val="3"/>
                <c:pt idx="0">
                  <c:v>294.90000000000009</c:v>
                </c:pt>
                <c:pt idx="1">
                  <c:v>2411.2000000000007</c:v>
                </c:pt>
                <c:pt idx="2">
                  <c:v>1093.2000000000003</c:v>
                </c:pt>
              </c:numCache>
            </c:numRef>
          </c:val>
          <c:extLst>
            <c:ext xmlns:c16="http://schemas.microsoft.com/office/drawing/2014/chart" uri="{C3380CC4-5D6E-409C-BE32-E72D297353CC}">
              <c16:uniqueId val="{00000006-F79A-4C47-ADA3-6D0972129E8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aseline="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[Teen_Mental_Health_Dataset.xlsx]Pivot_Table!PivotTable1</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a:gsLst>
              <a:gs pos="50000">
                <a:srgbClr val="88ABF6"/>
              </a:gs>
              <a:gs pos="0">
                <a:srgbClr val="4C49E3"/>
              </a:gs>
            </a:gsLst>
            <a:lin ang="36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flip="none" rotWithShape="1">
            <a:gsLst>
              <a:gs pos="65000">
                <a:srgbClr val="48AEDF"/>
              </a:gs>
              <a:gs pos="41000">
                <a:srgbClr val="A4D8EE"/>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Pivot_Table!$B$32:$B$33</c:f>
              <c:strCache>
                <c:ptCount val="1"/>
                <c:pt idx="0">
                  <c:v>Old Teenager</c:v>
                </c:pt>
              </c:strCache>
            </c:strRef>
          </c:tx>
          <c:spPr>
            <a:gradFill>
              <a:gsLst>
                <a:gs pos="50000">
                  <a:srgbClr val="88ABF6"/>
                </a:gs>
                <a:gs pos="0">
                  <a:srgbClr val="4C49E3"/>
                </a:gs>
              </a:gsLst>
              <a:lin ang="3600000" scaled="0"/>
            </a:gradFill>
            <a:ln>
              <a:noFill/>
            </a:ln>
            <a:effectLst/>
          </c:spPr>
          <c:invertIfNegative val="0"/>
          <c:cat>
            <c:strRef>
              <c:f>Pivot_Table!$A$34:$A$38</c:f>
              <c:strCache>
                <c:ptCount val="4"/>
                <c:pt idx="0">
                  <c:v>first class</c:v>
                </c:pt>
                <c:pt idx="1">
                  <c:v>Second class lower</c:v>
                </c:pt>
                <c:pt idx="2">
                  <c:v>Second class upper</c:v>
                </c:pt>
                <c:pt idx="3">
                  <c:v>third class</c:v>
                </c:pt>
              </c:strCache>
            </c:strRef>
          </c:cat>
          <c:val>
            <c:numRef>
              <c:f>Pivot_Table!$B$34:$B$38</c:f>
              <c:numCache>
                <c:formatCode>General</c:formatCode>
                <c:ptCount val="4"/>
                <c:pt idx="0">
                  <c:v>1415</c:v>
                </c:pt>
                <c:pt idx="1">
                  <c:v>2003</c:v>
                </c:pt>
                <c:pt idx="2">
                  <c:v>2267</c:v>
                </c:pt>
                <c:pt idx="3">
                  <c:v>1891</c:v>
                </c:pt>
              </c:numCache>
            </c:numRef>
          </c:val>
          <c:extLst>
            <c:ext xmlns:c16="http://schemas.microsoft.com/office/drawing/2014/chart" uri="{C3380CC4-5D6E-409C-BE32-E72D297353CC}">
              <c16:uniqueId val="{00000000-0DFA-42FC-A4B1-423A6479E0F0}"/>
            </c:ext>
          </c:extLst>
        </c:ser>
        <c:ser>
          <c:idx val="1"/>
          <c:order val="1"/>
          <c:tx>
            <c:strRef>
              <c:f>Pivot_Table!$C$32:$C$33</c:f>
              <c:strCache>
                <c:ptCount val="1"/>
                <c:pt idx="0">
                  <c:v>Young Teenager</c:v>
                </c:pt>
              </c:strCache>
            </c:strRef>
          </c:tx>
          <c:spPr>
            <a:gradFill flip="none" rotWithShape="1">
              <a:gsLst>
                <a:gs pos="65000">
                  <a:srgbClr val="48AEDF"/>
                </a:gs>
                <a:gs pos="41000">
                  <a:srgbClr val="A4D8EE"/>
                </a:gs>
              </a:gsLst>
              <a:lin ang="5400000" scaled="1"/>
              <a:tileRect/>
            </a:gradFill>
            <a:ln>
              <a:noFill/>
            </a:ln>
            <a:effectLst/>
          </c:spPr>
          <c:invertIfNegative val="0"/>
          <c:cat>
            <c:strRef>
              <c:f>Pivot_Table!$A$34:$A$38</c:f>
              <c:strCache>
                <c:ptCount val="4"/>
                <c:pt idx="0">
                  <c:v>first class</c:v>
                </c:pt>
                <c:pt idx="1">
                  <c:v>Second class lower</c:v>
                </c:pt>
                <c:pt idx="2">
                  <c:v>Second class upper</c:v>
                </c:pt>
                <c:pt idx="3">
                  <c:v>third class</c:v>
                </c:pt>
              </c:strCache>
            </c:strRef>
          </c:cat>
          <c:val>
            <c:numRef>
              <c:f>Pivot_Table!$C$34:$C$38</c:f>
              <c:numCache>
                <c:formatCode>General</c:formatCode>
                <c:ptCount val="4"/>
                <c:pt idx="0">
                  <c:v>1332</c:v>
                </c:pt>
                <c:pt idx="1">
                  <c:v>1467</c:v>
                </c:pt>
                <c:pt idx="2">
                  <c:v>1909</c:v>
                </c:pt>
                <c:pt idx="3">
                  <c:v>1513</c:v>
                </c:pt>
              </c:numCache>
            </c:numRef>
          </c:val>
          <c:extLst>
            <c:ext xmlns:c16="http://schemas.microsoft.com/office/drawing/2014/chart" uri="{C3380CC4-5D6E-409C-BE32-E72D297353CC}">
              <c16:uniqueId val="{00000001-0DFA-42FC-A4B1-423A6479E0F0}"/>
            </c:ext>
          </c:extLst>
        </c:ser>
        <c:dLbls>
          <c:showLegendKey val="0"/>
          <c:showVal val="0"/>
          <c:showCatName val="0"/>
          <c:showSerName val="0"/>
          <c:showPercent val="0"/>
          <c:showBubbleSize val="0"/>
        </c:dLbls>
        <c:gapWidth val="150"/>
        <c:axId val="1317698255"/>
        <c:axId val="1317691055"/>
      </c:barChart>
      <c:catAx>
        <c:axId val="1317698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17691055"/>
        <c:crosses val="autoZero"/>
        <c:auto val="1"/>
        <c:lblAlgn val="ctr"/>
        <c:lblOffset val="100"/>
        <c:noMultiLvlLbl val="0"/>
      </c:catAx>
      <c:valAx>
        <c:axId val="13176910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17698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aseline="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image" Target="../media/image1.jpg"/><Relationship Id="rId4"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1</xdr:col>
      <xdr:colOff>1109662</xdr:colOff>
      <xdr:row>14</xdr:row>
      <xdr:rowOff>28575</xdr:rowOff>
    </xdr:from>
    <xdr:to>
      <xdr:col>4</xdr:col>
      <xdr:colOff>619125</xdr:colOff>
      <xdr:row>26</xdr:row>
      <xdr:rowOff>38101</xdr:rowOff>
    </xdr:to>
    <xdr:graphicFrame macro="">
      <xdr:nvGraphicFramePr>
        <xdr:cNvPr id="2" name="Chart 1">
          <a:extLst>
            <a:ext uri="{FF2B5EF4-FFF2-40B4-BE49-F238E27FC236}">
              <a16:creationId xmlns:a16="http://schemas.microsoft.com/office/drawing/2014/main" id="{2AA2357E-9ABB-0A4A-840E-46F729CCF7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252412</xdr:colOff>
      <xdr:row>28</xdr:row>
      <xdr:rowOff>28576</xdr:rowOff>
    </xdr:from>
    <xdr:to>
      <xdr:col>18</xdr:col>
      <xdr:colOff>85725</xdr:colOff>
      <xdr:row>41</xdr:row>
      <xdr:rowOff>47626</xdr:rowOff>
    </xdr:to>
    <xdr:graphicFrame macro="">
      <xdr:nvGraphicFramePr>
        <xdr:cNvPr id="3" name="Chart 2">
          <a:extLst>
            <a:ext uri="{FF2B5EF4-FFF2-40B4-BE49-F238E27FC236}">
              <a16:creationId xmlns:a16="http://schemas.microsoft.com/office/drawing/2014/main" id="{5AD0C623-1902-2F39-DEB0-F388228B8E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142876</xdr:colOff>
      <xdr:row>43</xdr:row>
      <xdr:rowOff>100012</xdr:rowOff>
    </xdr:from>
    <xdr:to>
      <xdr:col>6</xdr:col>
      <xdr:colOff>9525</xdr:colOff>
      <xdr:row>54</xdr:row>
      <xdr:rowOff>95250</xdr:rowOff>
    </xdr:to>
    <xdr:graphicFrame macro="">
      <xdr:nvGraphicFramePr>
        <xdr:cNvPr id="6" name="Chart 5">
          <a:extLst>
            <a:ext uri="{FF2B5EF4-FFF2-40B4-BE49-F238E27FC236}">
              <a16:creationId xmlns:a16="http://schemas.microsoft.com/office/drawing/2014/main" id="{1F166B3F-17C5-DAFB-BAFF-81F7CAFA58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238125</xdr:colOff>
      <xdr:row>4</xdr:row>
      <xdr:rowOff>38100</xdr:rowOff>
    </xdr:from>
    <xdr:to>
      <xdr:col>18</xdr:col>
      <xdr:colOff>142875</xdr:colOff>
      <xdr:row>14</xdr:row>
      <xdr:rowOff>19050</xdr:rowOff>
    </xdr:to>
    <xdr:graphicFrame macro="">
      <xdr:nvGraphicFramePr>
        <xdr:cNvPr id="7" name="Chart 6">
          <a:extLst>
            <a:ext uri="{FF2B5EF4-FFF2-40B4-BE49-F238E27FC236}">
              <a16:creationId xmlns:a16="http://schemas.microsoft.com/office/drawing/2014/main" id="{7707E3B6-4834-BE43-DA96-A9DF9DFD21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85725</xdr:colOff>
      <xdr:row>71</xdr:row>
      <xdr:rowOff>61912</xdr:rowOff>
    </xdr:from>
    <xdr:to>
      <xdr:col>38</xdr:col>
      <xdr:colOff>142875</xdr:colOff>
      <xdr:row>88</xdr:row>
      <xdr:rowOff>19050</xdr:rowOff>
    </xdr:to>
    <xdr:graphicFrame macro="">
      <xdr:nvGraphicFramePr>
        <xdr:cNvPr id="8" name="Chart 7">
          <a:extLst>
            <a:ext uri="{FF2B5EF4-FFF2-40B4-BE49-F238E27FC236}">
              <a16:creationId xmlns:a16="http://schemas.microsoft.com/office/drawing/2014/main" id="{9BC65BFB-42EB-5D6B-77CC-1BECB75B9A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209550</xdr:colOff>
      <xdr:row>54</xdr:row>
      <xdr:rowOff>157162</xdr:rowOff>
    </xdr:from>
    <xdr:to>
      <xdr:col>8</xdr:col>
      <xdr:colOff>247650</xdr:colOff>
      <xdr:row>69</xdr:row>
      <xdr:rowOff>42862</xdr:rowOff>
    </xdr:to>
    <xdr:graphicFrame macro="">
      <xdr:nvGraphicFramePr>
        <xdr:cNvPr id="4" name="Chart 3">
          <a:extLst>
            <a:ext uri="{FF2B5EF4-FFF2-40B4-BE49-F238E27FC236}">
              <a16:creationId xmlns:a16="http://schemas.microsoft.com/office/drawing/2014/main" id="{2F44970A-0C75-4123-ED6A-ECD4AC2E3B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95249</xdr:colOff>
      <xdr:row>0</xdr:row>
      <xdr:rowOff>28575</xdr:rowOff>
    </xdr:from>
    <xdr:to>
      <xdr:col>13</xdr:col>
      <xdr:colOff>371474</xdr:colOff>
      <xdr:row>33</xdr:row>
      <xdr:rowOff>19050</xdr:rowOff>
    </xdr:to>
    <xdr:sp macro="" textlink="">
      <xdr:nvSpPr>
        <xdr:cNvPr id="2" name="Rectangle 1">
          <a:extLst>
            <a:ext uri="{FF2B5EF4-FFF2-40B4-BE49-F238E27FC236}">
              <a16:creationId xmlns:a16="http://schemas.microsoft.com/office/drawing/2014/main" id="{30EC77BC-75AC-2299-31ED-113B98DA0F2C}"/>
            </a:ext>
          </a:extLst>
        </xdr:cNvPr>
        <xdr:cNvSpPr/>
      </xdr:nvSpPr>
      <xdr:spPr>
        <a:xfrm>
          <a:off x="95249" y="28575"/>
          <a:ext cx="8201025" cy="6276975"/>
        </a:xfrm>
        <a:prstGeom prst="rect">
          <a:avLst/>
        </a:prstGeom>
        <a:solidFill>
          <a:srgbClr val="00193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95250</xdr:colOff>
      <xdr:row>0</xdr:row>
      <xdr:rowOff>47626</xdr:rowOff>
    </xdr:from>
    <xdr:to>
      <xdr:col>13</xdr:col>
      <xdr:colOff>342900</xdr:colOff>
      <xdr:row>2</xdr:row>
      <xdr:rowOff>152400</xdr:rowOff>
    </xdr:to>
    <xdr:sp macro="" textlink="">
      <xdr:nvSpPr>
        <xdr:cNvPr id="3" name="Rectangle 2">
          <a:extLst>
            <a:ext uri="{FF2B5EF4-FFF2-40B4-BE49-F238E27FC236}">
              <a16:creationId xmlns:a16="http://schemas.microsoft.com/office/drawing/2014/main" id="{BF58EED1-6F40-D158-1D39-42F440D0D5A4}"/>
            </a:ext>
          </a:extLst>
        </xdr:cNvPr>
        <xdr:cNvSpPr/>
      </xdr:nvSpPr>
      <xdr:spPr>
        <a:xfrm>
          <a:off x="95250" y="47626"/>
          <a:ext cx="8172450" cy="485774"/>
        </a:xfrm>
        <a:prstGeom prst="rect">
          <a:avLst/>
        </a:prstGeom>
        <a:solidFill>
          <a:srgbClr val="0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162539</xdr:colOff>
      <xdr:row>3</xdr:row>
      <xdr:rowOff>47010</xdr:rowOff>
    </xdr:from>
    <xdr:to>
      <xdr:col>2</xdr:col>
      <xdr:colOff>105389</xdr:colOff>
      <xdr:row>32</xdr:row>
      <xdr:rowOff>161310</xdr:rowOff>
    </xdr:to>
    <xdr:sp macro="" textlink="">
      <xdr:nvSpPr>
        <xdr:cNvPr id="4" name="Rectangle 3">
          <a:extLst>
            <a:ext uri="{FF2B5EF4-FFF2-40B4-BE49-F238E27FC236}">
              <a16:creationId xmlns:a16="http://schemas.microsoft.com/office/drawing/2014/main" id="{185BACC3-6951-969E-22B5-AB542509DA45}"/>
            </a:ext>
          </a:extLst>
        </xdr:cNvPr>
        <xdr:cNvSpPr/>
      </xdr:nvSpPr>
      <xdr:spPr>
        <a:xfrm>
          <a:off x="162539" y="618510"/>
          <a:ext cx="1159592" cy="5638800"/>
        </a:xfrm>
        <a:prstGeom prst="rect">
          <a:avLst/>
        </a:prstGeom>
        <a:solidFill>
          <a:srgbClr val="13225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209551</xdr:colOff>
      <xdr:row>4</xdr:row>
      <xdr:rowOff>28575</xdr:rowOff>
    </xdr:from>
    <xdr:to>
      <xdr:col>4</xdr:col>
      <xdr:colOff>447675</xdr:colOff>
      <xdr:row>8</xdr:row>
      <xdr:rowOff>66675</xdr:rowOff>
    </xdr:to>
    <xdr:sp macro="" textlink="Pivot_Table!$A$4">
      <xdr:nvSpPr>
        <xdr:cNvPr id="5" name="Rectangle 4">
          <a:extLst>
            <a:ext uri="{FF2B5EF4-FFF2-40B4-BE49-F238E27FC236}">
              <a16:creationId xmlns:a16="http://schemas.microsoft.com/office/drawing/2014/main" id="{2C693F57-6D75-2F05-D1FA-3E55BEFE8FF6}"/>
            </a:ext>
          </a:extLst>
        </xdr:cNvPr>
        <xdr:cNvSpPr/>
      </xdr:nvSpPr>
      <xdr:spPr>
        <a:xfrm>
          <a:off x="1428751" y="790575"/>
          <a:ext cx="1457324" cy="800100"/>
        </a:xfrm>
        <a:prstGeom prst="rect">
          <a:avLst/>
        </a:prstGeom>
        <a:solidFill>
          <a:srgbClr val="05135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73026</xdr:colOff>
      <xdr:row>4</xdr:row>
      <xdr:rowOff>28575</xdr:rowOff>
    </xdr:from>
    <xdr:to>
      <xdr:col>7</xdr:col>
      <xdr:colOff>311150</xdr:colOff>
      <xdr:row>8</xdr:row>
      <xdr:rowOff>66675</xdr:rowOff>
    </xdr:to>
    <xdr:sp macro="" textlink="">
      <xdr:nvSpPr>
        <xdr:cNvPr id="6" name="Rectangle 5">
          <a:extLst>
            <a:ext uri="{FF2B5EF4-FFF2-40B4-BE49-F238E27FC236}">
              <a16:creationId xmlns:a16="http://schemas.microsoft.com/office/drawing/2014/main" id="{D33544F8-7236-899F-2EC9-CAFD2A324BF6}"/>
            </a:ext>
          </a:extLst>
        </xdr:cNvPr>
        <xdr:cNvSpPr/>
      </xdr:nvSpPr>
      <xdr:spPr>
        <a:xfrm>
          <a:off x="3121026" y="790575"/>
          <a:ext cx="1457324" cy="800100"/>
        </a:xfrm>
        <a:prstGeom prst="rect">
          <a:avLst/>
        </a:prstGeom>
        <a:solidFill>
          <a:srgbClr val="05135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546101</xdr:colOff>
      <xdr:row>4</xdr:row>
      <xdr:rowOff>28575</xdr:rowOff>
    </xdr:from>
    <xdr:to>
      <xdr:col>10</xdr:col>
      <xdr:colOff>174625</xdr:colOff>
      <xdr:row>8</xdr:row>
      <xdr:rowOff>66675</xdr:rowOff>
    </xdr:to>
    <xdr:sp macro="" textlink="">
      <xdr:nvSpPr>
        <xdr:cNvPr id="7" name="Rectangle 6">
          <a:extLst>
            <a:ext uri="{FF2B5EF4-FFF2-40B4-BE49-F238E27FC236}">
              <a16:creationId xmlns:a16="http://schemas.microsoft.com/office/drawing/2014/main" id="{48D90020-698C-A569-F733-CD20822DD2E5}"/>
            </a:ext>
          </a:extLst>
        </xdr:cNvPr>
        <xdr:cNvSpPr/>
      </xdr:nvSpPr>
      <xdr:spPr>
        <a:xfrm>
          <a:off x="4813301" y="790575"/>
          <a:ext cx="1457324" cy="800100"/>
        </a:xfrm>
        <a:prstGeom prst="rect">
          <a:avLst/>
        </a:prstGeom>
        <a:solidFill>
          <a:srgbClr val="05135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409576</xdr:colOff>
      <xdr:row>4</xdr:row>
      <xdr:rowOff>28575</xdr:rowOff>
    </xdr:from>
    <xdr:to>
      <xdr:col>13</xdr:col>
      <xdr:colOff>38100</xdr:colOff>
      <xdr:row>8</xdr:row>
      <xdr:rowOff>66675</xdr:rowOff>
    </xdr:to>
    <xdr:sp macro="" textlink="">
      <xdr:nvSpPr>
        <xdr:cNvPr id="8" name="Rectangle 7">
          <a:extLst>
            <a:ext uri="{FF2B5EF4-FFF2-40B4-BE49-F238E27FC236}">
              <a16:creationId xmlns:a16="http://schemas.microsoft.com/office/drawing/2014/main" id="{2D2F350E-CDE0-861A-80C6-0C43E4FCE6C1}"/>
            </a:ext>
          </a:extLst>
        </xdr:cNvPr>
        <xdr:cNvSpPr/>
      </xdr:nvSpPr>
      <xdr:spPr>
        <a:xfrm>
          <a:off x="6505576" y="790575"/>
          <a:ext cx="1457324" cy="800100"/>
        </a:xfrm>
        <a:prstGeom prst="rect">
          <a:avLst/>
        </a:prstGeom>
        <a:solidFill>
          <a:srgbClr val="05135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190500</xdr:colOff>
      <xdr:row>9</xdr:row>
      <xdr:rowOff>38100</xdr:rowOff>
    </xdr:from>
    <xdr:to>
      <xdr:col>6</xdr:col>
      <xdr:colOff>466725</xdr:colOff>
      <xdr:row>32</xdr:row>
      <xdr:rowOff>152400</xdr:rowOff>
    </xdr:to>
    <xdr:sp macro="" textlink="">
      <xdr:nvSpPr>
        <xdr:cNvPr id="9" name="Rectangle 8">
          <a:extLst>
            <a:ext uri="{FF2B5EF4-FFF2-40B4-BE49-F238E27FC236}">
              <a16:creationId xmlns:a16="http://schemas.microsoft.com/office/drawing/2014/main" id="{D7CC99DD-6370-54BC-BEC3-FAF392CB7CC3}"/>
            </a:ext>
          </a:extLst>
        </xdr:cNvPr>
        <xdr:cNvSpPr/>
      </xdr:nvSpPr>
      <xdr:spPr>
        <a:xfrm>
          <a:off x="1409700" y="1752600"/>
          <a:ext cx="2714625" cy="4495800"/>
        </a:xfrm>
        <a:prstGeom prst="rect">
          <a:avLst/>
        </a:prstGeom>
        <a:solidFill>
          <a:srgbClr val="05135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561975</xdr:colOff>
      <xdr:row>18</xdr:row>
      <xdr:rowOff>152400</xdr:rowOff>
    </xdr:from>
    <xdr:to>
      <xdr:col>10</xdr:col>
      <xdr:colOff>95250</xdr:colOff>
      <xdr:row>32</xdr:row>
      <xdr:rowOff>123825</xdr:rowOff>
    </xdr:to>
    <xdr:sp macro="" textlink="">
      <xdr:nvSpPr>
        <xdr:cNvPr id="10" name="Rectangle 9">
          <a:extLst>
            <a:ext uri="{FF2B5EF4-FFF2-40B4-BE49-F238E27FC236}">
              <a16:creationId xmlns:a16="http://schemas.microsoft.com/office/drawing/2014/main" id="{7BFE5EFB-2BBE-C619-6B61-2A82D04EBA58}"/>
            </a:ext>
          </a:extLst>
        </xdr:cNvPr>
        <xdr:cNvSpPr/>
      </xdr:nvSpPr>
      <xdr:spPr>
        <a:xfrm>
          <a:off x="4219575" y="3581400"/>
          <a:ext cx="1971675" cy="2638425"/>
        </a:xfrm>
        <a:prstGeom prst="rect">
          <a:avLst/>
        </a:prstGeom>
        <a:solidFill>
          <a:srgbClr val="05135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190500</xdr:colOff>
      <xdr:row>18</xdr:row>
      <xdr:rowOff>152400</xdr:rowOff>
    </xdr:from>
    <xdr:to>
      <xdr:col>13</xdr:col>
      <xdr:colOff>152400</xdr:colOff>
      <xdr:row>32</xdr:row>
      <xdr:rowOff>123825</xdr:rowOff>
    </xdr:to>
    <xdr:sp macro="" textlink="">
      <xdr:nvSpPr>
        <xdr:cNvPr id="11" name="Rectangle 10">
          <a:extLst>
            <a:ext uri="{FF2B5EF4-FFF2-40B4-BE49-F238E27FC236}">
              <a16:creationId xmlns:a16="http://schemas.microsoft.com/office/drawing/2014/main" id="{69CB3CE4-FCF4-6F49-92A8-4D77E96EC9E7}"/>
            </a:ext>
          </a:extLst>
        </xdr:cNvPr>
        <xdr:cNvSpPr/>
      </xdr:nvSpPr>
      <xdr:spPr>
        <a:xfrm>
          <a:off x="6286500" y="3581400"/>
          <a:ext cx="1790700" cy="2638425"/>
        </a:xfrm>
        <a:prstGeom prst="rect">
          <a:avLst/>
        </a:prstGeom>
        <a:solidFill>
          <a:srgbClr val="05135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552450</xdr:colOff>
      <xdr:row>9</xdr:row>
      <xdr:rowOff>38100</xdr:rowOff>
    </xdr:from>
    <xdr:to>
      <xdr:col>13</xdr:col>
      <xdr:colOff>152400</xdr:colOff>
      <xdr:row>18</xdr:row>
      <xdr:rowOff>28575</xdr:rowOff>
    </xdr:to>
    <xdr:sp macro="" textlink="">
      <xdr:nvSpPr>
        <xdr:cNvPr id="12" name="Rectangle 11">
          <a:extLst>
            <a:ext uri="{FF2B5EF4-FFF2-40B4-BE49-F238E27FC236}">
              <a16:creationId xmlns:a16="http://schemas.microsoft.com/office/drawing/2014/main" id="{AC3571E7-D8CF-89CB-A593-43E874BD4680}"/>
            </a:ext>
          </a:extLst>
        </xdr:cNvPr>
        <xdr:cNvSpPr/>
      </xdr:nvSpPr>
      <xdr:spPr>
        <a:xfrm>
          <a:off x="4210050" y="1752600"/>
          <a:ext cx="3867150" cy="1704975"/>
        </a:xfrm>
        <a:prstGeom prst="rect">
          <a:avLst/>
        </a:prstGeom>
        <a:solidFill>
          <a:srgbClr val="05135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228600</xdr:colOff>
      <xdr:row>9</xdr:row>
      <xdr:rowOff>47625</xdr:rowOff>
    </xdr:from>
    <xdr:to>
      <xdr:col>2</xdr:col>
      <xdr:colOff>85725</xdr:colOff>
      <xdr:row>9</xdr:row>
      <xdr:rowOff>47625</xdr:rowOff>
    </xdr:to>
    <xdr:cxnSp macro="">
      <xdr:nvCxnSpPr>
        <xdr:cNvPr id="14" name="Straight Connector 13">
          <a:extLst>
            <a:ext uri="{FF2B5EF4-FFF2-40B4-BE49-F238E27FC236}">
              <a16:creationId xmlns:a16="http://schemas.microsoft.com/office/drawing/2014/main" id="{C13EBDA8-5570-9A83-EE4E-420E1C4D2302}"/>
            </a:ext>
          </a:extLst>
        </xdr:cNvPr>
        <xdr:cNvCxnSpPr/>
      </xdr:nvCxnSpPr>
      <xdr:spPr>
        <a:xfrm>
          <a:off x="228600" y="1762125"/>
          <a:ext cx="1076325" cy="0"/>
        </a:xfrm>
        <a:prstGeom prst="line">
          <a:avLst/>
        </a:prstGeom>
        <a:ln w="50800" cap="sq" cmpd="sng">
          <a:solidFill>
            <a:schemeClr val="bg1">
              <a:alpha val="60000"/>
            </a:schemeClr>
          </a:solidFill>
          <a:prstDash val="solid"/>
        </a:ln>
      </xdr:spPr>
      <xdr:style>
        <a:lnRef idx="3">
          <a:schemeClr val="accent3"/>
        </a:lnRef>
        <a:fillRef idx="0">
          <a:schemeClr val="accent3"/>
        </a:fillRef>
        <a:effectRef idx="2">
          <a:schemeClr val="accent3"/>
        </a:effectRef>
        <a:fontRef idx="minor">
          <a:schemeClr val="tx1"/>
        </a:fontRef>
      </xdr:style>
    </xdr:cxnSp>
    <xdr:clientData/>
  </xdr:twoCellAnchor>
  <xdr:twoCellAnchor>
    <xdr:from>
      <xdr:col>2</xdr:col>
      <xdr:colOff>190500</xdr:colOff>
      <xdr:row>9</xdr:row>
      <xdr:rowOff>28575</xdr:rowOff>
    </xdr:from>
    <xdr:to>
      <xdr:col>6</xdr:col>
      <xdr:colOff>457200</xdr:colOff>
      <xdr:row>9</xdr:row>
      <xdr:rowOff>38100</xdr:rowOff>
    </xdr:to>
    <xdr:cxnSp macro="">
      <xdr:nvCxnSpPr>
        <xdr:cNvPr id="20" name="Straight Connector 19">
          <a:extLst>
            <a:ext uri="{FF2B5EF4-FFF2-40B4-BE49-F238E27FC236}">
              <a16:creationId xmlns:a16="http://schemas.microsoft.com/office/drawing/2014/main" id="{7895BC0A-B828-85DD-D7BF-4A34C19D418E}"/>
            </a:ext>
          </a:extLst>
        </xdr:cNvPr>
        <xdr:cNvCxnSpPr/>
      </xdr:nvCxnSpPr>
      <xdr:spPr>
        <a:xfrm>
          <a:off x="1409700" y="1743075"/>
          <a:ext cx="2705100" cy="9525"/>
        </a:xfrm>
        <a:prstGeom prst="line">
          <a:avLst/>
        </a:prstGeom>
        <a:ln w="34925">
          <a:solidFill>
            <a:srgbClr val="52266C"/>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590550</xdr:colOff>
      <xdr:row>0</xdr:row>
      <xdr:rowOff>104775</xdr:rowOff>
    </xdr:from>
    <xdr:to>
      <xdr:col>12</xdr:col>
      <xdr:colOff>161925</xdr:colOff>
      <xdr:row>2</xdr:row>
      <xdr:rowOff>95250</xdr:rowOff>
    </xdr:to>
    <xdr:sp macro="" textlink="">
      <xdr:nvSpPr>
        <xdr:cNvPr id="24" name="TextBox 23">
          <a:extLst>
            <a:ext uri="{FF2B5EF4-FFF2-40B4-BE49-F238E27FC236}">
              <a16:creationId xmlns:a16="http://schemas.microsoft.com/office/drawing/2014/main" id="{ED5FB7F0-FCF9-412E-57FB-08C1500553E9}"/>
            </a:ext>
          </a:extLst>
        </xdr:cNvPr>
        <xdr:cNvSpPr txBox="1"/>
      </xdr:nvSpPr>
      <xdr:spPr>
        <a:xfrm>
          <a:off x="1200150" y="104775"/>
          <a:ext cx="627697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chemeClr val="bg1"/>
              </a:solidFill>
              <a:latin typeface="Arial Black" panose="020B0A04020102020204" pitchFamily="34" charset="0"/>
            </a:rPr>
            <a:t>TEEN MENTAL HEALTH DASHBOARD</a:t>
          </a:r>
        </a:p>
      </xdr:txBody>
    </xdr:sp>
    <xdr:clientData/>
  </xdr:twoCellAnchor>
  <xdr:twoCellAnchor>
    <xdr:from>
      <xdr:col>2</xdr:col>
      <xdr:colOff>276225</xdr:colOff>
      <xdr:row>9</xdr:row>
      <xdr:rowOff>133350</xdr:rowOff>
    </xdr:from>
    <xdr:to>
      <xdr:col>6</xdr:col>
      <xdr:colOff>390524</xdr:colOff>
      <xdr:row>32</xdr:row>
      <xdr:rowOff>85725</xdr:rowOff>
    </xdr:to>
    <xdr:graphicFrame macro="">
      <xdr:nvGraphicFramePr>
        <xdr:cNvPr id="26" name="Chart 25">
          <a:extLst>
            <a:ext uri="{FF2B5EF4-FFF2-40B4-BE49-F238E27FC236}">
              <a16:creationId xmlns:a16="http://schemas.microsoft.com/office/drawing/2014/main" id="{148121BA-3958-4BE0-BC9D-0A9C64CAA9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285750</xdr:colOff>
      <xdr:row>4</xdr:row>
      <xdr:rowOff>95249</xdr:rowOff>
    </xdr:from>
    <xdr:to>
      <xdr:col>4</xdr:col>
      <xdr:colOff>352425</xdr:colOff>
      <xdr:row>5</xdr:row>
      <xdr:rowOff>180974</xdr:rowOff>
    </xdr:to>
    <xdr:sp macro="" textlink="">
      <xdr:nvSpPr>
        <xdr:cNvPr id="27" name="TextBox 26">
          <a:extLst>
            <a:ext uri="{FF2B5EF4-FFF2-40B4-BE49-F238E27FC236}">
              <a16:creationId xmlns:a16="http://schemas.microsoft.com/office/drawing/2014/main" id="{C881FF68-7A64-119A-1E21-735C7365D127}"/>
            </a:ext>
          </a:extLst>
        </xdr:cNvPr>
        <xdr:cNvSpPr txBox="1"/>
      </xdr:nvSpPr>
      <xdr:spPr>
        <a:xfrm>
          <a:off x="1504950" y="857249"/>
          <a:ext cx="12858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89C4E9"/>
              </a:solidFill>
            </a:rPr>
            <a:t>Total Population</a:t>
          </a:r>
        </a:p>
      </xdr:txBody>
    </xdr:sp>
    <xdr:clientData/>
  </xdr:twoCellAnchor>
  <xdr:twoCellAnchor>
    <xdr:from>
      <xdr:col>2</xdr:col>
      <xdr:colOff>276225</xdr:colOff>
      <xdr:row>6</xdr:row>
      <xdr:rowOff>85724</xdr:rowOff>
    </xdr:from>
    <xdr:to>
      <xdr:col>4</xdr:col>
      <xdr:colOff>342900</xdr:colOff>
      <xdr:row>7</xdr:row>
      <xdr:rowOff>171449</xdr:rowOff>
    </xdr:to>
    <xdr:sp macro="" textlink="Pivot_Table!B94">
      <xdr:nvSpPr>
        <xdr:cNvPr id="28" name="TextBox 27">
          <a:extLst>
            <a:ext uri="{FF2B5EF4-FFF2-40B4-BE49-F238E27FC236}">
              <a16:creationId xmlns:a16="http://schemas.microsoft.com/office/drawing/2014/main" id="{0A63272A-2D25-0FC9-D46C-2AF4826B8DA2}"/>
            </a:ext>
          </a:extLst>
        </xdr:cNvPr>
        <xdr:cNvSpPr txBox="1"/>
      </xdr:nvSpPr>
      <xdr:spPr>
        <a:xfrm>
          <a:off x="1495425" y="1228724"/>
          <a:ext cx="12858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A9BA804-6361-4798-BADF-D83284525EF4}" type="TxLink">
            <a:rPr lang="en-US" sz="1400" b="0" i="0" u="none" strike="noStrike">
              <a:solidFill>
                <a:srgbClr val="7F3AB1"/>
              </a:solidFill>
              <a:latin typeface="Aptos Narrow"/>
            </a:rPr>
            <a:pPr/>
            <a:t>831</a:t>
          </a:fld>
          <a:endParaRPr lang="en-US" sz="1400">
            <a:solidFill>
              <a:srgbClr val="7F3AB1"/>
            </a:solidFill>
          </a:endParaRPr>
        </a:p>
      </xdr:txBody>
    </xdr:sp>
    <xdr:clientData/>
  </xdr:twoCellAnchor>
  <xdr:twoCellAnchor>
    <xdr:from>
      <xdr:col>7</xdr:col>
      <xdr:colOff>0</xdr:colOff>
      <xdr:row>9</xdr:row>
      <xdr:rowOff>95250</xdr:rowOff>
    </xdr:from>
    <xdr:to>
      <xdr:col>13</xdr:col>
      <xdr:colOff>85725</xdr:colOff>
      <xdr:row>17</xdr:row>
      <xdr:rowOff>133350</xdr:rowOff>
    </xdr:to>
    <xdr:graphicFrame macro="">
      <xdr:nvGraphicFramePr>
        <xdr:cNvPr id="29" name="Chart 28">
          <a:extLst>
            <a:ext uri="{FF2B5EF4-FFF2-40B4-BE49-F238E27FC236}">
              <a16:creationId xmlns:a16="http://schemas.microsoft.com/office/drawing/2014/main" id="{48B4560C-8B39-4BDF-805E-3EDFB4EF2C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238125</xdr:colOff>
      <xdr:row>19</xdr:row>
      <xdr:rowOff>114299</xdr:rowOff>
    </xdr:from>
    <xdr:to>
      <xdr:col>13</xdr:col>
      <xdr:colOff>57150</xdr:colOff>
      <xdr:row>31</xdr:row>
      <xdr:rowOff>161924</xdr:rowOff>
    </xdr:to>
    <xdr:graphicFrame macro="">
      <xdr:nvGraphicFramePr>
        <xdr:cNvPr id="30" name="Chart 29">
          <a:extLst>
            <a:ext uri="{FF2B5EF4-FFF2-40B4-BE49-F238E27FC236}">
              <a16:creationId xmlns:a16="http://schemas.microsoft.com/office/drawing/2014/main" id="{60A37063-00AC-4289-9FD2-5D8CB6A66C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38101</xdr:colOff>
      <xdr:row>19</xdr:row>
      <xdr:rowOff>28575</xdr:rowOff>
    </xdr:from>
    <xdr:to>
      <xdr:col>10</xdr:col>
      <xdr:colOff>9525</xdr:colOff>
      <xdr:row>32</xdr:row>
      <xdr:rowOff>28575</xdr:rowOff>
    </xdr:to>
    <xdr:graphicFrame macro="">
      <xdr:nvGraphicFramePr>
        <xdr:cNvPr id="31" name="Chart 30">
          <a:extLst>
            <a:ext uri="{FF2B5EF4-FFF2-40B4-BE49-F238E27FC236}">
              <a16:creationId xmlns:a16="http://schemas.microsoft.com/office/drawing/2014/main" id="{D400C2C3-8859-4C78-B4E4-F15F9CCC1E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152400</xdr:colOff>
      <xdr:row>4</xdr:row>
      <xdr:rowOff>123824</xdr:rowOff>
    </xdr:from>
    <xdr:to>
      <xdr:col>7</xdr:col>
      <xdr:colOff>228600</xdr:colOff>
      <xdr:row>5</xdr:row>
      <xdr:rowOff>171449</xdr:rowOff>
    </xdr:to>
    <xdr:sp macro="" textlink="">
      <xdr:nvSpPr>
        <xdr:cNvPr id="32" name="TextBox 31">
          <a:extLst>
            <a:ext uri="{FF2B5EF4-FFF2-40B4-BE49-F238E27FC236}">
              <a16:creationId xmlns:a16="http://schemas.microsoft.com/office/drawing/2014/main" id="{8657C23E-D5FA-5B79-0537-A9684F4E8F4B}"/>
            </a:ext>
          </a:extLst>
        </xdr:cNvPr>
        <xdr:cNvSpPr txBox="1"/>
      </xdr:nvSpPr>
      <xdr:spPr>
        <a:xfrm>
          <a:off x="3200400" y="885824"/>
          <a:ext cx="129540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89C4E9"/>
              </a:solidFill>
            </a:rPr>
            <a:t>Average age</a:t>
          </a:r>
        </a:p>
      </xdr:txBody>
    </xdr:sp>
    <xdr:clientData/>
  </xdr:twoCellAnchor>
  <xdr:twoCellAnchor>
    <xdr:from>
      <xdr:col>5</xdr:col>
      <xdr:colOff>152399</xdr:colOff>
      <xdr:row>6</xdr:row>
      <xdr:rowOff>85725</xdr:rowOff>
    </xdr:from>
    <xdr:to>
      <xdr:col>7</xdr:col>
      <xdr:colOff>238124</xdr:colOff>
      <xdr:row>8</xdr:row>
      <xdr:rowOff>28575</xdr:rowOff>
    </xdr:to>
    <xdr:sp macro="" textlink="Pivot_Table!B96">
      <xdr:nvSpPr>
        <xdr:cNvPr id="33" name="TextBox 32">
          <a:extLst>
            <a:ext uri="{FF2B5EF4-FFF2-40B4-BE49-F238E27FC236}">
              <a16:creationId xmlns:a16="http://schemas.microsoft.com/office/drawing/2014/main" id="{985CF899-7E01-2EC4-B174-C839A5C2A9D4}"/>
            </a:ext>
          </a:extLst>
        </xdr:cNvPr>
        <xdr:cNvSpPr txBox="1"/>
      </xdr:nvSpPr>
      <xdr:spPr>
        <a:xfrm>
          <a:off x="3200399" y="1228725"/>
          <a:ext cx="1304925"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913924E-9558-4E47-848A-FD0F88C942C9}" type="TxLink">
            <a:rPr lang="en-US" sz="1600" b="0" i="0" u="none" strike="noStrike">
              <a:solidFill>
                <a:srgbClr val="EFB70D"/>
              </a:solidFill>
              <a:latin typeface="Aptos Narrow"/>
            </a:rPr>
            <a:pPr/>
            <a:t>16</a:t>
          </a:fld>
          <a:endParaRPr lang="en-US" sz="1600">
            <a:solidFill>
              <a:srgbClr val="EFB70D"/>
            </a:solidFill>
          </a:endParaRPr>
        </a:p>
      </xdr:txBody>
    </xdr:sp>
    <xdr:clientData/>
  </xdr:twoCellAnchor>
  <xdr:twoCellAnchor>
    <xdr:from>
      <xdr:col>8</xdr:col>
      <xdr:colOff>0</xdr:colOff>
      <xdr:row>6</xdr:row>
      <xdr:rowOff>66675</xdr:rowOff>
    </xdr:from>
    <xdr:to>
      <xdr:col>10</xdr:col>
      <xdr:colOff>38100</xdr:colOff>
      <xdr:row>8</xdr:row>
      <xdr:rowOff>9525</xdr:rowOff>
    </xdr:to>
    <xdr:sp macro="" textlink="Pivot_Table!B98">
      <xdr:nvSpPr>
        <xdr:cNvPr id="34" name="TextBox 33">
          <a:extLst>
            <a:ext uri="{FF2B5EF4-FFF2-40B4-BE49-F238E27FC236}">
              <a16:creationId xmlns:a16="http://schemas.microsoft.com/office/drawing/2014/main" id="{B4D46760-3233-1D62-DCF0-2BABC7C0B8B9}"/>
            </a:ext>
          </a:extLst>
        </xdr:cNvPr>
        <xdr:cNvSpPr txBox="1"/>
      </xdr:nvSpPr>
      <xdr:spPr>
        <a:xfrm>
          <a:off x="4876800" y="1209675"/>
          <a:ext cx="125730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ADDB466-DF91-40DD-84AD-CE86E34C7108}" type="TxLink">
            <a:rPr lang="en-US" sz="1800" b="0" i="0" u="none" strike="noStrike">
              <a:solidFill>
                <a:srgbClr val="00F18D"/>
              </a:solidFill>
              <a:latin typeface="Aptos Narrow"/>
            </a:rPr>
            <a:pPr/>
            <a:t>5239.7</a:t>
          </a:fld>
          <a:endParaRPr lang="en-US" sz="1800">
            <a:solidFill>
              <a:srgbClr val="00F18D"/>
            </a:solidFill>
          </a:endParaRPr>
        </a:p>
      </xdr:txBody>
    </xdr:sp>
    <xdr:clientData/>
  </xdr:twoCellAnchor>
  <xdr:twoCellAnchor>
    <xdr:from>
      <xdr:col>8</xdr:col>
      <xdr:colOff>0</xdr:colOff>
      <xdr:row>4</xdr:row>
      <xdr:rowOff>104774</xdr:rowOff>
    </xdr:from>
    <xdr:to>
      <xdr:col>10</xdr:col>
      <xdr:colOff>0</xdr:colOff>
      <xdr:row>5</xdr:row>
      <xdr:rowOff>152400</xdr:rowOff>
    </xdr:to>
    <xdr:sp macro="" textlink="">
      <xdr:nvSpPr>
        <xdr:cNvPr id="35" name="TextBox 34">
          <a:extLst>
            <a:ext uri="{FF2B5EF4-FFF2-40B4-BE49-F238E27FC236}">
              <a16:creationId xmlns:a16="http://schemas.microsoft.com/office/drawing/2014/main" id="{D8918669-2F2C-FAE7-F365-3402909088E0}"/>
            </a:ext>
          </a:extLst>
        </xdr:cNvPr>
        <xdr:cNvSpPr txBox="1"/>
      </xdr:nvSpPr>
      <xdr:spPr>
        <a:xfrm>
          <a:off x="4876800" y="866774"/>
          <a:ext cx="1219200" cy="2381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89C4E9"/>
              </a:solidFill>
            </a:rPr>
            <a:t>Total Screen Time</a:t>
          </a:r>
        </a:p>
      </xdr:txBody>
    </xdr:sp>
    <xdr:clientData/>
  </xdr:twoCellAnchor>
  <xdr:twoCellAnchor>
    <xdr:from>
      <xdr:col>10</xdr:col>
      <xdr:colOff>457200</xdr:colOff>
      <xdr:row>6</xdr:row>
      <xdr:rowOff>57149</xdr:rowOff>
    </xdr:from>
    <xdr:to>
      <xdr:col>12</xdr:col>
      <xdr:colOff>571500</xdr:colOff>
      <xdr:row>8</xdr:row>
      <xdr:rowOff>19050</xdr:rowOff>
    </xdr:to>
    <xdr:sp macro="" textlink="Pivot_Table!B100">
      <xdr:nvSpPr>
        <xdr:cNvPr id="36" name="TextBox 35">
          <a:extLst>
            <a:ext uri="{FF2B5EF4-FFF2-40B4-BE49-F238E27FC236}">
              <a16:creationId xmlns:a16="http://schemas.microsoft.com/office/drawing/2014/main" id="{031D99AA-D970-2EBE-A747-AFD76FEA5B5E}"/>
            </a:ext>
          </a:extLst>
        </xdr:cNvPr>
        <xdr:cNvSpPr txBox="1"/>
      </xdr:nvSpPr>
      <xdr:spPr>
        <a:xfrm>
          <a:off x="6553200" y="1200149"/>
          <a:ext cx="1333500" cy="342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F56CA9C-4B19-433C-8DC1-C4142AA20722}" type="TxLink">
            <a:rPr lang="en-US" sz="1800" b="0" i="0" u="none" strike="noStrike">
              <a:solidFill>
                <a:srgbClr val="89C4E9"/>
              </a:solidFill>
              <a:latin typeface="Aptos Narrow"/>
            </a:rPr>
            <a:pPr/>
            <a:t>5346.8</a:t>
          </a:fld>
          <a:endParaRPr lang="en-US" sz="1800">
            <a:solidFill>
              <a:srgbClr val="89C4E9"/>
            </a:solidFill>
          </a:endParaRPr>
        </a:p>
      </xdr:txBody>
    </xdr:sp>
    <xdr:clientData/>
  </xdr:twoCellAnchor>
  <xdr:twoCellAnchor>
    <xdr:from>
      <xdr:col>10</xdr:col>
      <xdr:colOff>457200</xdr:colOff>
      <xdr:row>4</xdr:row>
      <xdr:rowOff>76199</xdr:rowOff>
    </xdr:from>
    <xdr:to>
      <xdr:col>12</xdr:col>
      <xdr:colOff>571500</xdr:colOff>
      <xdr:row>5</xdr:row>
      <xdr:rowOff>161924</xdr:rowOff>
    </xdr:to>
    <xdr:sp macro="" textlink="">
      <xdr:nvSpPr>
        <xdr:cNvPr id="37" name="TextBox 36">
          <a:extLst>
            <a:ext uri="{FF2B5EF4-FFF2-40B4-BE49-F238E27FC236}">
              <a16:creationId xmlns:a16="http://schemas.microsoft.com/office/drawing/2014/main" id="{CEE11D7E-7541-EA67-3502-AD9422280EBB}"/>
            </a:ext>
          </a:extLst>
        </xdr:cNvPr>
        <xdr:cNvSpPr txBox="1"/>
      </xdr:nvSpPr>
      <xdr:spPr>
        <a:xfrm>
          <a:off x="6553200" y="838199"/>
          <a:ext cx="133350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89C4E9"/>
              </a:solidFill>
            </a:rPr>
            <a:t>Total Sleep Hours</a:t>
          </a:r>
        </a:p>
      </xdr:txBody>
    </xdr:sp>
    <xdr:clientData/>
  </xdr:twoCellAnchor>
  <xdr:twoCellAnchor editAs="oneCell">
    <xdr:from>
      <xdr:col>0</xdr:col>
      <xdr:colOff>212930</xdr:colOff>
      <xdr:row>9</xdr:row>
      <xdr:rowOff>118294</xdr:rowOff>
    </xdr:from>
    <xdr:to>
      <xdr:col>2</xdr:col>
      <xdr:colOff>43016</xdr:colOff>
      <xdr:row>15</xdr:row>
      <xdr:rowOff>24581</xdr:rowOff>
    </xdr:to>
    <mc:AlternateContent xmlns:mc="http://schemas.openxmlformats.org/markup-compatibility/2006" xmlns:a14="http://schemas.microsoft.com/office/drawing/2010/main">
      <mc:Choice Requires="a14">
        <xdr:graphicFrame macro="">
          <xdr:nvGraphicFramePr>
            <xdr:cNvPr id="40" name="Category">
              <a:extLst>
                <a:ext uri="{FF2B5EF4-FFF2-40B4-BE49-F238E27FC236}">
                  <a16:creationId xmlns:a16="http://schemas.microsoft.com/office/drawing/2014/main" id="{7FD3E9AC-165C-0461-A781-039817E9655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12930" y="1832794"/>
              <a:ext cx="1046828" cy="10492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194495</xdr:colOff>
      <xdr:row>15</xdr:row>
      <xdr:rowOff>116451</xdr:rowOff>
    </xdr:from>
    <xdr:to>
      <xdr:col>2</xdr:col>
      <xdr:colOff>51620</xdr:colOff>
      <xdr:row>22</xdr:row>
      <xdr:rowOff>125976</xdr:rowOff>
    </xdr:to>
    <mc:AlternateContent xmlns:mc="http://schemas.openxmlformats.org/markup-compatibility/2006" xmlns:a14="http://schemas.microsoft.com/office/drawing/2010/main">
      <mc:Choice Requires="a14">
        <xdr:graphicFrame macro="">
          <xdr:nvGraphicFramePr>
            <xdr:cNvPr id="41" name="Mental State">
              <a:extLst>
                <a:ext uri="{FF2B5EF4-FFF2-40B4-BE49-F238E27FC236}">
                  <a16:creationId xmlns:a16="http://schemas.microsoft.com/office/drawing/2014/main" id="{11A55475-901D-246E-1BA0-9CE4EACDDBBF}"/>
                </a:ext>
              </a:extLst>
            </xdr:cNvPr>
            <xdr:cNvGraphicFramePr/>
          </xdr:nvGraphicFramePr>
          <xdr:xfrm>
            <a:off x="0" y="0"/>
            <a:ext cx="0" cy="0"/>
          </xdr:xfrm>
          <a:graphic>
            <a:graphicData uri="http://schemas.microsoft.com/office/drawing/2010/slicer">
              <sle:slicer xmlns:sle="http://schemas.microsoft.com/office/drawing/2010/slicer" name="Mental State"/>
            </a:graphicData>
          </a:graphic>
        </xdr:graphicFrame>
      </mc:Choice>
      <mc:Fallback xmlns="">
        <xdr:sp macro="" textlink="">
          <xdr:nvSpPr>
            <xdr:cNvPr id="0" name=""/>
            <xdr:cNvSpPr>
              <a:spLocks noTextEdit="1"/>
            </xdr:cNvSpPr>
          </xdr:nvSpPr>
          <xdr:spPr>
            <a:xfrm>
              <a:off x="194495" y="2973951"/>
              <a:ext cx="1073867" cy="1343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219689</xdr:colOff>
      <xdr:row>23</xdr:row>
      <xdr:rowOff>48546</xdr:rowOff>
    </xdr:from>
    <xdr:to>
      <xdr:col>2</xdr:col>
      <xdr:colOff>38714</xdr:colOff>
      <xdr:row>30</xdr:row>
      <xdr:rowOff>86646</xdr:rowOff>
    </xdr:to>
    <mc:AlternateContent xmlns:mc="http://schemas.openxmlformats.org/markup-compatibility/2006" xmlns:a14="http://schemas.microsoft.com/office/drawing/2010/main">
      <mc:Choice Requires="a14">
        <xdr:graphicFrame macro="">
          <xdr:nvGraphicFramePr>
            <xdr:cNvPr id="42" name="social_interaction_level">
              <a:extLst>
                <a:ext uri="{FF2B5EF4-FFF2-40B4-BE49-F238E27FC236}">
                  <a16:creationId xmlns:a16="http://schemas.microsoft.com/office/drawing/2014/main" id="{793B3E3F-BA74-D3B0-B17A-9CD9DE0523A1}"/>
                </a:ext>
              </a:extLst>
            </xdr:cNvPr>
            <xdr:cNvGraphicFramePr/>
          </xdr:nvGraphicFramePr>
          <xdr:xfrm>
            <a:off x="0" y="0"/>
            <a:ext cx="0" cy="0"/>
          </xdr:xfrm>
          <a:graphic>
            <a:graphicData uri="http://schemas.microsoft.com/office/drawing/2010/slicer">
              <sle:slicer xmlns:sle="http://schemas.microsoft.com/office/drawing/2010/slicer" name="social_interaction_level"/>
            </a:graphicData>
          </a:graphic>
        </xdr:graphicFrame>
      </mc:Choice>
      <mc:Fallback xmlns="">
        <xdr:sp macro="" textlink="">
          <xdr:nvSpPr>
            <xdr:cNvPr id="0" name=""/>
            <xdr:cNvSpPr>
              <a:spLocks noTextEdit="1"/>
            </xdr:cNvSpPr>
          </xdr:nvSpPr>
          <xdr:spPr>
            <a:xfrm>
              <a:off x="219689" y="4430046"/>
              <a:ext cx="1035767"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266699</xdr:colOff>
      <xdr:row>3</xdr:row>
      <xdr:rowOff>114300</xdr:rowOff>
    </xdr:from>
    <xdr:to>
      <xdr:col>2</xdr:col>
      <xdr:colOff>66674</xdr:colOff>
      <xdr:row>8</xdr:row>
      <xdr:rowOff>158585</xdr:rowOff>
    </xdr:to>
    <xdr:pic>
      <xdr:nvPicPr>
        <xdr:cNvPr id="15" name="Picture 14">
          <a:extLst>
            <a:ext uri="{FF2B5EF4-FFF2-40B4-BE49-F238E27FC236}">
              <a16:creationId xmlns:a16="http://schemas.microsoft.com/office/drawing/2014/main" id="{6D45FB40-8AAD-5DA1-A068-D826B58ECB27}"/>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266699" y="685800"/>
          <a:ext cx="1019175" cy="99678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66676</xdr:colOff>
      <xdr:row>0</xdr:row>
      <xdr:rowOff>47626</xdr:rowOff>
    </xdr:from>
    <xdr:to>
      <xdr:col>18</xdr:col>
      <xdr:colOff>433728</xdr:colOff>
      <xdr:row>31</xdr:row>
      <xdr:rowOff>8505</xdr:rowOff>
    </xdr:to>
    <xdr:sp macro="" textlink="">
      <xdr:nvSpPr>
        <xdr:cNvPr id="2" name="Rectangle 1">
          <a:extLst>
            <a:ext uri="{FF2B5EF4-FFF2-40B4-BE49-F238E27FC236}">
              <a16:creationId xmlns:a16="http://schemas.microsoft.com/office/drawing/2014/main" id="{CC26760B-A3C7-E3FA-62FE-ED011E84B08B}"/>
            </a:ext>
          </a:extLst>
        </xdr:cNvPr>
        <xdr:cNvSpPr/>
      </xdr:nvSpPr>
      <xdr:spPr>
        <a:xfrm>
          <a:off x="66676" y="47626"/>
          <a:ext cx="11388838" cy="5760924"/>
        </a:xfrm>
        <a:prstGeom prst="rect">
          <a:avLst/>
        </a:prstGeom>
        <a:gradFill flip="none" rotWithShape="1">
          <a:gsLst>
            <a:gs pos="0">
              <a:srgbClr val="324AA0">
                <a:lumMod val="79000"/>
                <a:lumOff val="21000"/>
              </a:srgbClr>
            </a:gs>
            <a:gs pos="40000">
              <a:srgbClr val="513871"/>
            </a:gs>
            <a:gs pos="56000">
              <a:srgbClr val="1C5185"/>
            </a:gs>
            <a:gs pos="92000">
              <a:srgbClr val="3053A7"/>
            </a:gs>
          </a:gsLst>
          <a:lin ang="15000000" scaled="0"/>
          <a:tileRect/>
        </a:gra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323850</xdr:colOff>
      <xdr:row>1</xdr:row>
      <xdr:rowOff>95249</xdr:rowOff>
    </xdr:from>
    <xdr:to>
      <xdr:col>4</xdr:col>
      <xdr:colOff>187098</xdr:colOff>
      <xdr:row>9</xdr:row>
      <xdr:rowOff>17008</xdr:rowOff>
    </xdr:to>
    <xdr:grpSp>
      <xdr:nvGrpSpPr>
        <xdr:cNvPr id="5" name="Group 4">
          <a:extLst>
            <a:ext uri="{FF2B5EF4-FFF2-40B4-BE49-F238E27FC236}">
              <a16:creationId xmlns:a16="http://schemas.microsoft.com/office/drawing/2014/main" id="{0F2EA92B-F62A-05DD-D1D9-71B447A33ED4}"/>
            </a:ext>
          </a:extLst>
        </xdr:cNvPr>
        <xdr:cNvGrpSpPr/>
      </xdr:nvGrpSpPr>
      <xdr:grpSpPr>
        <a:xfrm>
          <a:off x="323850" y="282347"/>
          <a:ext cx="2312534" cy="1418545"/>
          <a:chOff x="323850" y="282347"/>
          <a:chExt cx="2312534" cy="1418545"/>
        </a:xfrm>
      </xdr:grpSpPr>
      <xdr:sp macro="" textlink="">
        <xdr:nvSpPr>
          <xdr:cNvPr id="4" name="Rectangle: Rounded Corners 3">
            <a:extLst>
              <a:ext uri="{FF2B5EF4-FFF2-40B4-BE49-F238E27FC236}">
                <a16:creationId xmlns:a16="http://schemas.microsoft.com/office/drawing/2014/main" id="{5556D691-545F-087E-F4C9-E7DC583E76CF}"/>
              </a:ext>
            </a:extLst>
          </xdr:cNvPr>
          <xdr:cNvSpPr/>
        </xdr:nvSpPr>
        <xdr:spPr>
          <a:xfrm>
            <a:off x="323850" y="282347"/>
            <a:ext cx="2312534" cy="1418545"/>
          </a:xfrm>
          <a:prstGeom prst="roundRect">
            <a:avLst>
              <a:gd name="adj" fmla="val 9829"/>
            </a:avLst>
          </a:prstGeom>
          <a:gradFill flip="none" rotWithShape="1">
            <a:gsLst>
              <a:gs pos="53000">
                <a:srgbClr val="3A377C"/>
              </a:gs>
              <a:gs pos="0">
                <a:srgbClr val="CB95DD"/>
              </a:gs>
            </a:gsLst>
            <a:lin ang="2700000" scaled="1"/>
            <a:tileRect/>
          </a:gradFill>
          <a:ln>
            <a:noFill/>
          </a:ln>
          <a:effectLst>
            <a:outerShdw blurRad="63500" sx="104000" sy="104000" algn="ctr" rotWithShape="0">
              <a:prstClr val="black">
                <a:alpha val="8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Rectangle: Rounded Corners 6">
            <a:extLst>
              <a:ext uri="{FF2B5EF4-FFF2-40B4-BE49-F238E27FC236}">
                <a16:creationId xmlns:a16="http://schemas.microsoft.com/office/drawing/2014/main" id="{09CF396D-307E-071A-26A7-664FCC742746}"/>
              </a:ext>
            </a:extLst>
          </xdr:cNvPr>
          <xdr:cNvSpPr/>
        </xdr:nvSpPr>
        <xdr:spPr>
          <a:xfrm>
            <a:off x="533400" y="527956"/>
            <a:ext cx="1873363" cy="891608"/>
          </a:xfrm>
          <a:prstGeom prst="roundRect">
            <a:avLst/>
          </a:prstGeom>
          <a:gradFill>
            <a:gsLst>
              <a:gs pos="0">
                <a:srgbClr val="CB95DD"/>
              </a:gs>
              <a:gs pos="68000">
                <a:srgbClr val="423CA9"/>
              </a:gs>
            </a:gsLst>
            <a:lin ang="2700000" scaled="1"/>
          </a:gradFill>
          <a:ln>
            <a:noFill/>
          </a:ln>
          <a:effectLst>
            <a:outerShdw blurRad="63500" sx="103000" sy="103000" algn="ctr" rotWithShape="0">
              <a:prstClr val="black"/>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0</xdr:col>
      <xdr:colOff>399711</xdr:colOff>
      <xdr:row>10</xdr:row>
      <xdr:rowOff>161244</xdr:rowOff>
    </xdr:from>
    <xdr:to>
      <xdr:col>8</xdr:col>
      <xdr:colOff>561296</xdr:colOff>
      <xdr:row>30</xdr:row>
      <xdr:rowOff>83819</xdr:rowOff>
    </xdr:to>
    <xdr:sp macro="" textlink="">
      <xdr:nvSpPr>
        <xdr:cNvPr id="9" name="Rectangle: Rounded Corners 8">
          <a:extLst>
            <a:ext uri="{FF2B5EF4-FFF2-40B4-BE49-F238E27FC236}">
              <a16:creationId xmlns:a16="http://schemas.microsoft.com/office/drawing/2014/main" id="{54C4FB99-B8D8-204C-B49C-5CD9EBF9F221}"/>
            </a:ext>
          </a:extLst>
        </xdr:cNvPr>
        <xdr:cNvSpPr/>
      </xdr:nvSpPr>
      <xdr:spPr>
        <a:xfrm>
          <a:off x="399711" y="2032226"/>
          <a:ext cx="5060156" cy="3664539"/>
        </a:xfrm>
        <a:prstGeom prst="roundRect">
          <a:avLst>
            <a:gd name="adj" fmla="val 3363"/>
          </a:avLst>
        </a:prstGeom>
        <a:gradFill>
          <a:gsLst>
            <a:gs pos="50000">
              <a:srgbClr val="3A377C">
                <a:lumMod val="76000"/>
              </a:srgbClr>
            </a:gs>
            <a:gs pos="0">
              <a:srgbClr val="CB95DD">
                <a:lumMod val="45000"/>
              </a:srgbClr>
            </a:gs>
          </a:gsLst>
          <a:lin ang="3600000" scaled="0"/>
        </a:gradFill>
        <a:ln>
          <a:noFill/>
        </a:ln>
        <a:effectLst>
          <a:outerShdw blurRad="127000" sx="103000" sy="103000" algn="ctr" rotWithShape="0">
            <a:prstClr val="black">
              <a:alpha val="8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174511</xdr:colOff>
      <xdr:row>0</xdr:row>
      <xdr:rowOff>127908</xdr:rowOff>
    </xdr:from>
    <xdr:to>
      <xdr:col>18</xdr:col>
      <xdr:colOff>238125</xdr:colOff>
      <xdr:row>10</xdr:row>
      <xdr:rowOff>17010</xdr:rowOff>
    </xdr:to>
    <xdr:sp macro="" textlink="">
      <xdr:nvSpPr>
        <xdr:cNvPr id="10" name="Rectangle: Rounded Corners 9">
          <a:extLst>
            <a:ext uri="{FF2B5EF4-FFF2-40B4-BE49-F238E27FC236}">
              <a16:creationId xmlns:a16="http://schemas.microsoft.com/office/drawing/2014/main" id="{385048A1-BA08-EFE9-CC2D-730A98473352}"/>
            </a:ext>
          </a:extLst>
        </xdr:cNvPr>
        <xdr:cNvSpPr/>
      </xdr:nvSpPr>
      <xdr:spPr>
        <a:xfrm>
          <a:off x="5685404" y="127908"/>
          <a:ext cx="5574507" cy="1760084"/>
        </a:xfrm>
        <a:prstGeom prst="roundRect">
          <a:avLst>
            <a:gd name="adj" fmla="val 4752"/>
          </a:avLst>
        </a:prstGeom>
        <a:gradFill flip="none" rotWithShape="1">
          <a:gsLst>
            <a:gs pos="37000">
              <a:srgbClr val="3A377C"/>
            </a:gs>
            <a:gs pos="0">
              <a:srgbClr val="CB95DD">
                <a:lumMod val="35000"/>
              </a:srgbClr>
            </a:gs>
          </a:gsLst>
          <a:lin ang="8100000" scaled="1"/>
          <a:tileRect/>
        </a:gradFill>
        <a:ln>
          <a:noFill/>
        </a:ln>
        <a:effectLst>
          <a:outerShdw blurRad="127000" sx="103000" sy="103000" algn="ctr" rotWithShape="0">
            <a:prstClr val="black">
              <a:alpha val="8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174511</xdr:colOff>
      <xdr:row>11</xdr:row>
      <xdr:rowOff>108178</xdr:rowOff>
    </xdr:from>
    <xdr:to>
      <xdr:col>18</xdr:col>
      <xdr:colOff>252752</xdr:colOff>
      <xdr:row>30</xdr:row>
      <xdr:rowOff>59532</xdr:rowOff>
    </xdr:to>
    <xdr:grpSp>
      <xdr:nvGrpSpPr>
        <xdr:cNvPr id="11" name="Group 10">
          <a:extLst>
            <a:ext uri="{FF2B5EF4-FFF2-40B4-BE49-F238E27FC236}">
              <a16:creationId xmlns:a16="http://schemas.microsoft.com/office/drawing/2014/main" id="{D537B524-FB2B-A2F4-30D1-DE26EBE6CE45}"/>
            </a:ext>
          </a:extLst>
        </xdr:cNvPr>
        <xdr:cNvGrpSpPr/>
      </xdr:nvGrpSpPr>
      <xdr:grpSpPr>
        <a:xfrm>
          <a:off x="5685404" y="2166258"/>
          <a:ext cx="5589134" cy="3506220"/>
          <a:chOff x="5685404" y="2166258"/>
          <a:chExt cx="5589134" cy="3337491"/>
        </a:xfrm>
      </xdr:grpSpPr>
      <xdr:sp macro="" textlink="">
        <xdr:nvSpPr>
          <xdr:cNvPr id="12" name="Rectangle: Rounded Corners 11">
            <a:extLst>
              <a:ext uri="{FF2B5EF4-FFF2-40B4-BE49-F238E27FC236}">
                <a16:creationId xmlns:a16="http://schemas.microsoft.com/office/drawing/2014/main" id="{DB7F657B-E0EC-BDA8-9873-32CCCE995AE4}"/>
              </a:ext>
            </a:extLst>
          </xdr:cNvPr>
          <xdr:cNvSpPr/>
        </xdr:nvSpPr>
        <xdr:spPr>
          <a:xfrm>
            <a:off x="8672852" y="2166258"/>
            <a:ext cx="2601686" cy="3329668"/>
          </a:xfrm>
          <a:prstGeom prst="roundRect">
            <a:avLst>
              <a:gd name="adj" fmla="val 3256"/>
            </a:avLst>
          </a:prstGeom>
          <a:gradFill flip="none" rotWithShape="1">
            <a:gsLst>
              <a:gs pos="22000">
                <a:srgbClr val="484C93"/>
              </a:gs>
              <a:gs pos="62000">
                <a:srgbClr val="2B3F7E"/>
              </a:gs>
            </a:gsLst>
            <a:lin ang="5400000" scaled="1"/>
            <a:tileRect/>
          </a:gradFill>
          <a:ln>
            <a:noFill/>
          </a:ln>
          <a:effectLst>
            <a:outerShdw blurRad="127000" sx="103000" sy="103000" algn="ctr" rotWithShape="0">
              <a:prstClr val="black">
                <a:alpha val="8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7" name="Rectangle: Rounded Corners 16">
            <a:extLst>
              <a:ext uri="{FF2B5EF4-FFF2-40B4-BE49-F238E27FC236}">
                <a16:creationId xmlns:a16="http://schemas.microsoft.com/office/drawing/2014/main" id="{4A6CD0A8-CA62-E824-ADE7-DC379946D104}"/>
              </a:ext>
            </a:extLst>
          </xdr:cNvPr>
          <xdr:cNvSpPr/>
        </xdr:nvSpPr>
        <xdr:spPr>
          <a:xfrm>
            <a:off x="5685404" y="2174081"/>
            <a:ext cx="2601686" cy="3329668"/>
          </a:xfrm>
          <a:prstGeom prst="roundRect">
            <a:avLst>
              <a:gd name="adj" fmla="val 3256"/>
            </a:avLst>
          </a:prstGeom>
          <a:gradFill flip="none" rotWithShape="1">
            <a:gsLst>
              <a:gs pos="22000">
                <a:srgbClr val="484C93"/>
              </a:gs>
              <a:gs pos="62000">
                <a:srgbClr val="2B3F7E"/>
              </a:gs>
            </a:gsLst>
            <a:lin ang="5400000" scaled="1"/>
            <a:tileRect/>
          </a:gradFill>
          <a:ln>
            <a:noFill/>
          </a:ln>
          <a:effectLst>
            <a:outerShdw blurRad="127000" sx="103000" sy="103000" algn="ctr" rotWithShape="0">
              <a:prstClr val="black">
                <a:alpha val="8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0</xdr:col>
      <xdr:colOff>576090</xdr:colOff>
      <xdr:row>3</xdr:row>
      <xdr:rowOff>8504</xdr:rowOff>
    </xdr:from>
    <xdr:to>
      <xdr:col>3</xdr:col>
      <xdr:colOff>425221</xdr:colOff>
      <xdr:row>5</xdr:row>
      <xdr:rowOff>127567</xdr:rowOff>
    </xdr:to>
    <xdr:sp macro="" textlink="Pivot_Table!B94">
      <xdr:nvSpPr>
        <xdr:cNvPr id="6" name="TextBox 5">
          <a:extLst>
            <a:ext uri="{FF2B5EF4-FFF2-40B4-BE49-F238E27FC236}">
              <a16:creationId xmlns:a16="http://schemas.microsoft.com/office/drawing/2014/main" id="{B6D291FF-2870-6CD9-2163-B5C2C5473E91}"/>
            </a:ext>
          </a:extLst>
        </xdr:cNvPr>
        <xdr:cNvSpPr txBox="1"/>
      </xdr:nvSpPr>
      <xdr:spPr>
        <a:xfrm>
          <a:off x="576090" y="569799"/>
          <a:ext cx="1686095" cy="4932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BDA4D33-CBD8-4266-B295-783D971ECCEB}" type="TxLink">
            <a:rPr lang="en-US" sz="2800" b="0" i="0" u="none" strike="noStrike">
              <a:solidFill>
                <a:schemeClr val="bg1"/>
              </a:solidFill>
              <a:latin typeface="Aptos Narrow"/>
            </a:rPr>
            <a:pPr/>
            <a:t>831</a:t>
          </a:fld>
          <a:endParaRPr lang="en-US" sz="2800">
            <a:solidFill>
              <a:schemeClr val="bg1"/>
            </a:solidFill>
          </a:endParaRPr>
        </a:p>
      </xdr:txBody>
    </xdr:sp>
    <xdr:clientData/>
  </xdr:twoCellAnchor>
  <xdr:twoCellAnchor>
    <xdr:from>
      <xdr:col>1</xdr:col>
      <xdr:colOff>0</xdr:colOff>
      <xdr:row>6</xdr:row>
      <xdr:rowOff>2</xdr:rowOff>
    </xdr:from>
    <xdr:to>
      <xdr:col>3</xdr:col>
      <xdr:colOff>484755</xdr:colOff>
      <xdr:row>7</xdr:row>
      <xdr:rowOff>42523</xdr:rowOff>
    </xdr:to>
    <xdr:sp macro="" textlink="">
      <xdr:nvSpPr>
        <xdr:cNvPr id="8" name="TextBox 7">
          <a:extLst>
            <a:ext uri="{FF2B5EF4-FFF2-40B4-BE49-F238E27FC236}">
              <a16:creationId xmlns:a16="http://schemas.microsoft.com/office/drawing/2014/main" id="{D58A000B-1230-ED21-52B2-C79B01BCA97B}"/>
            </a:ext>
          </a:extLst>
        </xdr:cNvPr>
        <xdr:cNvSpPr txBox="1"/>
      </xdr:nvSpPr>
      <xdr:spPr>
        <a:xfrm>
          <a:off x="612321" y="1122591"/>
          <a:ext cx="1709398" cy="229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bg1"/>
              </a:solidFill>
            </a:rPr>
            <a:t>Total</a:t>
          </a:r>
          <a:r>
            <a:rPr lang="en-US" sz="1200" baseline="0">
              <a:solidFill>
                <a:schemeClr val="bg1"/>
              </a:solidFill>
            </a:rPr>
            <a:t> Population</a:t>
          </a:r>
          <a:endParaRPr lang="en-US" sz="1200">
            <a:solidFill>
              <a:schemeClr val="bg1"/>
            </a:solidFill>
          </a:endParaRPr>
        </a:p>
      </xdr:txBody>
    </xdr:sp>
    <xdr:clientData/>
  </xdr:twoCellAnchor>
  <xdr:twoCellAnchor>
    <xdr:from>
      <xdr:col>4</xdr:col>
      <xdr:colOff>586808</xdr:colOff>
      <xdr:row>1</xdr:row>
      <xdr:rowOff>95249</xdr:rowOff>
    </xdr:from>
    <xdr:to>
      <xdr:col>8</xdr:col>
      <xdr:colOff>450057</xdr:colOff>
      <xdr:row>9</xdr:row>
      <xdr:rowOff>17008</xdr:rowOff>
    </xdr:to>
    <xdr:grpSp>
      <xdr:nvGrpSpPr>
        <xdr:cNvPr id="3" name="Group 2">
          <a:extLst>
            <a:ext uri="{FF2B5EF4-FFF2-40B4-BE49-F238E27FC236}">
              <a16:creationId xmlns:a16="http://schemas.microsoft.com/office/drawing/2014/main" id="{34A1FE29-7EF7-EEB5-1DD9-23443630CAFB}"/>
            </a:ext>
          </a:extLst>
        </xdr:cNvPr>
        <xdr:cNvGrpSpPr/>
      </xdr:nvGrpSpPr>
      <xdr:grpSpPr>
        <a:xfrm>
          <a:off x="3036094" y="282347"/>
          <a:ext cx="2312534" cy="1418545"/>
          <a:chOff x="3036094" y="282347"/>
          <a:chExt cx="2312534" cy="1418545"/>
        </a:xfrm>
      </xdr:grpSpPr>
      <xdr:sp macro="" textlink="">
        <xdr:nvSpPr>
          <xdr:cNvPr id="15" name="Rectangle: Rounded Corners 14">
            <a:extLst>
              <a:ext uri="{FF2B5EF4-FFF2-40B4-BE49-F238E27FC236}">
                <a16:creationId xmlns:a16="http://schemas.microsoft.com/office/drawing/2014/main" id="{A3BA8517-B5DF-342B-70F3-CECDB21B7463}"/>
              </a:ext>
            </a:extLst>
          </xdr:cNvPr>
          <xdr:cNvSpPr/>
        </xdr:nvSpPr>
        <xdr:spPr>
          <a:xfrm>
            <a:off x="3036094" y="282347"/>
            <a:ext cx="2312534" cy="1418545"/>
          </a:xfrm>
          <a:prstGeom prst="roundRect">
            <a:avLst>
              <a:gd name="adj" fmla="val 9829"/>
            </a:avLst>
          </a:prstGeom>
          <a:gradFill flip="none" rotWithShape="1">
            <a:gsLst>
              <a:gs pos="53000">
                <a:srgbClr val="3A377C"/>
              </a:gs>
              <a:gs pos="0">
                <a:srgbClr val="CB95DD"/>
              </a:gs>
            </a:gsLst>
            <a:lin ang="2700000" scaled="1"/>
            <a:tileRect/>
          </a:gradFill>
          <a:ln>
            <a:noFill/>
          </a:ln>
          <a:effectLst>
            <a:outerShdw blurRad="63500" sx="104000" sy="104000" algn="ctr" rotWithShape="0">
              <a:prstClr val="black">
                <a:alpha val="8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 name="Rectangle: Rounded Corners 15">
            <a:extLst>
              <a:ext uri="{FF2B5EF4-FFF2-40B4-BE49-F238E27FC236}">
                <a16:creationId xmlns:a16="http://schemas.microsoft.com/office/drawing/2014/main" id="{462664AE-DF61-07B8-71E6-AF315B5F2B2B}"/>
              </a:ext>
            </a:extLst>
          </xdr:cNvPr>
          <xdr:cNvSpPr/>
        </xdr:nvSpPr>
        <xdr:spPr>
          <a:xfrm>
            <a:off x="3245644" y="527956"/>
            <a:ext cx="1873363" cy="891608"/>
          </a:xfrm>
          <a:prstGeom prst="roundRect">
            <a:avLst/>
          </a:prstGeom>
          <a:gradFill>
            <a:gsLst>
              <a:gs pos="0">
                <a:srgbClr val="CB95DD"/>
              </a:gs>
              <a:gs pos="68000">
                <a:srgbClr val="423CA9"/>
              </a:gs>
            </a:gsLst>
            <a:lin ang="2700000" scaled="1"/>
          </a:gradFill>
          <a:ln>
            <a:noFill/>
          </a:ln>
          <a:effectLst>
            <a:outerShdw blurRad="139700" sx="103000" sy="103000" algn="ctr" rotWithShape="0">
              <a:prstClr val="black"/>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5</xdr:col>
      <xdr:colOff>306161</xdr:colOff>
      <xdr:row>3</xdr:row>
      <xdr:rowOff>59531</xdr:rowOff>
    </xdr:from>
    <xdr:to>
      <xdr:col>8</xdr:col>
      <xdr:colOff>110558</xdr:colOff>
      <xdr:row>5</xdr:row>
      <xdr:rowOff>119063</xdr:rowOff>
    </xdr:to>
    <xdr:sp macro="" textlink="Pivot_Table!B96">
      <xdr:nvSpPr>
        <xdr:cNvPr id="13" name="TextBox 12">
          <a:extLst>
            <a:ext uri="{FF2B5EF4-FFF2-40B4-BE49-F238E27FC236}">
              <a16:creationId xmlns:a16="http://schemas.microsoft.com/office/drawing/2014/main" id="{EE41BBFF-EF64-6E15-DE65-65DD85A3AAE9}"/>
            </a:ext>
          </a:extLst>
        </xdr:cNvPr>
        <xdr:cNvSpPr txBox="1"/>
      </xdr:nvSpPr>
      <xdr:spPr>
        <a:xfrm>
          <a:off x="3367768" y="620826"/>
          <a:ext cx="1641361" cy="4337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2CBF9B9-7C6B-4187-8069-0333D6B21240}" type="TxLink">
            <a:rPr lang="en-US" sz="2400" b="0" i="0" u="none" strike="noStrike">
              <a:solidFill>
                <a:schemeClr val="bg1"/>
              </a:solidFill>
              <a:latin typeface="Aptos Narrow"/>
            </a:rPr>
            <a:pPr/>
            <a:t>16</a:t>
          </a:fld>
          <a:endParaRPr lang="en-US" sz="2400">
            <a:solidFill>
              <a:schemeClr val="bg1"/>
            </a:solidFill>
          </a:endParaRPr>
        </a:p>
      </xdr:txBody>
    </xdr:sp>
    <xdr:clientData/>
  </xdr:twoCellAnchor>
  <xdr:twoCellAnchor>
    <xdr:from>
      <xdr:col>5</xdr:col>
      <xdr:colOff>297657</xdr:colOff>
      <xdr:row>6</xdr:row>
      <xdr:rowOff>17009</xdr:rowOff>
    </xdr:from>
    <xdr:to>
      <xdr:col>8</xdr:col>
      <xdr:colOff>119063</xdr:colOff>
      <xdr:row>7</xdr:row>
      <xdr:rowOff>68035</xdr:rowOff>
    </xdr:to>
    <xdr:sp macro="" textlink="">
      <xdr:nvSpPr>
        <xdr:cNvPr id="14" name="TextBox 13">
          <a:extLst>
            <a:ext uri="{FF2B5EF4-FFF2-40B4-BE49-F238E27FC236}">
              <a16:creationId xmlns:a16="http://schemas.microsoft.com/office/drawing/2014/main" id="{A6056716-B39E-CB27-D6DC-143CCEB8ACB1}"/>
            </a:ext>
          </a:extLst>
        </xdr:cNvPr>
        <xdr:cNvSpPr txBox="1"/>
      </xdr:nvSpPr>
      <xdr:spPr>
        <a:xfrm>
          <a:off x="3359264" y="1139598"/>
          <a:ext cx="165837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bg1"/>
              </a:solidFill>
            </a:rPr>
            <a:t>Average</a:t>
          </a:r>
          <a:r>
            <a:rPr lang="en-US" sz="1200" baseline="0">
              <a:solidFill>
                <a:schemeClr val="bg1"/>
              </a:solidFill>
            </a:rPr>
            <a:t> Age</a:t>
          </a:r>
        </a:p>
      </xdr:txBody>
    </xdr:sp>
    <xdr:clientData/>
  </xdr:twoCellAnchor>
  <xdr:twoCellAnchor>
    <xdr:from>
      <xdr:col>9</xdr:col>
      <xdr:colOff>259555</xdr:colOff>
      <xdr:row>11</xdr:row>
      <xdr:rowOff>184717</xdr:rowOff>
    </xdr:from>
    <xdr:to>
      <xdr:col>13</xdr:col>
      <xdr:colOff>221115</xdr:colOff>
      <xdr:row>29</xdr:row>
      <xdr:rowOff>119062</xdr:rowOff>
    </xdr:to>
    <xdr:graphicFrame macro="">
      <xdr:nvGraphicFramePr>
        <xdr:cNvPr id="21" name="Chart 20">
          <a:extLst>
            <a:ext uri="{FF2B5EF4-FFF2-40B4-BE49-F238E27FC236}">
              <a16:creationId xmlns:a16="http://schemas.microsoft.com/office/drawing/2014/main" id="{87D035DD-EB16-4F33-B68B-6AD77C6B87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327591</xdr:colOff>
      <xdr:row>0</xdr:row>
      <xdr:rowOff>153079</xdr:rowOff>
    </xdr:from>
    <xdr:to>
      <xdr:col>18</xdr:col>
      <xdr:colOff>93549</xdr:colOff>
      <xdr:row>9</xdr:row>
      <xdr:rowOff>161584</xdr:rowOff>
    </xdr:to>
    <xdr:graphicFrame macro="">
      <xdr:nvGraphicFramePr>
        <xdr:cNvPr id="22" name="Chart 21">
          <a:extLst>
            <a:ext uri="{FF2B5EF4-FFF2-40B4-BE49-F238E27FC236}">
              <a16:creationId xmlns:a16="http://schemas.microsoft.com/office/drawing/2014/main" id="{76AB2B72-3C1F-4AE1-B3F5-E3A22631C4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140493</xdr:colOff>
      <xdr:row>12</xdr:row>
      <xdr:rowOff>23132</xdr:rowOff>
    </xdr:from>
    <xdr:to>
      <xdr:col>18</xdr:col>
      <xdr:colOff>195602</xdr:colOff>
      <xdr:row>29</xdr:row>
      <xdr:rowOff>153080</xdr:rowOff>
    </xdr:to>
    <xdr:graphicFrame macro="">
      <xdr:nvGraphicFramePr>
        <xdr:cNvPr id="23" name="Chart 22">
          <a:extLst>
            <a:ext uri="{FF2B5EF4-FFF2-40B4-BE49-F238E27FC236}">
              <a16:creationId xmlns:a16="http://schemas.microsoft.com/office/drawing/2014/main" id="{E6AAC066-EB98-4547-80FB-CA3E2C7FDB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527279</xdr:colOff>
      <xdr:row>11</xdr:row>
      <xdr:rowOff>59189</xdr:rowOff>
    </xdr:from>
    <xdr:to>
      <xdr:col>8</xdr:col>
      <xdr:colOff>442234</xdr:colOff>
      <xdr:row>29</xdr:row>
      <xdr:rowOff>170088</xdr:rowOff>
    </xdr:to>
    <xdr:graphicFrame macro="">
      <xdr:nvGraphicFramePr>
        <xdr:cNvPr id="24" name="Chart 23">
          <a:extLst>
            <a:ext uri="{FF2B5EF4-FFF2-40B4-BE49-F238E27FC236}">
              <a16:creationId xmlns:a16="http://schemas.microsoft.com/office/drawing/2014/main" id="{B3F5CB42-7F48-4DE9-9E65-710F38B04E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97.495017476853" createdVersion="8" refreshedVersion="8" minRefreshableVersion="3" recordCount="1200" xr:uid="{E4F35344-5626-49B2-9248-18AD75F24BE2}">
  <cacheSource type="worksheet">
    <worksheetSource ref="A1:S1201" sheet="Worksheet"/>
  </cacheSource>
  <cacheFields count="19">
    <cacheField name="age" numFmtId="0">
      <sharedItems containsSemiMixedTypes="0" containsString="0" containsNumber="1" containsInteger="1" minValue="13" maxValue="19"/>
    </cacheField>
    <cacheField name="Category" numFmtId="0">
      <sharedItems count="2">
        <s v="Young Teenager"/>
        <s v="Old Teenager"/>
      </sharedItems>
    </cacheField>
    <cacheField name="gender" numFmtId="0">
      <sharedItems count="2">
        <s v="male"/>
        <s v="female"/>
      </sharedItems>
    </cacheField>
    <cacheField name="daily_social_media_hours" numFmtId="0">
      <sharedItems containsSemiMixedTypes="0" containsString="0" containsNumber="1" minValue="1" maxValue="8"/>
    </cacheField>
    <cacheField name="platform_usage" numFmtId="0">
      <sharedItems count="3">
        <s v="Instagram"/>
        <s v="TikTok"/>
        <s v="Both"/>
      </sharedItems>
    </cacheField>
    <cacheField name="sleep_hours" numFmtId="0">
      <sharedItems containsSemiMixedTypes="0" containsString="0" containsNumber="1" minValue="4" maxValue="9"/>
    </cacheField>
    <cacheField name="screen_time_before_sleep" numFmtId="0">
      <sharedItems containsSemiMixedTypes="0" containsString="0" containsNumber="1" minValue="0.5" maxValue="3"/>
    </cacheField>
    <cacheField name="Total screen time" numFmtId="0">
      <sharedItems containsSemiMixedTypes="0" containsString="0" containsNumber="1" minValue="1.7000000000000002" maxValue="10.8"/>
    </cacheField>
    <cacheField name="academic_performance" numFmtId="0">
      <sharedItems containsSemiMixedTypes="0" containsString="0" containsNumber="1" minValue="2" maxValue="4"/>
    </cacheField>
    <cacheField name="Grade" numFmtId="0">
      <sharedItems count="4">
        <s v="Second class upper"/>
        <s v="first class"/>
        <s v="third class"/>
        <s v="Second class lower"/>
      </sharedItems>
    </cacheField>
    <cacheField name="physical_activity" numFmtId="0">
      <sharedItems containsSemiMixedTypes="0" containsString="0" containsNumber="1" minValue="0" maxValue="2"/>
    </cacheField>
    <cacheField name="social_interaction_level" numFmtId="0">
      <sharedItems count="3">
        <s v="low"/>
        <s v="high"/>
        <s v="medium"/>
      </sharedItems>
    </cacheField>
    <cacheField name="stress_level" numFmtId="0">
      <sharedItems containsSemiMixedTypes="0" containsString="0" containsNumber="1" containsInteger="1" minValue="1" maxValue="10"/>
    </cacheField>
    <cacheField name="anxiety_level" numFmtId="0">
      <sharedItems containsSemiMixedTypes="0" containsString="0" containsNumber="1" containsInteger="1" minValue="1" maxValue="10"/>
    </cacheField>
    <cacheField name="addiction_level" numFmtId="0">
      <sharedItems containsSemiMixedTypes="0" containsString="0" containsNumber="1" containsInteger="1" minValue="1" maxValue="10"/>
    </cacheField>
    <cacheField name="depression_label" numFmtId="0">
      <sharedItems containsSemiMixedTypes="0" containsString="0" containsNumber="1" containsInteger="1" minValue="0" maxValue="1"/>
    </cacheField>
    <cacheField name="mental distress score" numFmtId="0">
      <sharedItems containsSemiMixedTypes="0" containsString="0" containsNumber="1" containsInteger="1" minValue="3" maxValue="30" count="28">
        <n v="5"/>
        <n v="19"/>
        <n v="8"/>
        <n v="17"/>
        <n v="10"/>
        <n v="15"/>
        <n v="9"/>
        <n v="21"/>
        <n v="20"/>
        <n v="6"/>
        <n v="22"/>
        <n v="18"/>
        <n v="11"/>
        <n v="16"/>
        <n v="27"/>
        <n v="14"/>
        <n v="24"/>
        <n v="12"/>
        <n v="13"/>
        <n v="26"/>
        <n v="25"/>
        <n v="7"/>
        <n v="23"/>
        <n v="4"/>
        <n v="28"/>
        <n v="29"/>
        <n v="30"/>
        <n v="3"/>
      </sharedItems>
    </cacheField>
    <cacheField name="Average" numFmtId="0">
      <sharedItems containsString="0" containsBlank="1" containsNumber="1" minValue="16.673333333333332" maxValue="16.673333333333332"/>
    </cacheField>
    <cacheField name="Mental State" numFmtId="0">
      <sharedItems count="3">
        <s v="Mentally Sound"/>
        <s v="Mentally Strained"/>
        <s v="Mentally Unstable"/>
      </sharedItems>
    </cacheField>
  </cacheFields>
  <extLst>
    <ext xmlns:x14="http://schemas.microsoft.com/office/spreadsheetml/2009/9/main" uri="{725AE2AE-9491-48be-B2B4-4EB974FC3084}">
      <x14:pivotCacheDefinition pivotCacheId="10209562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n v="14"/>
    <x v="0"/>
    <x v="0"/>
    <n v="7.9"/>
    <x v="0"/>
    <n v="7.4"/>
    <n v="2.9"/>
    <n v="10.8"/>
    <n v="3.01"/>
    <x v="0"/>
    <n v="1.5"/>
    <x v="0"/>
    <n v="2"/>
    <n v="2"/>
    <n v="1"/>
    <n v="0"/>
    <x v="0"/>
    <n v="16.673333333333332"/>
    <x v="0"/>
  </r>
  <r>
    <n v="19"/>
    <x v="1"/>
    <x v="1"/>
    <n v="1.9"/>
    <x v="1"/>
    <n v="8"/>
    <n v="2.9"/>
    <n v="4.8"/>
    <n v="3.22"/>
    <x v="0"/>
    <n v="0.8"/>
    <x v="1"/>
    <n v="8"/>
    <n v="1"/>
    <n v="10"/>
    <n v="0"/>
    <x v="1"/>
    <m/>
    <x v="1"/>
  </r>
  <r>
    <n v="17"/>
    <x v="1"/>
    <x v="1"/>
    <n v="1.3"/>
    <x v="0"/>
    <n v="7.6"/>
    <n v="0.5"/>
    <n v="1.8"/>
    <n v="3.92"/>
    <x v="1"/>
    <n v="0"/>
    <x v="1"/>
    <n v="2"/>
    <n v="4"/>
    <n v="2"/>
    <n v="0"/>
    <x v="2"/>
    <m/>
    <x v="0"/>
  </r>
  <r>
    <n v="15"/>
    <x v="0"/>
    <x v="0"/>
    <n v="7.4"/>
    <x v="1"/>
    <n v="6.9"/>
    <n v="1.6"/>
    <n v="9"/>
    <n v="3.48"/>
    <x v="0"/>
    <n v="0.8"/>
    <x v="2"/>
    <n v="1"/>
    <n v="7"/>
    <n v="9"/>
    <n v="0"/>
    <x v="3"/>
    <m/>
    <x v="1"/>
  </r>
  <r>
    <n v="15"/>
    <x v="0"/>
    <x v="1"/>
    <n v="4.7"/>
    <x v="2"/>
    <n v="4.9000000000000004"/>
    <n v="3"/>
    <n v="7.7"/>
    <n v="2.37"/>
    <x v="2"/>
    <n v="1.4"/>
    <x v="2"/>
    <n v="3"/>
    <n v="5"/>
    <n v="2"/>
    <n v="0"/>
    <x v="4"/>
    <m/>
    <x v="1"/>
  </r>
  <r>
    <n v="19"/>
    <x v="1"/>
    <x v="1"/>
    <n v="7.4"/>
    <x v="2"/>
    <n v="4.4000000000000004"/>
    <n v="2.4"/>
    <n v="9.8000000000000007"/>
    <n v="2.63"/>
    <x v="3"/>
    <n v="0.6"/>
    <x v="1"/>
    <n v="3"/>
    <n v="5"/>
    <n v="7"/>
    <n v="0"/>
    <x v="5"/>
    <m/>
    <x v="1"/>
  </r>
  <r>
    <n v="18"/>
    <x v="1"/>
    <x v="1"/>
    <n v="2.5"/>
    <x v="0"/>
    <n v="6.4"/>
    <n v="2.4"/>
    <n v="4.9000000000000004"/>
    <n v="2.63"/>
    <x v="3"/>
    <n v="0.7"/>
    <x v="0"/>
    <n v="2"/>
    <n v="2"/>
    <n v="5"/>
    <n v="0"/>
    <x v="6"/>
    <m/>
    <x v="0"/>
  </r>
  <r>
    <n v="16"/>
    <x v="1"/>
    <x v="0"/>
    <n v="4"/>
    <x v="2"/>
    <n v="4.2"/>
    <n v="0.5"/>
    <n v="4.5"/>
    <n v="2.4"/>
    <x v="2"/>
    <n v="1.3"/>
    <x v="0"/>
    <n v="6"/>
    <n v="10"/>
    <n v="5"/>
    <n v="0"/>
    <x v="7"/>
    <m/>
    <x v="2"/>
  </r>
  <r>
    <n v="19"/>
    <x v="1"/>
    <x v="1"/>
    <n v="3.3"/>
    <x v="1"/>
    <n v="5"/>
    <n v="2.1"/>
    <n v="5.4"/>
    <n v="2.04"/>
    <x v="2"/>
    <n v="0.9"/>
    <x v="1"/>
    <n v="1"/>
    <n v="10"/>
    <n v="9"/>
    <n v="0"/>
    <x v="8"/>
    <m/>
    <x v="2"/>
  </r>
  <r>
    <n v="15"/>
    <x v="0"/>
    <x v="0"/>
    <n v="1.9"/>
    <x v="1"/>
    <n v="4.9000000000000004"/>
    <n v="1.5"/>
    <n v="3.4"/>
    <n v="3.77"/>
    <x v="1"/>
    <n v="1.1000000000000001"/>
    <x v="1"/>
    <n v="1"/>
    <n v="1"/>
    <n v="4"/>
    <n v="0"/>
    <x v="9"/>
    <m/>
    <x v="0"/>
  </r>
  <r>
    <n v="16"/>
    <x v="1"/>
    <x v="0"/>
    <n v="7.2"/>
    <x v="2"/>
    <n v="5.8"/>
    <n v="2.9"/>
    <n v="10.1"/>
    <n v="3.16"/>
    <x v="0"/>
    <n v="1.2"/>
    <x v="2"/>
    <n v="5"/>
    <n v="8"/>
    <n v="9"/>
    <n v="0"/>
    <x v="10"/>
    <m/>
    <x v="2"/>
  </r>
  <r>
    <n v="13"/>
    <x v="0"/>
    <x v="0"/>
    <n v="4.9000000000000004"/>
    <x v="0"/>
    <n v="4.7"/>
    <n v="2.5"/>
    <n v="7.4"/>
    <n v="3.92"/>
    <x v="1"/>
    <n v="1.2"/>
    <x v="0"/>
    <n v="1"/>
    <n v="10"/>
    <n v="8"/>
    <n v="0"/>
    <x v="1"/>
    <m/>
    <x v="1"/>
  </r>
  <r>
    <n v="16"/>
    <x v="1"/>
    <x v="0"/>
    <n v="6.2"/>
    <x v="2"/>
    <n v="7.2"/>
    <n v="2.6"/>
    <n v="8.8000000000000007"/>
    <n v="2.02"/>
    <x v="2"/>
    <n v="1.7"/>
    <x v="2"/>
    <n v="5"/>
    <n v="7"/>
    <n v="6"/>
    <n v="0"/>
    <x v="11"/>
    <m/>
    <x v="1"/>
  </r>
  <r>
    <n v="17"/>
    <x v="1"/>
    <x v="1"/>
    <n v="6.8"/>
    <x v="1"/>
    <n v="5.7"/>
    <n v="1.1000000000000001"/>
    <n v="7.9"/>
    <n v="3.29"/>
    <x v="0"/>
    <n v="1.3"/>
    <x v="2"/>
    <n v="1"/>
    <n v="10"/>
    <n v="10"/>
    <n v="0"/>
    <x v="7"/>
    <m/>
    <x v="2"/>
  </r>
  <r>
    <n v="15"/>
    <x v="0"/>
    <x v="0"/>
    <n v="5.7"/>
    <x v="1"/>
    <n v="5.9"/>
    <n v="0.8"/>
    <n v="6.5"/>
    <n v="3.5"/>
    <x v="0"/>
    <n v="0.7"/>
    <x v="0"/>
    <n v="1"/>
    <n v="9"/>
    <n v="1"/>
    <n v="0"/>
    <x v="12"/>
    <m/>
    <x v="1"/>
  </r>
  <r>
    <n v="14"/>
    <x v="0"/>
    <x v="1"/>
    <n v="3.6"/>
    <x v="2"/>
    <n v="5.3"/>
    <n v="0.6"/>
    <n v="4.2"/>
    <n v="2.99"/>
    <x v="3"/>
    <n v="0.3"/>
    <x v="1"/>
    <n v="4"/>
    <n v="10"/>
    <n v="2"/>
    <n v="0"/>
    <x v="13"/>
    <m/>
    <x v="1"/>
  </r>
  <r>
    <n v="13"/>
    <x v="0"/>
    <x v="0"/>
    <n v="1.5"/>
    <x v="2"/>
    <n v="4.2"/>
    <n v="1.4"/>
    <n v="2.9"/>
    <n v="2.59"/>
    <x v="3"/>
    <n v="0.5"/>
    <x v="1"/>
    <n v="4"/>
    <n v="5"/>
    <n v="8"/>
    <n v="0"/>
    <x v="3"/>
    <m/>
    <x v="1"/>
  </r>
  <r>
    <n v="16"/>
    <x v="1"/>
    <x v="0"/>
    <n v="3.1"/>
    <x v="2"/>
    <n v="6.1"/>
    <n v="0.8"/>
    <n v="3.9000000000000004"/>
    <n v="2.11"/>
    <x v="2"/>
    <n v="1.9"/>
    <x v="1"/>
    <n v="10"/>
    <n v="7"/>
    <n v="10"/>
    <n v="0"/>
    <x v="14"/>
    <m/>
    <x v="2"/>
  </r>
  <r>
    <n v="16"/>
    <x v="1"/>
    <x v="1"/>
    <n v="6.7"/>
    <x v="2"/>
    <n v="6.8"/>
    <n v="1.9"/>
    <n v="8.6"/>
    <n v="3.08"/>
    <x v="0"/>
    <n v="1.4"/>
    <x v="1"/>
    <n v="10"/>
    <n v="9"/>
    <n v="1"/>
    <n v="0"/>
    <x v="8"/>
    <m/>
    <x v="2"/>
  </r>
  <r>
    <n v="14"/>
    <x v="0"/>
    <x v="1"/>
    <n v="1.2"/>
    <x v="0"/>
    <n v="7.6"/>
    <n v="1"/>
    <n v="2.2000000000000002"/>
    <n v="3.85"/>
    <x v="1"/>
    <n v="0.8"/>
    <x v="1"/>
    <n v="8"/>
    <n v="4"/>
    <n v="6"/>
    <n v="0"/>
    <x v="11"/>
    <m/>
    <x v="1"/>
  </r>
  <r>
    <n v="16"/>
    <x v="1"/>
    <x v="0"/>
    <n v="3.4"/>
    <x v="1"/>
    <n v="4.5999999999999996"/>
    <n v="2.1"/>
    <n v="5.5"/>
    <n v="2.2400000000000002"/>
    <x v="2"/>
    <n v="0.4"/>
    <x v="1"/>
    <n v="4"/>
    <n v="1"/>
    <n v="3"/>
    <n v="0"/>
    <x v="2"/>
    <m/>
    <x v="0"/>
  </r>
  <r>
    <n v="18"/>
    <x v="1"/>
    <x v="0"/>
    <n v="4.0999999999999996"/>
    <x v="2"/>
    <n v="7.4"/>
    <n v="2.4"/>
    <n v="6.5"/>
    <n v="2.38"/>
    <x v="2"/>
    <n v="1.5"/>
    <x v="2"/>
    <n v="8"/>
    <n v="4"/>
    <n v="9"/>
    <n v="0"/>
    <x v="7"/>
    <m/>
    <x v="2"/>
  </r>
  <r>
    <n v="18"/>
    <x v="1"/>
    <x v="0"/>
    <n v="5.3"/>
    <x v="0"/>
    <n v="4.9000000000000004"/>
    <n v="1.2"/>
    <n v="6.5"/>
    <n v="3.69"/>
    <x v="1"/>
    <n v="1.2"/>
    <x v="0"/>
    <n v="5"/>
    <n v="4"/>
    <n v="5"/>
    <n v="0"/>
    <x v="15"/>
    <m/>
    <x v="1"/>
  </r>
  <r>
    <n v="18"/>
    <x v="1"/>
    <x v="1"/>
    <n v="2.2999999999999998"/>
    <x v="1"/>
    <n v="7.6"/>
    <n v="0.5"/>
    <n v="2.8"/>
    <n v="2.96"/>
    <x v="3"/>
    <n v="1.7"/>
    <x v="2"/>
    <n v="9"/>
    <n v="8"/>
    <n v="7"/>
    <n v="0"/>
    <x v="16"/>
    <m/>
    <x v="2"/>
  </r>
  <r>
    <n v="18"/>
    <x v="1"/>
    <x v="1"/>
    <n v="2.4"/>
    <x v="2"/>
    <n v="6.7"/>
    <n v="1.9"/>
    <n v="4.3"/>
    <n v="2.5299999999999998"/>
    <x v="3"/>
    <n v="0.4"/>
    <x v="1"/>
    <n v="8"/>
    <n v="8"/>
    <n v="2"/>
    <n v="0"/>
    <x v="11"/>
    <m/>
    <x v="1"/>
  </r>
  <r>
    <n v="13"/>
    <x v="0"/>
    <x v="1"/>
    <n v="1.5"/>
    <x v="2"/>
    <n v="7.2"/>
    <n v="2.5"/>
    <n v="4"/>
    <n v="2.15"/>
    <x v="2"/>
    <n v="1.3"/>
    <x v="2"/>
    <n v="4"/>
    <n v="6"/>
    <n v="2"/>
    <n v="0"/>
    <x v="17"/>
    <m/>
    <x v="1"/>
  </r>
  <r>
    <n v="14"/>
    <x v="0"/>
    <x v="1"/>
    <n v="5.7"/>
    <x v="2"/>
    <n v="8.6999999999999993"/>
    <n v="0.6"/>
    <n v="6.3"/>
    <n v="2.64"/>
    <x v="3"/>
    <n v="0.1"/>
    <x v="0"/>
    <n v="8"/>
    <n v="9"/>
    <n v="4"/>
    <n v="0"/>
    <x v="7"/>
    <m/>
    <x v="2"/>
  </r>
  <r>
    <n v="19"/>
    <x v="1"/>
    <x v="0"/>
    <n v="2"/>
    <x v="1"/>
    <n v="7.1"/>
    <n v="0.9"/>
    <n v="2.9"/>
    <n v="3.26"/>
    <x v="0"/>
    <n v="1.6"/>
    <x v="1"/>
    <n v="7"/>
    <n v="5"/>
    <n v="9"/>
    <n v="0"/>
    <x v="7"/>
    <m/>
    <x v="2"/>
  </r>
  <r>
    <n v="14"/>
    <x v="0"/>
    <x v="0"/>
    <n v="2.5"/>
    <x v="1"/>
    <n v="5.6"/>
    <n v="2.9"/>
    <n v="5.4"/>
    <n v="2.2400000000000002"/>
    <x v="2"/>
    <n v="0.5"/>
    <x v="0"/>
    <n v="3"/>
    <n v="9"/>
    <n v="5"/>
    <n v="0"/>
    <x v="3"/>
    <m/>
    <x v="1"/>
  </r>
  <r>
    <n v="16"/>
    <x v="1"/>
    <x v="1"/>
    <n v="3.4"/>
    <x v="1"/>
    <n v="7.8"/>
    <n v="2.8"/>
    <n v="6.1999999999999993"/>
    <n v="3.83"/>
    <x v="1"/>
    <n v="1.8"/>
    <x v="2"/>
    <n v="6"/>
    <n v="6"/>
    <n v="4"/>
    <n v="0"/>
    <x v="13"/>
    <m/>
    <x v="1"/>
  </r>
  <r>
    <n v="13"/>
    <x v="0"/>
    <x v="0"/>
    <n v="6.6"/>
    <x v="1"/>
    <n v="5.7"/>
    <n v="2.5"/>
    <n v="9.1"/>
    <n v="2.67"/>
    <x v="3"/>
    <n v="1.1000000000000001"/>
    <x v="0"/>
    <n v="2"/>
    <n v="1"/>
    <n v="10"/>
    <n v="0"/>
    <x v="18"/>
    <m/>
    <x v="1"/>
  </r>
  <r>
    <n v="13"/>
    <x v="0"/>
    <x v="1"/>
    <n v="1.6"/>
    <x v="0"/>
    <n v="8.6999999999999993"/>
    <n v="2.5"/>
    <n v="4.0999999999999996"/>
    <n v="3.69"/>
    <x v="1"/>
    <n v="0.4"/>
    <x v="1"/>
    <n v="8"/>
    <n v="2"/>
    <n v="9"/>
    <n v="0"/>
    <x v="1"/>
    <m/>
    <x v="1"/>
  </r>
  <r>
    <n v="16"/>
    <x v="1"/>
    <x v="0"/>
    <n v="2.7"/>
    <x v="0"/>
    <n v="4.2"/>
    <n v="2.4"/>
    <n v="5.0999999999999996"/>
    <n v="3.05"/>
    <x v="0"/>
    <n v="0.2"/>
    <x v="1"/>
    <n v="1"/>
    <n v="8"/>
    <n v="4"/>
    <n v="0"/>
    <x v="18"/>
    <m/>
    <x v="1"/>
  </r>
  <r>
    <n v="14"/>
    <x v="0"/>
    <x v="0"/>
    <n v="4.0999999999999996"/>
    <x v="1"/>
    <n v="8"/>
    <n v="3"/>
    <n v="7.1"/>
    <n v="2.31"/>
    <x v="2"/>
    <n v="0.8"/>
    <x v="0"/>
    <n v="8"/>
    <n v="4"/>
    <n v="1"/>
    <n v="0"/>
    <x v="18"/>
    <m/>
    <x v="1"/>
  </r>
  <r>
    <n v="13"/>
    <x v="0"/>
    <x v="1"/>
    <n v="6.6"/>
    <x v="1"/>
    <n v="7.3"/>
    <n v="1.6"/>
    <n v="8.1999999999999993"/>
    <n v="3.27"/>
    <x v="0"/>
    <n v="0.1"/>
    <x v="2"/>
    <n v="10"/>
    <n v="2"/>
    <n v="1"/>
    <n v="0"/>
    <x v="18"/>
    <m/>
    <x v="1"/>
  </r>
  <r>
    <n v="17"/>
    <x v="1"/>
    <x v="1"/>
    <n v="5"/>
    <x v="2"/>
    <n v="4.9000000000000004"/>
    <n v="2.1"/>
    <n v="7.1"/>
    <n v="2.0099999999999998"/>
    <x v="2"/>
    <n v="1"/>
    <x v="0"/>
    <n v="9"/>
    <n v="4"/>
    <n v="9"/>
    <n v="0"/>
    <x v="10"/>
    <m/>
    <x v="2"/>
  </r>
  <r>
    <n v="19"/>
    <x v="1"/>
    <x v="1"/>
    <n v="4.5999999999999996"/>
    <x v="0"/>
    <n v="5.5"/>
    <n v="2.5"/>
    <n v="7.1"/>
    <n v="3.96"/>
    <x v="1"/>
    <n v="0.8"/>
    <x v="1"/>
    <n v="3"/>
    <n v="10"/>
    <n v="7"/>
    <n v="0"/>
    <x v="8"/>
    <m/>
    <x v="2"/>
  </r>
  <r>
    <n v="17"/>
    <x v="1"/>
    <x v="1"/>
    <n v="4.8"/>
    <x v="0"/>
    <n v="4.4000000000000004"/>
    <n v="1.3"/>
    <n v="6.1"/>
    <n v="2.02"/>
    <x v="2"/>
    <n v="0.5"/>
    <x v="0"/>
    <n v="5"/>
    <n v="10"/>
    <n v="6"/>
    <n v="0"/>
    <x v="7"/>
    <m/>
    <x v="2"/>
  </r>
  <r>
    <n v="17"/>
    <x v="1"/>
    <x v="1"/>
    <n v="1.3"/>
    <x v="1"/>
    <n v="8"/>
    <n v="2"/>
    <n v="3.3"/>
    <n v="2.84"/>
    <x v="3"/>
    <n v="1.8"/>
    <x v="1"/>
    <n v="1"/>
    <n v="7"/>
    <n v="8"/>
    <n v="0"/>
    <x v="13"/>
    <m/>
    <x v="1"/>
  </r>
  <r>
    <n v="17"/>
    <x v="1"/>
    <x v="1"/>
    <n v="6.3"/>
    <x v="0"/>
    <n v="4"/>
    <n v="1"/>
    <n v="7.3"/>
    <n v="2.4300000000000002"/>
    <x v="2"/>
    <n v="1.2"/>
    <x v="1"/>
    <n v="1"/>
    <n v="10"/>
    <n v="9"/>
    <n v="0"/>
    <x v="8"/>
    <m/>
    <x v="2"/>
  </r>
  <r>
    <n v="14"/>
    <x v="0"/>
    <x v="0"/>
    <n v="6.4"/>
    <x v="0"/>
    <n v="5.7"/>
    <n v="0.9"/>
    <n v="7.3000000000000007"/>
    <n v="2.06"/>
    <x v="2"/>
    <n v="1.8"/>
    <x v="1"/>
    <n v="10"/>
    <n v="4"/>
    <n v="2"/>
    <n v="0"/>
    <x v="13"/>
    <m/>
    <x v="1"/>
  </r>
  <r>
    <n v="19"/>
    <x v="1"/>
    <x v="0"/>
    <n v="1.6"/>
    <x v="0"/>
    <n v="8.6"/>
    <n v="2.4"/>
    <n v="4"/>
    <n v="3.81"/>
    <x v="1"/>
    <n v="0.4"/>
    <x v="0"/>
    <n v="10"/>
    <n v="4"/>
    <n v="1"/>
    <n v="0"/>
    <x v="5"/>
    <m/>
    <x v="1"/>
  </r>
  <r>
    <n v="14"/>
    <x v="0"/>
    <x v="1"/>
    <n v="7.3"/>
    <x v="0"/>
    <n v="7.7"/>
    <n v="1.4"/>
    <n v="8.6999999999999993"/>
    <n v="3.42"/>
    <x v="0"/>
    <n v="0.3"/>
    <x v="2"/>
    <n v="6"/>
    <n v="1"/>
    <n v="8"/>
    <n v="0"/>
    <x v="5"/>
    <m/>
    <x v="1"/>
  </r>
  <r>
    <n v="15"/>
    <x v="0"/>
    <x v="0"/>
    <n v="4"/>
    <x v="2"/>
    <n v="8.8000000000000007"/>
    <n v="1.3"/>
    <n v="5.3"/>
    <n v="3.59"/>
    <x v="0"/>
    <n v="1.9"/>
    <x v="2"/>
    <n v="10"/>
    <n v="6"/>
    <n v="10"/>
    <n v="0"/>
    <x v="19"/>
    <m/>
    <x v="2"/>
  </r>
  <r>
    <n v="14"/>
    <x v="0"/>
    <x v="0"/>
    <n v="5.2"/>
    <x v="2"/>
    <n v="4.0999999999999996"/>
    <n v="2.1"/>
    <n v="7.3000000000000007"/>
    <n v="3.07"/>
    <x v="0"/>
    <n v="0.2"/>
    <x v="2"/>
    <n v="9"/>
    <n v="3"/>
    <n v="8"/>
    <n v="0"/>
    <x v="8"/>
    <m/>
    <x v="2"/>
  </r>
  <r>
    <n v="14"/>
    <x v="0"/>
    <x v="1"/>
    <n v="4.5"/>
    <x v="1"/>
    <n v="4.8"/>
    <n v="0.9"/>
    <n v="5.4"/>
    <n v="2.2200000000000002"/>
    <x v="2"/>
    <n v="0.8"/>
    <x v="0"/>
    <n v="1"/>
    <n v="4"/>
    <n v="10"/>
    <n v="0"/>
    <x v="5"/>
    <m/>
    <x v="1"/>
  </r>
  <r>
    <n v="18"/>
    <x v="1"/>
    <x v="0"/>
    <n v="6.8"/>
    <x v="1"/>
    <n v="8.6"/>
    <n v="1.1000000000000001"/>
    <n v="7.9"/>
    <n v="2.36"/>
    <x v="2"/>
    <n v="1.6"/>
    <x v="1"/>
    <n v="1"/>
    <n v="10"/>
    <n v="10"/>
    <n v="0"/>
    <x v="7"/>
    <m/>
    <x v="2"/>
  </r>
  <r>
    <n v="13"/>
    <x v="0"/>
    <x v="1"/>
    <n v="3.5"/>
    <x v="0"/>
    <n v="5.0999999999999996"/>
    <n v="1.1000000000000001"/>
    <n v="4.5999999999999996"/>
    <n v="2.27"/>
    <x v="2"/>
    <n v="1.8"/>
    <x v="2"/>
    <n v="2"/>
    <n v="5"/>
    <n v="6"/>
    <n v="0"/>
    <x v="18"/>
    <m/>
    <x v="1"/>
  </r>
  <r>
    <n v="16"/>
    <x v="1"/>
    <x v="0"/>
    <n v="2.2999999999999998"/>
    <x v="1"/>
    <n v="6.3"/>
    <n v="3"/>
    <n v="5.3"/>
    <n v="3.24"/>
    <x v="0"/>
    <n v="1.9"/>
    <x v="2"/>
    <n v="4"/>
    <n v="4"/>
    <n v="9"/>
    <n v="0"/>
    <x v="3"/>
    <m/>
    <x v="1"/>
  </r>
  <r>
    <n v="14"/>
    <x v="0"/>
    <x v="0"/>
    <n v="1.2"/>
    <x v="0"/>
    <n v="8.5"/>
    <n v="1.8"/>
    <n v="3"/>
    <n v="3.65"/>
    <x v="1"/>
    <n v="1.8"/>
    <x v="1"/>
    <n v="5"/>
    <n v="10"/>
    <n v="10"/>
    <n v="0"/>
    <x v="20"/>
    <m/>
    <x v="2"/>
  </r>
  <r>
    <n v="13"/>
    <x v="0"/>
    <x v="0"/>
    <n v="6.2"/>
    <x v="2"/>
    <n v="7.1"/>
    <n v="2.2000000000000002"/>
    <n v="8.4"/>
    <n v="3.43"/>
    <x v="0"/>
    <n v="0.2"/>
    <x v="2"/>
    <n v="5"/>
    <n v="2"/>
    <n v="2"/>
    <n v="0"/>
    <x v="6"/>
    <m/>
    <x v="0"/>
  </r>
  <r>
    <n v="18"/>
    <x v="1"/>
    <x v="0"/>
    <n v="4.5"/>
    <x v="1"/>
    <n v="4.0999999999999996"/>
    <n v="1.9"/>
    <n v="6.4"/>
    <n v="3.42"/>
    <x v="0"/>
    <n v="0.1"/>
    <x v="2"/>
    <n v="6"/>
    <n v="7"/>
    <n v="8"/>
    <n v="0"/>
    <x v="7"/>
    <m/>
    <x v="2"/>
  </r>
  <r>
    <n v="18"/>
    <x v="1"/>
    <x v="0"/>
    <n v="2.9"/>
    <x v="0"/>
    <n v="4.5"/>
    <n v="2.5"/>
    <n v="5.4"/>
    <n v="3.16"/>
    <x v="0"/>
    <n v="1.3"/>
    <x v="0"/>
    <n v="3"/>
    <n v="7"/>
    <n v="8"/>
    <n v="0"/>
    <x v="11"/>
    <m/>
    <x v="1"/>
  </r>
  <r>
    <n v="13"/>
    <x v="0"/>
    <x v="1"/>
    <n v="5.8"/>
    <x v="1"/>
    <n v="8.5"/>
    <n v="2.2999999999999998"/>
    <n v="8.1"/>
    <n v="3.3"/>
    <x v="0"/>
    <n v="1.9"/>
    <x v="1"/>
    <n v="1"/>
    <n v="1"/>
    <n v="5"/>
    <n v="0"/>
    <x v="21"/>
    <m/>
    <x v="0"/>
  </r>
  <r>
    <n v="18"/>
    <x v="1"/>
    <x v="0"/>
    <n v="6.8"/>
    <x v="0"/>
    <n v="6.5"/>
    <n v="2.7"/>
    <n v="9.5"/>
    <n v="2.97"/>
    <x v="3"/>
    <n v="1.9"/>
    <x v="0"/>
    <n v="4"/>
    <n v="4"/>
    <n v="5"/>
    <n v="0"/>
    <x v="18"/>
    <m/>
    <x v="1"/>
  </r>
  <r>
    <n v="15"/>
    <x v="0"/>
    <x v="1"/>
    <n v="7.4"/>
    <x v="0"/>
    <n v="8.6"/>
    <n v="0.9"/>
    <n v="8.3000000000000007"/>
    <n v="2.2999999999999998"/>
    <x v="2"/>
    <n v="0"/>
    <x v="0"/>
    <n v="1"/>
    <n v="5"/>
    <n v="3"/>
    <n v="0"/>
    <x v="6"/>
    <m/>
    <x v="0"/>
  </r>
  <r>
    <n v="18"/>
    <x v="1"/>
    <x v="0"/>
    <n v="4.5"/>
    <x v="1"/>
    <n v="5"/>
    <n v="2.5"/>
    <n v="7"/>
    <n v="2.65"/>
    <x v="3"/>
    <n v="0.7"/>
    <x v="2"/>
    <n v="8"/>
    <n v="9"/>
    <n v="1"/>
    <n v="0"/>
    <x v="11"/>
    <m/>
    <x v="1"/>
  </r>
  <r>
    <n v="16"/>
    <x v="1"/>
    <x v="0"/>
    <n v="6.4"/>
    <x v="1"/>
    <n v="5.3"/>
    <n v="2.4"/>
    <n v="8.8000000000000007"/>
    <n v="2.0299999999999998"/>
    <x v="2"/>
    <n v="1.7"/>
    <x v="2"/>
    <n v="7"/>
    <n v="5"/>
    <n v="10"/>
    <n v="0"/>
    <x v="10"/>
    <m/>
    <x v="2"/>
  </r>
  <r>
    <n v="13"/>
    <x v="0"/>
    <x v="0"/>
    <n v="7.3"/>
    <x v="2"/>
    <n v="4.2"/>
    <n v="1.3"/>
    <n v="8.6"/>
    <n v="2.16"/>
    <x v="2"/>
    <n v="1"/>
    <x v="1"/>
    <n v="4"/>
    <n v="5"/>
    <n v="2"/>
    <n v="0"/>
    <x v="12"/>
    <m/>
    <x v="1"/>
  </r>
  <r>
    <n v="17"/>
    <x v="1"/>
    <x v="1"/>
    <n v="7.1"/>
    <x v="0"/>
    <n v="5.6"/>
    <n v="0.6"/>
    <n v="7.6999999999999993"/>
    <n v="3.07"/>
    <x v="0"/>
    <n v="1"/>
    <x v="2"/>
    <n v="1"/>
    <n v="3"/>
    <n v="7"/>
    <n v="0"/>
    <x v="12"/>
    <m/>
    <x v="1"/>
  </r>
  <r>
    <n v="18"/>
    <x v="1"/>
    <x v="0"/>
    <n v="1.6"/>
    <x v="1"/>
    <n v="5.0999999999999996"/>
    <n v="2.7"/>
    <n v="4.3000000000000007"/>
    <n v="3.57"/>
    <x v="0"/>
    <n v="0.8"/>
    <x v="1"/>
    <n v="3"/>
    <n v="9"/>
    <n v="7"/>
    <n v="0"/>
    <x v="1"/>
    <m/>
    <x v="1"/>
  </r>
  <r>
    <n v="15"/>
    <x v="0"/>
    <x v="1"/>
    <n v="1.5"/>
    <x v="0"/>
    <n v="4.7"/>
    <n v="1"/>
    <n v="2.5"/>
    <n v="3.82"/>
    <x v="1"/>
    <n v="0.6"/>
    <x v="2"/>
    <n v="6"/>
    <n v="1"/>
    <n v="4"/>
    <n v="0"/>
    <x v="12"/>
    <m/>
    <x v="1"/>
  </r>
  <r>
    <n v="13"/>
    <x v="0"/>
    <x v="0"/>
    <n v="4.3"/>
    <x v="2"/>
    <n v="5.8"/>
    <n v="0.7"/>
    <n v="5"/>
    <n v="3.15"/>
    <x v="0"/>
    <n v="0.1"/>
    <x v="2"/>
    <n v="7"/>
    <n v="2"/>
    <n v="1"/>
    <n v="0"/>
    <x v="4"/>
    <m/>
    <x v="1"/>
  </r>
  <r>
    <n v="17"/>
    <x v="1"/>
    <x v="0"/>
    <n v="2.5"/>
    <x v="2"/>
    <n v="6.7"/>
    <n v="2"/>
    <n v="4.5"/>
    <n v="2.56"/>
    <x v="3"/>
    <n v="1.7"/>
    <x v="1"/>
    <n v="5"/>
    <n v="7"/>
    <n v="5"/>
    <n v="0"/>
    <x v="3"/>
    <m/>
    <x v="1"/>
  </r>
  <r>
    <n v="19"/>
    <x v="1"/>
    <x v="1"/>
    <n v="7.9"/>
    <x v="1"/>
    <n v="5.0999999999999996"/>
    <n v="1.7"/>
    <n v="9.6"/>
    <n v="2.8"/>
    <x v="3"/>
    <n v="0.8"/>
    <x v="0"/>
    <n v="6"/>
    <n v="1"/>
    <n v="8"/>
    <n v="0"/>
    <x v="5"/>
    <m/>
    <x v="1"/>
  </r>
  <r>
    <n v="17"/>
    <x v="1"/>
    <x v="0"/>
    <n v="2.7"/>
    <x v="0"/>
    <n v="8"/>
    <n v="2.6"/>
    <n v="5.3000000000000007"/>
    <n v="3.53"/>
    <x v="0"/>
    <n v="1.9"/>
    <x v="1"/>
    <n v="1"/>
    <n v="8"/>
    <n v="7"/>
    <n v="0"/>
    <x v="13"/>
    <m/>
    <x v="1"/>
  </r>
  <r>
    <n v="13"/>
    <x v="0"/>
    <x v="0"/>
    <n v="3.1"/>
    <x v="1"/>
    <n v="8.1999999999999993"/>
    <n v="1.5"/>
    <n v="4.5999999999999996"/>
    <n v="2.4500000000000002"/>
    <x v="2"/>
    <n v="0.3"/>
    <x v="0"/>
    <n v="5"/>
    <n v="8"/>
    <n v="6"/>
    <n v="0"/>
    <x v="1"/>
    <m/>
    <x v="1"/>
  </r>
  <r>
    <n v="17"/>
    <x v="1"/>
    <x v="0"/>
    <n v="5.8"/>
    <x v="2"/>
    <n v="7.6"/>
    <n v="0.7"/>
    <n v="6.5"/>
    <n v="2.83"/>
    <x v="3"/>
    <n v="1"/>
    <x v="2"/>
    <n v="7"/>
    <n v="6"/>
    <n v="8"/>
    <n v="0"/>
    <x v="7"/>
    <m/>
    <x v="2"/>
  </r>
  <r>
    <n v="14"/>
    <x v="0"/>
    <x v="1"/>
    <n v="3.9"/>
    <x v="2"/>
    <n v="7"/>
    <n v="2.8"/>
    <n v="6.6999999999999993"/>
    <n v="2.8"/>
    <x v="3"/>
    <n v="0.1"/>
    <x v="0"/>
    <n v="8"/>
    <n v="2"/>
    <n v="8"/>
    <n v="0"/>
    <x v="11"/>
    <m/>
    <x v="1"/>
  </r>
  <r>
    <n v="15"/>
    <x v="0"/>
    <x v="0"/>
    <n v="7.5"/>
    <x v="2"/>
    <n v="7"/>
    <n v="0.9"/>
    <n v="8.4"/>
    <n v="3.48"/>
    <x v="0"/>
    <n v="1.1000000000000001"/>
    <x v="1"/>
    <n v="2"/>
    <n v="2"/>
    <n v="6"/>
    <n v="0"/>
    <x v="4"/>
    <m/>
    <x v="1"/>
  </r>
  <r>
    <n v="14"/>
    <x v="0"/>
    <x v="0"/>
    <n v="5.2"/>
    <x v="2"/>
    <n v="6.7"/>
    <n v="2"/>
    <n v="7.2"/>
    <n v="3.48"/>
    <x v="0"/>
    <n v="1"/>
    <x v="2"/>
    <n v="2"/>
    <n v="1"/>
    <n v="5"/>
    <n v="0"/>
    <x v="2"/>
    <m/>
    <x v="0"/>
  </r>
  <r>
    <n v="16"/>
    <x v="1"/>
    <x v="1"/>
    <n v="3.1"/>
    <x v="1"/>
    <n v="5"/>
    <n v="1.1000000000000001"/>
    <n v="4.2"/>
    <n v="2.73"/>
    <x v="3"/>
    <n v="1.6"/>
    <x v="0"/>
    <n v="2"/>
    <n v="8"/>
    <n v="1"/>
    <n v="0"/>
    <x v="12"/>
    <m/>
    <x v="1"/>
  </r>
  <r>
    <n v="16"/>
    <x v="1"/>
    <x v="1"/>
    <n v="2"/>
    <x v="0"/>
    <n v="8.6999999999999993"/>
    <n v="1.2"/>
    <n v="3.2"/>
    <n v="3"/>
    <x v="0"/>
    <n v="0"/>
    <x v="0"/>
    <n v="8"/>
    <n v="8"/>
    <n v="4"/>
    <n v="0"/>
    <x v="8"/>
    <m/>
    <x v="2"/>
  </r>
  <r>
    <n v="14"/>
    <x v="0"/>
    <x v="0"/>
    <n v="2.7"/>
    <x v="0"/>
    <n v="8.4"/>
    <n v="1.3"/>
    <n v="4"/>
    <n v="2.0099999999999998"/>
    <x v="2"/>
    <n v="0.6"/>
    <x v="0"/>
    <n v="6"/>
    <n v="3"/>
    <n v="8"/>
    <n v="0"/>
    <x v="3"/>
    <m/>
    <x v="1"/>
  </r>
  <r>
    <n v="14"/>
    <x v="0"/>
    <x v="0"/>
    <n v="1.5"/>
    <x v="2"/>
    <n v="4.3"/>
    <n v="2.1"/>
    <n v="3.6"/>
    <n v="3.9"/>
    <x v="1"/>
    <n v="1.5"/>
    <x v="0"/>
    <n v="10"/>
    <n v="2"/>
    <n v="4"/>
    <n v="0"/>
    <x v="13"/>
    <m/>
    <x v="1"/>
  </r>
  <r>
    <n v="17"/>
    <x v="1"/>
    <x v="1"/>
    <n v="6.9"/>
    <x v="0"/>
    <n v="8.1999999999999993"/>
    <n v="0.8"/>
    <n v="7.7"/>
    <n v="2.36"/>
    <x v="2"/>
    <n v="0"/>
    <x v="2"/>
    <n v="10"/>
    <n v="10"/>
    <n v="7"/>
    <n v="0"/>
    <x v="14"/>
    <m/>
    <x v="2"/>
  </r>
  <r>
    <n v="13"/>
    <x v="0"/>
    <x v="0"/>
    <n v="1.1000000000000001"/>
    <x v="1"/>
    <n v="7.1"/>
    <n v="1.8"/>
    <n v="2.9000000000000004"/>
    <n v="2.5499999999999998"/>
    <x v="3"/>
    <n v="0.8"/>
    <x v="1"/>
    <n v="5"/>
    <n v="5"/>
    <n v="10"/>
    <n v="0"/>
    <x v="8"/>
    <m/>
    <x v="2"/>
  </r>
  <r>
    <n v="13"/>
    <x v="0"/>
    <x v="0"/>
    <n v="3.4"/>
    <x v="1"/>
    <n v="4.4000000000000004"/>
    <n v="0.6"/>
    <n v="4"/>
    <n v="3.41"/>
    <x v="0"/>
    <n v="0.2"/>
    <x v="0"/>
    <n v="8"/>
    <n v="6"/>
    <n v="3"/>
    <n v="0"/>
    <x v="3"/>
    <m/>
    <x v="1"/>
  </r>
  <r>
    <n v="15"/>
    <x v="0"/>
    <x v="0"/>
    <n v="6.7"/>
    <x v="2"/>
    <n v="4.5"/>
    <n v="2.1"/>
    <n v="8.8000000000000007"/>
    <n v="3.71"/>
    <x v="1"/>
    <n v="1.3"/>
    <x v="1"/>
    <n v="3"/>
    <n v="3"/>
    <n v="3"/>
    <n v="0"/>
    <x v="6"/>
    <m/>
    <x v="0"/>
  </r>
  <r>
    <n v="18"/>
    <x v="1"/>
    <x v="0"/>
    <n v="1.1000000000000001"/>
    <x v="2"/>
    <n v="7.2"/>
    <n v="1"/>
    <n v="2.1"/>
    <n v="3.13"/>
    <x v="0"/>
    <n v="0.6"/>
    <x v="2"/>
    <n v="2"/>
    <n v="1"/>
    <n v="4"/>
    <n v="0"/>
    <x v="21"/>
    <m/>
    <x v="0"/>
  </r>
  <r>
    <n v="18"/>
    <x v="1"/>
    <x v="1"/>
    <n v="7.4"/>
    <x v="0"/>
    <n v="7.5"/>
    <n v="2.2999999999999998"/>
    <n v="9.6999999999999993"/>
    <n v="2.39"/>
    <x v="2"/>
    <n v="0.9"/>
    <x v="1"/>
    <n v="4"/>
    <n v="1"/>
    <n v="4"/>
    <n v="0"/>
    <x v="6"/>
    <m/>
    <x v="0"/>
  </r>
  <r>
    <n v="19"/>
    <x v="1"/>
    <x v="1"/>
    <n v="4.8"/>
    <x v="1"/>
    <n v="6"/>
    <n v="1.5"/>
    <n v="6.3"/>
    <n v="2.61"/>
    <x v="3"/>
    <n v="1.2"/>
    <x v="1"/>
    <n v="2"/>
    <n v="2"/>
    <n v="6"/>
    <n v="0"/>
    <x v="4"/>
    <m/>
    <x v="1"/>
  </r>
  <r>
    <n v="14"/>
    <x v="0"/>
    <x v="0"/>
    <n v="1.2"/>
    <x v="2"/>
    <n v="5.2"/>
    <n v="2.2000000000000002"/>
    <n v="3.4000000000000004"/>
    <n v="2.19"/>
    <x v="2"/>
    <n v="1.9"/>
    <x v="2"/>
    <n v="9"/>
    <n v="9"/>
    <n v="4"/>
    <n v="0"/>
    <x v="10"/>
    <m/>
    <x v="2"/>
  </r>
  <r>
    <n v="13"/>
    <x v="0"/>
    <x v="0"/>
    <n v="7.4"/>
    <x v="0"/>
    <n v="5.6"/>
    <n v="1.4"/>
    <n v="8.8000000000000007"/>
    <n v="2.95"/>
    <x v="3"/>
    <n v="1.7"/>
    <x v="1"/>
    <n v="8"/>
    <n v="5"/>
    <n v="5"/>
    <n v="0"/>
    <x v="11"/>
    <m/>
    <x v="1"/>
  </r>
  <r>
    <n v="16"/>
    <x v="1"/>
    <x v="1"/>
    <n v="2.6"/>
    <x v="2"/>
    <n v="8.6"/>
    <n v="1.3"/>
    <n v="3.9000000000000004"/>
    <n v="3.64"/>
    <x v="1"/>
    <n v="1.6"/>
    <x v="1"/>
    <n v="5"/>
    <n v="3"/>
    <n v="1"/>
    <n v="0"/>
    <x v="6"/>
    <m/>
    <x v="0"/>
  </r>
  <r>
    <n v="17"/>
    <x v="1"/>
    <x v="1"/>
    <n v="5"/>
    <x v="2"/>
    <n v="9"/>
    <n v="2.5"/>
    <n v="7.5"/>
    <n v="3.4"/>
    <x v="0"/>
    <n v="0.9"/>
    <x v="1"/>
    <n v="8"/>
    <n v="10"/>
    <n v="5"/>
    <n v="0"/>
    <x v="22"/>
    <m/>
    <x v="2"/>
  </r>
  <r>
    <n v="18"/>
    <x v="1"/>
    <x v="0"/>
    <n v="7.5"/>
    <x v="0"/>
    <n v="7.4"/>
    <n v="1.8"/>
    <n v="9.3000000000000007"/>
    <n v="3.47"/>
    <x v="0"/>
    <n v="0"/>
    <x v="0"/>
    <n v="9"/>
    <n v="4"/>
    <n v="2"/>
    <n v="0"/>
    <x v="5"/>
    <m/>
    <x v="1"/>
  </r>
  <r>
    <n v="17"/>
    <x v="1"/>
    <x v="1"/>
    <n v="5.4"/>
    <x v="2"/>
    <n v="5.7"/>
    <n v="2.5"/>
    <n v="7.9"/>
    <n v="3.13"/>
    <x v="0"/>
    <n v="1.9"/>
    <x v="2"/>
    <n v="5"/>
    <n v="10"/>
    <n v="3"/>
    <n v="0"/>
    <x v="11"/>
    <m/>
    <x v="1"/>
  </r>
  <r>
    <n v="17"/>
    <x v="1"/>
    <x v="1"/>
    <n v="5.6"/>
    <x v="0"/>
    <n v="5.3"/>
    <n v="1.7"/>
    <n v="7.3"/>
    <n v="2.77"/>
    <x v="3"/>
    <n v="0.9"/>
    <x v="2"/>
    <n v="8"/>
    <n v="4"/>
    <n v="8"/>
    <n v="0"/>
    <x v="8"/>
    <m/>
    <x v="2"/>
  </r>
  <r>
    <n v="18"/>
    <x v="1"/>
    <x v="0"/>
    <n v="6.2"/>
    <x v="0"/>
    <n v="4.0999999999999996"/>
    <n v="2.8"/>
    <n v="9"/>
    <n v="3.41"/>
    <x v="0"/>
    <n v="1.1000000000000001"/>
    <x v="2"/>
    <n v="7"/>
    <n v="8"/>
    <n v="1"/>
    <n v="1"/>
    <x v="3"/>
    <m/>
    <x v="1"/>
  </r>
  <r>
    <n v="17"/>
    <x v="1"/>
    <x v="1"/>
    <n v="4.7"/>
    <x v="0"/>
    <n v="4.7"/>
    <n v="2.4"/>
    <n v="7.1"/>
    <n v="3.94"/>
    <x v="1"/>
    <n v="0"/>
    <x v="2"/>
    <n v="10"/>
    <n v="5"/>
    <n v="8"/>
    <n v="0"/>
    <x v="22"/>
    <m/>
    <x v="2"/>
  </r>
  <r>
    <n v="18"/>
    <x v="1"/>
    <x v="1"/>
    <n v="4"/>
    <x v="0"/>
    <n v="4.5999999999999996"/>
    <n v="2.2000000000000002"/>
    <n v="6.2"/>
    <n v="3.7"/>
    <x v="1"/>
    <n v="0.6"/>
    <x v="2"/>
    <n v="4"/>
    <n v="1"/>
    <n v="4"/>
    <n v="0"/>
    <x v="6"/>
    <m/>
    <x v="0"/>
  </r>
  <r>
    <n v="18"/>
    <x v="1"/>
    <x v="0"/>
    <n v="6.2"/>
    <x v="1"/>
    <n v="8.6"/>
    <n v="1.5"/>
    <n v="7.7"/>
    <n v="3.22"/>
    <x v="0"/>
    <n v="1.6"/>
    <x v="0"/>
    <n v="4"/>
    <n v="5"/>
    <n v="7"/>
    <n v="0"/>
    <x v="13"/>
    <m/>
    <x v="1"/>
  </r>
  <r>
    <n v="17"/>
    <x v="1"/>
    <x v="1"/>
    <n v="5.6"/>
    <x v="1"/>
    <n v="6.8"/>
    <n v="2"/>
    <n v="7.6"/>
    <n v="2.2200000000000002"/>
    <x v="2"/>
    <n v="1"/>
    <x v="2"/>
    <n v="6"/>
    <n v="9"/>
    <n v="8"/>
    <n v="0"/>
    <x v="22"/>
    <m/>
    <x v="2"/>
  </r>
  <r>
    <n v="13"/>
    <x v="0"/>
    <x v="1"/>
    <n v="4"/>
    <x v="0"/>
    <n v="4.4000000000000004"/>
    <n v="2.5"/>
    <n v="6.5"/>
    <n v="3.6"/>
    <x v="1"/>
    <n v="1.4"/>
    <x v="2"/>
    <n v="7"/>
    <n v="2"/>
    <n v="10"/>
    <n v="0"/>
    <x v="1"/>
    <m/>
    <x v="1"/>
  </r>
  <r>
    <n v="15"/>
    <x v="0"/>
    <x v="1"/>
    <n v="1.8"/>
    <x v="0"/>
    <n v="6.4"/>
    <n v="2.4"/>
    <n v="4.2"/>
    <n v="2.16"/>
    <x v="2"/>
    <n v="1.9"/>
    <x v="2"/>
    <n v="3"/>
    <n v="6"/>
    <n v="9"/>
    <n v="0"/>
    <x v="11"/>
    <m/>
    <x v="1"/>
  </r>
  <r>
    <n v="13"/>
    <x v="0"/>
    <x v="0"/>
    <n v="3.1"/>
    <x v="1"/>
    <n v="5.4"/>
    <n v="1.9"/>
    <n v="5"/>
    <n v="3.66"/>
    <x v="1"/>
    <n v="0.4"/>
    <x v="0"/>
    <n v="7"/>
    <n v="4"/>
    <n v="2"/>
    <n v="0"/>
    <x v="18"/>
    <m/>
    <x v="1"/>
  </r>
  <r>
    <n v="13"/>
    <x v="0"/>
    <x v="1"/>
    <n v="3.5"/>
    <x v="1"/>
    <n v="5.2"/>
    <n v="2.5"/>
    <n v="6"/>
    <n v="2.57"/>
    <x v="3"/>
    <n v="1.1000000000000001"/>
    <x v="1"/>
    <n v="1"/>
    <n v="6"/>
    <n v="3"/>
    <n v="0"/>
    <x v="4"/>
    <m/>
    <x v="1"/>
  </r>
  <r>
    <n v="18"/>
    <x v="1"/>
    <x v="0"/>
    <n v="7.4"/>
    <x v="1"/>
    <n v="6.4"/>
    <n v="2.2000000000000002"/>
    <n v="9.6000000000000014"/>
    <n v="3.51"/>
    <x v="0"/>
    <n v="1"/>
    <x v="1"/>
    <n v="4"/>
    <n v="5"/>
    <n v="4"/>
    <n v="0"/>
    <x v="18"/>
    <m/>
    <x v="1"/>
  </r>
  <r>
    <n v="16"/>
    <x v="1"/>
    <x v="0"/>
    <n v="8"/>
    <x v="0"/>
    <n v="5.5"/>
    <n v="1.4"/>
    <n v="9.4"/>
    <n v="2.95"/>
    <x v="3"/>
    <n v="0.3"/>
    <x v="2"/>
    <n v="2"/>
    <n v="5"/>
    <n v="2"/>
    <n v="0"/>
    <x v="6"/>
    <m/>
    <x v="0"/>
  </r>
  <r>
    <n v="13"/>
    <x v="0"/>
    <x v="0"/>
    <n v="5.0999999999999996"/>
    <x v="2"/>
    <n v="4.0999999999999996"/>
    <n v="1.6"/>
    <n v="6.6999999999999993"/>
    <n v="3.32"/>
    <x v="0"/>
    <n v="0.8"/>
    <x v="2"/>
    <n v="1"/>
    <n v="3"/>
    <n v="8"/>
    <n v="0"/>
    <x v="17"/>
    <m/>
    <x v="1"/>
  </r>
  <r>
    <n v="18"/>
    <x v="1"/>
    <x v="1"/>
    <n v="2.4"/>
    <x v="0"/>
    <n v="6.3"/>
    <n v="1.3"/>
    <n v="3.7"/>
    <n v="3.05"/>
    <x v="0"/>
    <n v="1.7"/>
    <x v="0"/>
    <n v="2"/>
    <n v="9"/>
    <n v="5"/>
    <n v="0"/>
    <x v="13"/>
    <m/>
    <x v="1"/>
  </r>
  <r>
    <n v="13"/>
    <x v="0"/>
    <x v="0"/>
    <n v="1.6"/>
    <x v="0"/>
    <n v="4.2"/>
    <n v="1.5"/>
    <n v="3.1"/>
    <n v="3.72"/>
    <x v="1"/>
    <n v="1.7"/>
    <x v="2"/>
    <n v="10"/>
    <n v="1"/>
    <n v="10"/>
    <n v="0"/>
    <x v="7"/>
    <m/>
    <x v="2"/>
  </r>
  <r>
    <n v="18"/>
    <x v="1"/>
    <x v="0"/>
    <n v="5.8"/>
    <x v="0"/>
    <n v="6.7"/>
    <n v="1.9"/>
    <n v="7.6999999999999993"/>
    <n v="3"/>
    <x v="0"/>
    <n v="1.9"/>
    <x v="0"/>
    <n v="5"/>
    <n v="8"/>
    <n v="2"/>
    <n v="0"/>
    <x v="5"/>
    <m/>
    <x v="1"/>
  </r>
  <r>
    <n v="15"/>
    <x v="0"/>
    <x v="0"/>
    <n v="2.7"/>
    <x v="1"/>
    <n v="6.6"/>
    <n v="1.9"/>
    <n v="4.5999999999999996"/>
    <n v="2.75"/>
    <x v="3"/>
    <n v="1.9"/>
    <x v="2"/>
    <n v="3"/>
    <n v="6"/>
    <n v="6"/>
    <n v="0"/>
    <x v="5"/>
    <m/>
    <x v="1"/>
  </r>
  <r>
    <n v="13"/>
    <x v="0"/>
    <x v="1"/>
    <n v="4"/>
    <x v="2"/>
    <n v="4.5"/>
    <n v="1"/>
    <n v="5"/>
    <n v="3.65"/>
    <x v="1"/>
    <n v="1.8"/>
    <x v="0"/>
    <n v="5"/>
    <n v="6"/>
    <n v="5"/>
    <n v="0"/>
    <x v="13"/>
    <m/>
    <x v="1"/>
  </r>
  <r>
    <n v="18"/>
    <x v="1"/>
    <x v="0"/>
    <n v="3.2"/>
    <x v="2"/>
    <n v="8.8000000000000007"/>
    <n v="1.2"/>
    <n v="4.4000000000000004"/>
    <n v="3.71"/>
    <x v="1"/>
    <n v="1.1000000000000001"/>
    <x v="2"/>
    <n v="7"/>
    <n v="6"/>
    <n v="10"/>
    <n v="0"/>
    <x v="22"/>
    <m/>
    <x v="2"/>
  </r>
  <r>
    <n v="13"/>
    <x v="0"/>
    <x v="0"/>
    <n v="1.6"/>
    <x v="1"/>
    <n v="4.3"/>
    <n v="0.6"/>
    <n v="2.2000000000000002"/>
    <n v="3.91"/>
    <x v="1"/>
    <n v="2"/>
    <x v="2"/>
    <n v="5"/>
    <n v="10"/>
    <n v="7"/>
    <n v="0"/>
    <x v="10"/>
    <m/>
    <x v="2"/>
  </r>
  <r>
    <n v="14"/>
    <x v="0"/>
    <x v="0"/>
    <n v="2.2999999999999998"/>
    <x v="1"/>
    <n v="8"/>
    <n v="2.5"/>
    <n v="4.8"/>
    <n v="3.08"/>
    <x v="0"/>
    <n v="1.7"/>
    <x v="2"/>
    <n v="5"/>
    <n v="6"/>
    <n v="7"/>
    <n v="0"/>
    <x v="11"/>
    <m/>
    <x v="1"/>
  </r>
  <r>
    <n v="17"/>
    <x v="1"/>
    <x v="0"/>
    <n v="7.7"/>
    <x v="1"/>
    <n v="8.5"/>
    <n v="1.2"/>
    <n v="8.9"/>
    <n v="3.56"/>
    <x v="0"/>
    <n v="0"/>
    <x v="2"/>
    <n v="7"/>
    <n v="10"/>
    <n v="7"/>
    <n v="0"/>
    <x v="16"/>
    <m/>
    <x v="2"/>
  </r>
  <r>
    <n v="16"/>
    <x v="1"/>
    <x v="0"/>
    <n v="4.8"/>
    <x v="2"/>
    <n v="7.1"/>
    <n v="0.6"/>
    <n v="5.3999999999999995"/>
    <n v="3.36"/>
    <x v="0"/>
    <n v="0.7"/>
    <x v="1"/>
    <n v="7"/>
    <n v="6"/>
    <n v="9"/>
    <n v="0"/>
    <x v="10"/>
    <m/>
    <x v="2"/>
  </r>
  <r>
    <n v="17"/>
    <x v="1"/>
    <x v="1"/>
    <n v="5.2"/>
    <x v="2"/>
    <n v="6"/>
    <n v="0.6"/>
    <n v="5.8"/>
    <n v="3.07"/>
    <x v="0"/>
    <n v="0.6"/>
    <x v="2"/>
    <n v="6"/>
    <n v="2"/>
    <n v="9"/>
    <n v="0"/>
    <x v="3"/>
    <m/>
    <x v="1"/>
  </r>
  <r>
    <n v="13"/>
    <x v="0"/>
    <x v="0"/>
    <n v="5.7"/>
    <x v="2"/>
    <n v="6.6"/>
    <n v="2.4"/>
    <n v="8.1"/>
    <n v="3.99"/>
    <x v="1"/>
    <n v="1.7"/>
    <x v="1"/>
    <n v="1"/>
    <n v="3"/>
    <n v="1"/>
    <n v="0"/>
    <x v="0"/>
    <m/>
    <x v="0"/>
  </r>
  <r>
    <n v="15"/>
    <x v="0"/>
    <x v="0"/>
    <n v="4.5999999999999996"/>
    <x v="1"/>
    <n v="5.2"/>
    <n v="1.4"/>
    <n v="6"/>
    <n v="2.98"/>
    <x v="3"/>
    <n v="1.9"/>
    <x v="0"/>
    <n v="1"/>
    <n v="4"/>
    <n v="5"/>
    <n v="0"/>
    <x v="4"/>
    <m/>
    <x v="1"/>
  </r>
  <r>
    <n v="13"/>
    <x v="0"/>
    <x v="0"/>
    <n v="4.3"/>
    <x v="1"/>
    <n v="7.5"/>
    <n v="2.7"/>
    <n v="7"/>
    <n v="2.29"/>
    <x v="2"/>
    <n v="0.8"/>
    <x v="1"/>
    <n v="1"/>
    <n v="10"/>
    <n v="1"/>
    <n v="0"/>
    <x v="17"/>
    <m/>
    <x v="1"/>
  </r>
  <r>
    <n v="17"/>
    <x v="1"/>
    <x v="1"/>
    <n v="4.0999999999999996"/>
    <x v="0"/>
    <n v="8.6"/>
    <n v="3"/>
    <n v="7.1"/>
    <n v="2.77"/>
    <x v="3"/>
    <n v="0.1"/>
    <x v="2"/>
    <n v="3"/>
    <n v="6"/>
    <n v="1"/>
    <n v="0"/>
    <x v="4"/>
    <m/>
    <x v="1"/>
  </r>
  <r>
    <n v="15"/>
    <x v="0"/>
    <x v="0"/>
    <n v="6.5"/>
    <x v="2"/>
    <n v="8.1"/>
    <n v="2"/>
    <n v="8.5"/>
    <n v="3.89"/>
    <x v="1"/>
    <n v="1.3"/>
    <x v="1"/>
    <n v="8"/>
    <n v="2"/>
    <n v="2"/>
    <n v="0"/>
    <x v="17"/>
    <m/>
    <x v="1"/>
  </r>
  <r>
    <n v="19"/>
    <x v="1"/>
    <x v="1"/>
    <n v="7.8"/>
    <x v="2"/>
    <n v="8.8000000000000007"/>
    <n v="2.1"/>
    <n v="9.9"/>
    <n v="3.75"/>
    <x v="1"/>
    <n v="1.3"/>
    <x v="1"/>
    <n v="10"/>
    <n v="9"/>
    <n v="6"/>
    <n v="0"/>
    <x v="20"/>
    <m/>
    <x v="2"/>
  </r>
  <r>
    <n v="17"/>
    <x v="1"/>
    <x v="0"/>
    <n v="6.5"/>
    <x v="0"/>
    <n v="4.0999999999999996"/>
    <n v="2.7"/>
    <n v="9.1999999999999993"/>
    <n v="3.66"/>
    <x v="1"/>
    <n v="1.1000000000000001"/>
    <x v="2"/>
    <n v="6"/>
    <n v="10"/>
    <n v="10"/>
    <n v="0"/>
    <x v="19"/>
    <m/>
    <x v="2"/>
  </r>
  <r>
    <n v="17"/>
    <x v="1"/>
    <x v="1"/>
    <n v="3.2"/>
    <x v="1"/>
    <n v="4.2"/>
    <n v="0.6"/>
    <n v="3.8000000000000003"/>
    <n v="2.21"/>
    <x v="2"/>
    <n v="1.4"/>
    <x v="2"/>
    <n v="6"/>
    <n v="6"/>
    <n v="3"/>
    <n v="0"/>
    <x v="5"/>
    <m/>
    <x v="1"/>
  </r>
  <r>
    <n v="13"/>
    <x v="0"/>
    <x v="0"/>
    <n v="2.4"/>
    <x v="1"/>
    <n v="4.0999999999999996"/>
    <n v="0.8"/>
    <n v="3.2"/>
    <n v="2.79"/>
    <x v="3"/>
    <n v="1.1000000000000001"/>
    <x v="2"/>
    <n v="8"/>
    <n v="6"/>
    <n v="3"/>
    <n v="0"/>
    <x v="3"/>
    <m/>
    <x v="1"/>
  </r>
  <r>
    <n v="15"/>
    <x v="0"/>
    <x v="1"/>
    <n v="4"/>
    <x v="0"/>
    <n v="8.1"/>
    <n v="2.1"/>
    <n v="6.1"/>
    <n v="2.0099999999999998"/>
    <x v="2"/>
    <n v="0.4"/>
    <x v="2"/>
    <n v="4"/>
    <n v="8"/>
    <n v="8"/>
    <n v="0"/>
    <x v="8"/>
    <m/>
    <x v="2"/>
  </r>
  <r>
    <n v="17"/>
    <x v="1"/>
    <x v="1"/>
    <n v="6"/>
    <x v="2"/>
    <n v="8.8000000000000007"/>
    <n v="1.3"/>
    <n v="7.3"/>
    <n v="4"/>
    <x v="1"/>
    <n v="0.9"/>
    <x v="2"/>
    <n v="8"/>
    <n v="10"/>
    <n v="7"/>
    <n v="0"/>
    <x v="20"/>
    <m/>
    <x v="2"/>
  </r>
  <r>
    <n v="18"/>
    <x v="1"/>
    <x v="0"/>
    <n v="1.2"/>
    <x v="1"/>
    <n v="8"/>
    <n v="1.7"/>
    <n v="2.9"/>
    <n v="3.12"/>
    <x v="0"/>
    <n v="0.1"/>
    <x v="0"/>
    <n v="6"/>
    <n v="4"/>
    <n v="2"/>
    <n v="0"/>
    <x v="17"/>
    <m/>
    <x v="1"/>
  </r>
  <r>
    <n v="16"/>
    <x v="1"/>
    <x v="0"/>
    <n v="5.7"/>
    <x v="2"/>
    <n v="5.8"/>
    <n v="2.8"/>
    <n v="8.5"/>
    <n v="2.17"/>
    <x v="2"/>
    <n v="0.5"/>
    <x v="2"/>
    <n v="3"/>
    <n v="9"/>
    <n v="2"/>
    <n v="0"/>
    <x v="15"/>
    <m/>
    <x v="1"/>
  </r>
  <r>
    <n v="19"/>
    <x v="1"/>
    <x v="0"/>
    <n v="6.5"/>
    <x v="2"/>
    <n v="8.1"/>
    <n v="2.2999999999999998"/>
    <n v="8.8000000000000007"/>
    <n v="2.21"/>
    <x v="2"/>
    <n v="0.4"/>
    <x v="1"/>
    <n v="8"/>
    <n v="8"/>
    <n v="6"/>
    <n v="0"/>
    <x v="10"/>
    <m/>
    <x v="2"/>
  </r>
  <r>
    <n v="16"/>
    <x v="1"/>
    <x v="0"/>
    <n v="6.6"/>
    <x v="0"/>
    <n v="5.6"/>
    <n v="0.8"/>
    <n v="7.3999999999999995"/>
    <n v="3.48"/>
    <x v="0"/>
    <n v="1.7"/>
    <x v="2"/>
    <n v="4"/>
    <n v="3"/>
    <n v="4"/>
    <n v="0"/>
    <x v="12"/>
    <m/>
    <x v="1"/>
  </r>
  <r>
    <n v="13"/>
    <x v="0"/>
    <x v="0"/>
    <n v="6"/>
    <x v="1"/>
    <n v="7.2"/>
    <n v="1.5"/>
    <n v="7.5"/>
    <n v="2.36"/>
    <x v="2"/>
    <n v="0.2"/>
    <x v="0"/>
    <n v="1"/>
    <n v="3"/>
    <n v="4"/>
    <n v="0"/>
    <x v="2"/>
    <m/>
    <x v="0"/>
  </r>
  <r>
    <n v="18"/>
    <x v="1"/>
    <x v="1"/>
    <n v="1.1000000000000001"/>
    <x v="2"/>
    <n v="8"/>
    <n v="2.7"/>
    <n v="3.8000000000000003"/>
    <n v="2.04"/>
    <x v="2"/>
    <n v="0.1"/>
    <x v="0"/>
    <n v="7"/>
    <n v="10"/>
    <n v="2"/>
    <n v="0"/>
    <x v="1"/>
    <m/>
    <x v="1"/>
  </r>
  <r>
    <n v="13"/>
    <x v="0"/>
    <x v="1"/>
    <n v="3.8"/>
    <x v="0"/>
    <n v="7.9"/>
    <n v="1.3"/>
    <n v="5.0999999999999996"/>
    <n v="3.97"/>
    <x v="1"/>
    <n v="0.2"/>
    <x v="2"/>
    <n v="7"/>
    <n v="10"/>
    <n v="9"/>
    <n v="0"/>
    <x v="19"/>
    <m/>
    <x v="2"/>
  </r>
  <r>
    <n v="13"/>
    <x v="0"/>
    <x v="1"/>
    <n v="4.7"/>
    <x v="2"/>
    <n v="6.8"/>
    <n v="1.7"/>
    <n v="6.4"/>
    <n v="3.27"/>
    <x v="0"/>
    <n v="1.4"/>
    <x v="0"/>
    <n v="4"/>
    <n v="2"/>
    <n v="4"/>
    <n v="0"/>
    <x v="4"/>
    <m/>
    <x v="1"/>
  </r>
  <r>
    <n v="15"/>
    <x v="0"/>
    <x v="0"/>
    <n v="7.4"/>
    <x v="1"/>
    <n v="6.3"/>
    <n v="1.3"/>
    <n v="8.7000000000000011"/>
    <n v="3.47"/>
    <x v="0"/>
    <n v="1.2"/>
    <x v="2"/>
    <n v="1"/>
    <n v="3"/>
    <n v="9"/>
    <n v="0"/>
    <x v="18"/>
    <m/>
    <x v="1"/>
  </r>
  <r>
    <n v="17"/>
    <x v="1"/>
    <x v="0"/>
    <n v="3.9"/>
    <x v="0"/>
    <n v="7.1"/>
    <n v="2.4"/>
    <n v="6.3"/>
    <n v="3.82"/>
    <x v="1"/>
    <n v="0.8"/>
    <x v="1"/>
    <n v="3"/>
    <n v="6"/>
    <n v="10"/>
    <n v="0"/>
    <x v="1"/>
    <m/>
    <x v="1"/>
  </r>
  <r>
    <n v="18"/>
    <x v="1"/>
    <x v="0"/>
    <n v="3.1"/>
    <x v="0"/>
    <n v="5.7"/>
    <n v="2.9"/>
    <n v="6"/>
    <n v="3.1"/>
    <x v="0"/>
    <n v="0.6"/>
    <x v="2"/>
    <n v="9"/>
    <n v="4"/>
    <n v="2"/>
    <n v="0"/>
    <x v="5"/>
    <m/>
    <x v="1"/>
  </r>
  <r>
    <n v="16"/>
    <x v="1"/>
    <x v="1"/>
    <n v="2.6"/>
    <x v="1"/>
    <n v="8.8000000000000007"/>
    <n v="1.7"/>
    <n v="4.3"/>
    <n v="2.39"/>
    <x v="2"/>
    <n v="1"/>
    <x v="2"/>
    <n v="5"/>
    <n v="2"/>
    <n v="6"/>
    <n v="0"/>
    <x v="18"/>
    <m/>
    <x v="1"/>
  </r>
  <r>
    <n v="13"/>
    <x v="0"/>
    <x v="0"/>
    <n v="5"/>
    <x v="1"/>
    <n v="6.9"/>
    <n v="0.6"/>
    <n v="5.6"/>
    <n v="3.03"/>
    <x v="0"/>
    <n v="0.8"/>
    <x v="0"/>
    <n v="9"/>
    <n v="3"/>
    <n v="8"/>
    <n v="0"/>
    <x v="8"/>
    <m/>
    <x v="2"/>
  </r>
  <r>
    <n v="18"/>
    <x v="1"/>
    <x v="0"/>
    <n v="4.5"/>
    <x v="0"/>
    <n v="8.1"/>
    <n v="1.6"/>
    <n v="6.1"/>
    <n v="3.72"/>
    <x v="1"/>
    <n v="1.2"/>
    <x v="0"/>
    <n v="1"/>
    <n v="2"/>
    <n v="1"/>
    <n v="0"/>
    <x v="23"/>
    <m/>
    <x v="0"/>
  </r>
  <r>
    <n v="17"/>
    <x v="1"/>
    <x v="0"/>
    <n v="2.1"/>
    <x v="1"/>
    <n v="4.7"/>
    <n v="2"/>
    <n v="4.0999999999999996"/>
    <n v="2.99"/>
    <x v="3"/>
    <n v="1.9"/>
    <x v="0"/>
    <n v="5"/>
    <n v="1"/>
    <n v="8"/>
    <n v="0"/>
    <x v="15"/>
    <m/>
    <x v="1"/>
  </r>
  <r>
    <n v="14"/>
    <x v="0"/>
    <x v="1"/>
    <n v="6.4"/>
    <x v="0"/>
    <n v="6"/>
    <n v="1.1000000000000001"/>
    <n v="7.5"/>
    <n v="3.81"/>
    <x v="1"/>
    <n v="0.9"/>
    <x v="2"/>
    <n v="8"/>
    <n v="2"/>
    <n v="3"/>
    <n v="0"/>
    <x v="18"/>
    <m/>
    <x v="1"/>
  </r>
  <r>
    <n v="15"/>
    <x v="0"/>
    <x v="1"/>
    <n v="2.2999999999999998"/>
    <x v="1"/>
    <n v="6.5"/>
    <n v="2.6"/>
    <n v="4.9000000000000004"/>
    <n v="3.18"/>
    <x v="0"/>
    <n v="0.1"/>
    <x v="0"/>
    <n v="1"/>
    <n v="8"/>
    <n v="4"/>
    <n v="0"/>
    <x v="18"/>
    <m/>
    <x v="1"/>
  </r>
  <r>
    <n v="13"/>
    <x v="0"/>
    <x v="1"/>
    <n v="4.4000000000000004"/>
    <x v="1"/>
    <n v="8.8000000000000007"/>
    <n v="1.3"/>
    <n v="5.7"/>
    <n v="2.69"/>
    <x v="3"/>
    <n v="0.4"/>
    <x v="0"/>
    <n v="3"/>
    <n v="1"/>
    <n v="7"/>
    <n v="0"/>
    <x v="12"/>
    <m/>
    <x v="1"/>
  </r>
  <r>
    <n v="19"/>
    <x v="1"/>
    <x v="0"/>
    <n v="2.2999999999999998"/>
    <x v="0"/>
    <n v="6.9"/>
    <n v="2.2999999999999998"/>
    <n v="4.5999999999999996"/>
    <n v="2.17"/>
    <x v="2"/>
    <n v="1.6"/>
    <x v="2"/>
    <n v="3"/>
    <n v="6"/>
    <n v="10"/>
    <n v="0"/>
    <x v="1"/>
    <m/>
    <x v="1"/>
  </r>
  <r>
    <n v="13"/>
    <x v="0"/>
    <x v="0"/>
    <n v="4.3"/>
    <x v="0"/>
    <n v="4.4000000000000004"/>
    <n v="0.7"/>
    <n v="5"/>
    <n v="3.19"/>
    <x v="0"/>
    <n v="0.3"/>
    <x v="0"/>
    <n v="6"/>
    <n v="2"/>
    <n v="6"/>
    <n v="0"/>
    <x v="15"/>
    <m/>
    <x v="1"/>
  </r>
  <r>
    <n v="18"/>
    <x v="1"/>
    <x v="1"/>
    <n v="3.9"/>
    <x v="1"/>
    <n v="5.2"/>
    <n v="1.8"/>
    <n v="5.7"/>
    <n v="2.41"/>
    <x v="2"/>
    <n v="0.6"/>
    <x v="1"/>
    <n v="9"/>
    <n v="5"/>
    <n v="5"/>
    <n v="0"/>
    <x v="1"/>
    <m/>
    <x v="1"/>
  </r>
  <r>
    <n v="18"/>
    <x v="1"/>
    <x v="0"/>
    <n v="2.9"/>
    <x v="1"/>
    <n v="7.5"/>
    <n v="0.9"/>
    <n v="3.8"/>
    <n v="2.62"/>
    <x v="3"/>
    <n v="2"/>
    <x v="1"/>
    <n v="3"/>
    <n v="1"/>
    <n v="9"/>
    <n v="0"/>
    <x v="18"/>
    <m/>
    <x v="1"/>
  </r>
  <r>
    <n v="14"/>
    <x v="0"/>
    <x v="0"/>
    <n v="2.1"/>
    <x v="0"/>
    <n v="8.5"/>
    <n v="1.1000000000000001"/>
    <n v="3.2"/>
    <n v="3.03"/>
    <x v="0"/>
    <n v="1.6"/>
    <x v="2"/>
    <n v="5"/>
    <n v="6"/>
    <n v="7"/>
    <n v="0"/>
    <x v="11"/>
    <m/>
    <x v="1"/>
  </r>
  <r>
    <n v="14"/>
    <x v="0"/>
    <x v="0"/>
    <n v="2.1"/>
    <x v="1"/>
    <n v="5"/>
    <n v="1.4"/>
    <n v="3.5"/>
    <n v="2.96"/>
    <x v="3"/>
    <n v="1.1000000000000001"/>
    <x v="0"/>
    <n v="7"/>
    <n v="1"/>
    <n v="9"/>
    <n v="0"/>
    <x v="3"/>
    <m/>
    <x v="1"/>
  </r>
  <r>
    <n v="16"/>
    <x v="1"/>
    <x v="0"/>
    <n v="3.8"/>
    <x v="1"/>
    <n v="5.7"/>
    <n v="1.3"/>
    <n v="5.0999999999999996"/>
    <n v="3.84"/>
    <x v="1"/>
    <n v="1.6"/>
    <x v="2"/>
    <n v="3"/>
    <n v="4"/>
    <n v="10"/>
    <n v="0"/>
    <x v="3"/>
    <m/>
    <x v="1"/>
  </r>
  <r>
    <n v="15"/>
    <x v="0"/>
    <x v="1"/>
    <n v="1.1000000000000001"/>
    <x v="1"/>
    <n v="8.1999999999999993"/>
    <n v="0.7"/>
    <n v="1.8"/>
    <n v="2.94"/>
    <x v="3"/>
    <n v="0.7"/>
    <x v="1"/>
    <n v="10"/>
    <n v="7"/>
    <n v="9"/>
    <n v="0"/>
    <x v="19"/>
    <m/>
    <x v="2"/>
  </r>
  <r>
    <n v="14"/>
    <x v="0"/>
    <x v="0"/>
    <n v="2.5"/>
    <x v="2"/>
    <n v="5.3"/>
    <n v="2.4"/>
    <n v="4.9000000000000004"/>
    <n v="3.87"/>
    <x v="1"/>
    <n v="1.3"/>
    <x v="1"/>
    <n v="10"/>
    <n v="9"/>
    <n v="6"/>
    <n v="0"/>
    <x v="20"/>
    <m/>
    <x v="2"/>
  </r>
  <r>
    <n v="19"/>
    <x v="1"/>
    <x v="1"/>
    <n v="4.0999999999999996"/>
    <x v="0"/>
    <n v="6.4"/>
    <n v="0.9"/>
    <n v="5"/>
    <n v="2.4700000000000002"/>
    <x v="2"/>
    <n v="1.2"/>
    <x v="1"/>
    <n v="7"/>
    <n v="3"/>
    <n v="4"/>
    <n v="0"/>
    <x v="15"/>
    <m/>
    <x v="1"/>
  </r>
  <r>
    <n v="16"/>
    <x v="1"/>
    <x v="0"/>
    <n v="3"/>
    <x v="0"/>
    <n v="8.6"/>
    <n v="1.5"/>
    <n v="4.5"/>
    <n v="2.84"/>
    <x v="3"/>
    <n v="0.3"/>
    <x v="1"/>
    <n v="6"/>
    <n v="4"/>
    <n v="3"/>
    <n v="0"/>
    <x v="18"/>
    <m/>
    <x v="1"/>
  </r>
  <r>
    <n v="13"/>
    <x v="0"/>
    <x v="1"/>
    <n v="3.9"/>
    <x v="0"/>
    <n v="5"/>
    <n v="0.7"/>
    <n v="4.5999999999999996"/>
    <n v="2.98"/>
    <x v="3"/>
    <n v="0.3"/>
    <x v="2"/>
    <n v="10"/>
    <n v="8"/>
    <n v="3"/>
    <n v="0"/>
    <x v="7"/>
    <m/>
    <x v="2"/>
  </r>
  <r>
    <n v="13"/>
    <x v="0"/>
    <x v="0"/>
    <n v="7"/>
    <x v="1"/>
    <n v="8.9"/>
    <n v="0.6"/>
    <n v="7.6"/>
    <n v="2.7"/>
    <x v="3"/>
    <n v="1.8"/>
    <x v="2"/>
    <n v="5"/>
    <n v="4"/>
    <n v="1"/>
    <n v="0"/>
    <x v="4"/>
    <m/>
    <x v="1"/>
  </r>
  <r>
    <n v="16"/>
    <x v="1"/>
    <x v="0"/>
    <n v="3.6"/>
    <x v="2"/>
    <n v="8.9"/>
    <n v="1.9"/>
    <n v="5.5"/>
    <n v="2.11"/>
    <x v="2"/>
    <n v="1.7"/>
    <x v="0"/>
    <n v="9"/>
    <n v="5"/>
    <n v="2"/>
    <n v="0"/>
    <x v="13"/>
    <m/>
    <x v="1"/>
  </r>
  <r>
    <n v="15"/>
    <x v="0"/>
    <x v="0"/>
    <n v="7.6"/>
    <x v="0"/>
    <n v="7.6"/>
    <n v="2.7"/>
    <n v="10.3"/>
    <n v="2.36"/>
    <x v="2"/>
    <n v="1.2"/>
    <x v="2"/>
    <n v="5"/>
    <n v="10"/>
    <n v="3"/>
    <n v="0"/>
    <x v="11"/>
    <m/>
    <x v="1"/>
  </r>
  <r>
    <n v="19"/>
    <x v="1"/>
    <x v="0"/>
    <n v="1.3"/>
    <x v="0"/>
    <n v="4.5"/>
    <n v="0.7"/>
    <n v="2"/>
    <n v="2.5099999999999998"/>
    <x v="3"/>
    <n v="0.8"/>
    <x v="0"/>
    <n v="10"/>
    <n v="9"/>
    <n v="7"/>
    <n v="0"/>
    <x v="19"/>
    <m/>
    <x v="2"/>
  </r>
  <r>
    <n v="17"/>
    <x v="1"/>
    <x v="1"/>
    <n v="2.1"/>
    <x v="2"/>
    <n v="7.8"/>
    <n v="2.1"/>
    <n v="4.2"/>
    <n v="3.29"/>
    <x v="0"/>
    <n v="1.5"/>
    <x v="0"/>
    <n v="8"/>
    <n v="1"/>
    <n v="7"/>
    <n v="0"/>
    <x v="13"/>
    <m/>
    <x v="1"/>
  </r>
  <r>
    <n v="15"/>
    <x v="0"/>
    <x v="1"/>
    <n v="2.7"/>
    <x v="2"/>
    <n v="8.8000000000000007"/>
    <n v="1.9"/>
    <n v="4.5999999999999996"/>
    <n v="2.14"/>
    <x v="2"/>
    <n v="0.4"/>
    <x v="1"/>
    <n v="8"/>
    <n v="10"/>
    <n v="3"/>
    <n v="0"/>
    <x v="7"/>
    <m/>
    <x v="2"/>
  </r>
  <r>
    <n v="13"/>
    <x v="0"/>
    <x v="0"/>
    <n v="7.5"/>
    <x v="2"/>
    <n v="8"/>
    <n v="2"/>
    <n v="9.5"/>
    <n v="3.25"/>
    <x v="0"/>
    <n v="0.7"/>
    <x v="2"/>
    <n v="9"/>
    <n v="10"/>
    <n v="2"/>
    <n v="0"/>
    <x v="7"/>
    <m/>
    <x v="2"/>
  </r>
  <r>
    <n v="16"/>
    <x v="1"/>
    <x v="1"/>
    <n v="6.1"/>
    <x v="2"/>
    <n v="8.8000000000000007"/>
    <n v="1.7"/>
    <n v="7.8"/>
    <n v="3.55"/>
    <x v="0"/>
    <n v="1.3"/>
    <x v="2"/>
    <n v="6"/>
    <n v="10"/>
    <n v="9"/>
    <n v="0"/>
    <x v="20"/>
    <m/>
    <x v="2"/>
  </r>
  <r>
    <n v="19"/>
    <x v="1"/>
    <x v="0"/>
    <n v="2.4"/>
    <x v="2"/>
    <n v="7.4"/>
    <n v="1.2"/>
    <n v="3.5999999999999996"/>
    <n v="2.5"/>
    <x v="3"/>
    <n v="1.8"/>
    <x v="1"/>
    <n v="2"/>
    <n v="5"/>
    <n v="2"/>
    <n v="0"/>
    <x v="6"/>
    <m/>
    <x v="0"/>
  </r>
  <r>
    <n v="19"/>
    <x v="1"/>
    <x v="0"/>
    <n v="2"/>
    <x v="1"/>
    <n v="5.3"/>
    <n v="1.7"/>
    <n v="3.7"/>
    <n v="2.91"/>
    <x v="3"/>
    <n v="0.8"/>
    <x v="0"/>
    <n v="9"/>
    <n v="5"/>
    <n v="9"/>
    <n v="0"/>
    <x v="22"/>
    <m/>
    <x v="2"/>
  </r>
  <r>
    <n v="15"/>
    <x v="0"/>
    <x v="1"/>
    <n v="7.8"/>
    <x v="1"/>
    <n v="5.3"/>
    <n v="0.5"/>
    <n v="8.3000000000000007"/>
    <n v="2.3199999999999998"/>
    <x v="2"/>
    <n v="0.8"/>
    <x v="0"/>
    <n v="8"/>
    <n v="9"/>
    <n v="3"/>
    <n v="1"/>
    <x v="7"/>
    <m/>
    <x v="2"/>
  </r>
  <r>
    <n v="16"/>
    <x v="1"/>
    <x v="1"/>
    <n v="6.8"/>
    <x v="1"/>
    <n v="7.2"/>
    <n v="2.5"/>
    <n v="9.3000000000000007"/>
    <n v="3.61"/>
    <x v="1"/>
    <n v="0.5"/>
    <x v="2"/>
    <n v="10"/>
    <n v="1"/>
    <n v="9"/>
    <n v="0"/>
    <x v="8"/>
    <m/>
    <x v="2"/>
  </r>
  <r>
    <n v="17"/>
    <x v="1"/>
    <x v="0"/>
    <n v="8"/>
    <x v="0"/>
    <n v="4.5999999999999996"/>
    <n v="2.6"/>
    <n v="10.6"/>
    <n v="3.06"/>
    <x v="0"/>
    <n v="0.1"/>
    <x v="1"/>
    <n v="9"/>
    <n v="2"/>
    <n v="6"/>
    <n v="0"/>
    <x v="3"/>
    <m/>
    <x v="1"/>
  </r>
  <r>
    <n v="13"/>
    <x v="0"/>
    <x v="1"/>
    <n v="7.3"/>
    <x v="2"/>
    <n v="8.9"/>
    <n v="2.7"/>
    <n v="10"/>
    <n v="3.68"/>
    <x v="1"/>
    <n v="1.9"/>
    <x v="0"/>
    <n v="6"/>
    <n v="6"/>
    <n v="10"/>
    <n v="0"/>
    <x v="10"/>
    <m/>
    <x v="2"/>
  </r>
  <r>
    <n v="15"/>
    <x v="0"/>
    <x v="1"/>
    <n v="1.5"/>
    <x v="2"/>
    <n v="8.6999999999999993"/>
    <n v="1.2"/>
    <n v="2.7"/>
    <n v="2.52"/>
    <x v="3"/>
    <n v="0.1"/>
    <x v="0"/>
    <n v="9"/>
    <n v="7"/>
    <n v="2"/>
    <n v="0"/>
    <x v="11"/>
    <m/>
    <x v="1"/>
  </r>
  <r>
    <n v="15"/>
    <x v="0"/>
    <x v="1"/>
    <n v="3.4"/>
    <x v="0"/>
    <n v="5"/>
    <n v="1.8"/>
    <n v="5.2"/>
    <n v="3.2"/>
    <x v="0"/>
    <n v="1.5"/>
    <x v="2"/>
    <n v="4"/>
    <n v="5"/>
    <n v="1"/>
    <n v="0"/>
    <x v="4"/>
    <m/>
    <x v="1"/>
  </r>
  <r>
    <n v="15"/>
    <x v="0"/>
    <x v="0"/>
    <n v="7.3"/>
    <x v="2"/>
    <n v="4.8"/>
    <n v="2.6"/>
    <n v="9.9"/>
    <n v="3.81"/>
    <x v="1"/>
    <n v="1.5"/>
    <x v="0"/>
    <n v="4"/>
    <n v="7"/>
    <n v="4"/>
    <n v="0"/>
    <x v="5"/>
    <m/>
    <x v="1"/>
  </r>
  <r>
    <n v="13"/>
    <x v="0"/>
    <x v="1"/>
    <n v="1.9"/>
    <x v="1"/>
    <n v="8.5"/>
    <n v="0.8"/>
    <n v="2.7"/>
    <n v="3.33"/>
    <x v="0"/>
    <n v="1.3"/>
    <x v="2"/>
    <n v="5"/>
    <n v="1"/>
    <n v="3"/>
    <n v="0"/>
    <x v="6"/>
    <m/>
    <x v="0"/>
  </r>
  <r>
    <n v="17"/>
    <x v="1"/>
    <x v="1"/>
    <n v="3.9"/>
    <x v="0"/>
    <n v="8.1999999999999993"/>
    <n v="1.3"/>
    <n v="5.2"/>
    <n v="3.21"/>
    <x v="0"/>
    <n v="1.8"/>
    <x v="2"/>
    <n v="3"/>
    <n v="7"/>
    <n v="7"/>
    <n v="0"/>
    <x v="3"/>
    <m/>
    <x v="1"/>
  </r>
  <r>
    <n v="18"/>
    <x v="1"/>
    <x v="0"/>
    <n v="1.3"/>
    <x v="0"/>
    <n v="5.8"/>
    <n v="1.3"/>
    <n v="2.6"/>
    <n v="3.35"/>
    <x v="0"/>
    <n v="1.9"/>
    <x v="2"/>
    <n v="9"/>
    <n v="4"/>
    <n v="9"/>
    <n v="0"/>
    <x v="10"/>
    <m/>
    <x v="2"/>
  </r>
  <r>
    <n v="19"/>
    <x v="1"/>
    <x v="0"/>
    <n v="4.7"/>
    <x v="1"/>
    <n v="8.1999999999999993"/>
    <n v="1.8"/>
    <n v="6.5"/>
    <n v="2.2599999999999998"/>
    <x v="2"/>
    <n v="1"/>
    <x v="0"/>
    <n v="7"/>
    <n v="4"/>
    <n v="7"/>
    <n v="0"/>
    <x v="11"/>
    <m/>
    <x v="1"/>
  </r>
  <r>
    <n v="15"/>
    <x v="0"/>
    <x v="0"/>
    <n v="1.9"/>
    <x v="1"/>
    <n v="5.8"/>
    <n v="2.2999999999999998"/>
    <n v="4.1999999999999993"/>
    <n v="2.4700000000000002"/>
    <x v="2"/>
    <n v="0.3"/>
    <x v="1"/>
    <n v="10"/>
    <n v="9"/>
    <n v="4"/>
    <n v="0"/>
    <x v="22"/>
    <m/>
    <x v="2"/>
  </r>
  <r>
    <n v="18"/>
    <x v="1"/>
    <x v="1"/>
    <n v="7"/>
    <x v="2"/>
    <n v="6.3"/>
    <n v="1.6"/>
    <n v="8.6"/>
    <n v="2.5499999999999998"/>
    <x v="3"/>
    <n v="0.5"/>
    <x v="2"/>
    <n v="10"/>
    <n v="1"/>
    <n v="8"/>
    <n v="0"/>
    <x v="1"/>
    <m/>
    <x v="1"/>
  </r>
  <r>
    <n v="15"/>
    <x v="0"/>
    <x v="0"/>
    <n v="6.2"/>
    <x v="1"/>
    <n v="6.3"/>
    <n v="1.7"/>
    <n v="7.9"/>
    <n v="2.2599999999999998"/>
    <x v="2"/>
    <n v="1.1000000000000001"/>
    <x v="1"/>
    <n v="9"/>
    <n v="6"/>
    <n v="2"/>
    <n v="0"/>
    <x v="3"/>
    <m/>
    <x v="1"/>
  </r>
  <r>
    <n v="14"/>
    <x v="0"/>
    <x v="0"/>
    <n v="3.2"/>
    <x v="1"/>
    <n v="8"/>
    <n v="1.3"/>
    <n v="4.5"/>
    <n v="2.5"/>
    <x v="3"/>
    <n v="1.1000000000000001"/>
    <x v="1"/>
    <n v="2"/>
    <n v="7"/>
    <n v="5"/>
    <n v="0"/>
    <x v="15"/>
    <m/>
    <x v="1"/>
  </r>
  <r>
    <n v="18"/>
    <x v="1"/>
    <x v="1"/>
    <n v="4.5"/>
    <x v="2"/>
    <n v="7.9"/>
    <n v="1.4"/>
    <n v="5.9"/>
    <n v="2.38"/>
    <x v="2"/>
    <n v="0.1"/>
    <x v="1"/>
    <n v="7"/>
    <n v="9"/>
    <n v="1"/>
    <n v="0"/>
    <x v="3"/>
    <m/>
    <x v="1"/>
  </r>
  <r>
    <n v="14"/>
    <x v="0"/>
    <x v="1"/>
    <n v="1.1000000000000001"/>
    <x v="2"/>
    <n v="6.1"/>
    <n v="2.5"/>
    <n v="3.6"/>
    <n v="2.8"/>
    <x v="3"/>
    <n v="1.8"/>
    <x v="1"/>
    <n v="4"/>
    <n v="10"/>
    <n v="3"/>
    <n v="0"/>
    <x v="3"/>
    <m/>
    <x v="1"/>
  </r>
  <r>
    <n v="13"/>
    <x v="0"/>
    <x v="0"/>
    <n v="5.9"/>
    <x v="0"/>
    <n v="8"/>
    <n v="2.8"/>
    <n v="8.6999999999999993"/>
    <n v="3.21"/>
    <x v="0"/>
    <n v="1.6"/>
    <x v="2"/>
    <n v="2"/>
    <n v="8"/>
    <n v="8"/>
    <n v="0"/>
    <x v="11"/>
    <m/>
    <x v="1"/>
  </r>
  <r>
    <n v="17"/>
    <x v="1"/>
    <x v="0"/>
    <n v="5.0999999999999996"/>
    <x v="2"/>
    <n v="5"/>
    <n v="2.2000000000000002"/>
    <n v="7.3"/>
    <n v="3.58"/>
    <x v="0"/>
    <n v="1.2"/>
    <x v="1"/>
    <n v="6"/>
    <n v="3"/>
    <n v="9"/>
    <n v="0"/>
    <x v="11"/>
    <m/>
    <x v="1"/>
  </r>
  <r>
    <n v="15"/>
    <x v="0"/>
    <x v="0"/>
    <n v="1.6"/>
    <x v="0"/>
    <n v="6.9"/>
    <n v="2.2999999999999998"/>
    <n v="3.9"/>
    <n v="3.16"/>
    <x v="0"/>
    <n v="0.9"/>
    <x v="2"/>
    <n v="3"/>
    <n v="1"/>
    <n v="5"/>
    <n v="0"/>
    <x v="6"/>
    <m/>
    <x v="0"/>
  </r>
  <r>
    <n v="15"/>
    <x v="0"/>
    <x v="1"/>
    <n v="7.2"/>
    <x v="1"/>
    <n v="8"/>
    <n v="1.4"/>
    <n v="8.6"/>
    <n v="3.64"/>
    <x v="1"/>
    <n v="0.4"/>
    <x v="2"/>
    <n v="10"/>
    <n v="5"/>
    <n v="7"/>
    <n v="0"/>
    <x v="10"/>
    <m/>
    <x v="2"/>
  </r>
  <r>
    <n v="17"/>
    <x v="1"/>
    <x v="1"/>
    <n v="1.4"/>
    <x v="0"/>
    <n v="6.9"/>
    <n v="2.4"/>
    <n v="3.8"/>
    <n v="3.06"/>
    <x v="0"/>
    <n v="1.9"/>
    <x v="2"/>
    <n v="4"/>
    <n v="10"/>
    <n v="8"/>
    <n v="0"/>
    <x v="10"/>
    <m/>
    <x v="2"/>
  </r>
  <r>
    <n v="17"/>
    <x v="1"/>
    <x v="1"/>
    <n v="6.6"/>
    <x v="0"/>
    <n v="8"/>
    <n v="2.2000000000000002"/>
    <n v="8.8000000000000007"/>
    <n v="2.21"/>
    <x v="2"/>
    <n v="1"/>
    <x v="1"/>
    <n v="10"/>
    <n v="8"/>
    <n v="10"/>
    <n v="0"/>
    <x v="24"/>
    <m/>
    <x v="2"/>
  </r>
  <r>
    <n v="15"/>
    <x v="0"/>
    <x v="1"/>
    <n v="3.5"/>
    <x v="0"/>
    <n v="6.3"/>
    <n v="0.8"/>
    <n v="4.3"/>
    <n v="2.71"/>
    <x v="3"/>
    <n v="1.8"/>
    <x v="1"/>
    <n v="7"/>
    <n v="4"/>
    <n v="2"/>
    <n v="0"/>
    <x v="18"/>
    <m/>
    <x v="1"/>
  </r>
  <r>
    <n v="17"/>
    <x v="1"/>
    <x v="1"/>
    <n v="5.4"/>
    <x v="2"/>
    <n v="6.3"/>
    <n v="2.8"/>
    <n v="8.1999999999999993"/>
    <n v="3.06"/>
    <x v="0"/>
    <n v="0.8"/>
    <x v="0"/>
    <n v="3"/>
    <n v="7"/>
    <n v="9"/>
    <n v="0"/>
    <x v="1"/>
    <m/>
    <x v="1"/>
  </r>
  <r>
    <n v="16"/>
    <x v="1"/>
    <x v="1"/>
    <n v="4.2"/>
    <x v="2"/>
    <n v="7.3"/>
    <n v="1.1000000000000001"/>
    <n v="5.3000000000000007"/>
    <n v="3.1"/>
    <x v="0"/>
    <n v="1.6"/>
    <x v="2"/>
    <n v="1"/>
    <n v="6"/>
    <n v="2"/>
    <n v="0"/>
    <x v="6"/>
    <m/>
    <x v="0"/>
  </r>
  <r>
    <n v="13"/>
    <x v="0"/>
    <x v="0"/>
    <n v="2.5"/>
    <x v="0"/>
    <n v="8.3000000000000007"/>
    <n v="1.6"/>
    <n v="4.0999999999999996"/>
    <n v="2.91"/>
    <x v="3"/>
    <n v="0.6"/>
    <x v="1"/>
    <n v="10"/>
    <n v="2"/>
    <n v="6"/>
    <n v="0"/>
    <x v="11"/>
    <m/>
    <x v="1"/>
  </r>
  <r>
    <n v="16"/>
    <x v="1"/>
    <x v="1"/>
    <n v="3.8"/>
    <x v="1"/>
    <n v="6"/>
    <n v="3"/>
    <n v="6.8"/>
    <n v="2.1"/>
    <x v="2"/>
    <n v="0.2"/>
    <x v="0"/>
    <n v="7"/>
    <n v="9"/>
    <n v="1"/>
    <n v="0"/>
    <x v="3"/>
    <m/>
    <x v="1"/>
  </r>
  <r>
    <n v="13"/>
    <x v="0"/>
    <x v="0"/>
    <n v="1.8"/>
    <x v="0"/>
    <n v="8.9"/>
    <n v="1.2"/>
    <n v="3"/>
    <n v="3.67"/>
    <x v="1"/>
    <n v="0.1"/>
    <x v="2"/>
    <n v="2"/>
    <n v="8"/>
    <n v="9"/>
    <n v="0"/>
    <x v="1"/>
    <m/>
    <x v="1"/>
  </r>
  <r>
    <n v="14"/>
    <x v="0"/>
    <x v="0"/>
    <n v="5.4"/>
    <x v="0"/>
    <n v="5.6"/>
    <n v="1.8"/>
    <n v="7.2"/>
    <n v="3.01"/>
    <x v="0"/>
    <n v="0.9"/>
    <x v="0"/>
    <n v="10"/>
    <n v="6"/>
    <n v="8"/>
    <n v="0"/>
    <x v="16"/>
    <m/>
    <x v="2"/>
  </r>
  <r>
    <n v="14"/>
    <x v="0"/>
    <x v="1"/>
    <n v="7.7"/>
    <x v="0"/>
    <n v="6.1"/>
    <n v="0.8"/>
    <n v="8.5"/>
    <n v="3.47"/>
    <x v="0"/>
    <n v="1.5"/>
    <x v="2"/>
    <n v="9"/>
    <n v="10"/>
    <n v="9"/>
    <n v="0"/>
    <x v="24"/>
    <m/>
    <x v="2"/>
  </r>
  <r>
    <n v="18"/>
    <x v="1"/>
    <x v="1"/>
    <n v="4.0999999999999996"/>
    <x v="0"/>
    <n v="8"/>
    <n v="1.7"/>
    <n v="5.8"/>
    <n v="2.29"/>
    <x v="2"/>
    <n v="1.4"/>
    <x v="0"/>
    <n v="2"/>
    <n v="1"/>
    <n v="10"/>
    <n v="0"/>
    <x v="18"/>
    <m/>
    <x v="1"/>
  </r>
  <r>
    <n v="15"/>
    <x v="0"/>
    <x v="1"/>
    <n v="6.6"/>
    <x v="2"/>
    <n v="4.9000000000000004"/>
    <n v="3"/>
    <n v="9.6"/>
    <n v="2.99"/>
    <x v="3"/>
    <n v="0.9"/>
    <x v="2"/>
    <n v="4"/>
    <n v="8"/>
    <n v="3"/>
    <n v="0"/>
    <x v="5"/>
    <m/>
    <x v="1"/>
  </r>
  <r>
    <n v="16"/>
    <x v="1"/>
    <x v="0"/>
    <n v="2.2999999999999998"/>
    <x v="2"/>
    <n v="4.0999999999999996"/>
    <n v="0.8"/>
    <n v="3.0999999999999996"/>
    <n v="3.18"/>
    <x v="0"/>
    <n v="1.7"/>
    <x v="2"/>
    <n v="5"/>
    <n v="3"/>
    <n v="8"/>
    <n v="0"/>
    <x v="13"/>
    <m/>
    <x v="1"/>
  </r>
  <r>
    <n v="17"/>
    <x v="1"/>
    <x v="1"/>
    <n v="7.5"/>
    <x v="0"/>
    <n v="5.9"/>
    <n v="2.9"/>
    <n v="10.4"/>
    <n v="3.71"/>
    <x v="1"/>
    <n v="1.7"/>
    <x v="0"/>
    <n v="3"/>
    <n v="1"/>
    <n v="10"/>
    <n v="0"/>
    <x v="15"/>
    <m/>
    <x v="1"/>
  </r>
  <r>
    <n v="18"/>
    <x v="1"/>
    <x v="0"/>
    <n v="7.1"/>
    <x v="0"/>
    <n v="8"/>
    <n v="2.9"/>
    <n v="10"/>
    <n v="2.59"/>
    <x v="3"/>
    <n v="1.2"/>
    <x v="1"/>
    <n v="10"/>
    <n v="8"/>
    <n v="5"/>
    <n v="0"/>
    <x v="22"/>
    <m/>
    <x v="2"/>
  </r>
  <r>
    <n v="17"/>
    <x v="1"/>
    <x v="1"/>
    <n v="1.7"/>
    <x v="2"/>
    <n v="6.3"/>
    <n v="1.5"/>
    <n v="3.2"/>
    <n v="2.66"/>
    <x v="3"/>
    <n v="1.8"/>
    <x v="0"/>
    <n v="1"/>
    <n v="4"/>
    <n v="10"/>
    <n v="0"/>
    <x v="5"/>
    <m/>
    <x v="1"/>
  </r>
  <r>
    <n v="13"/>
    <x v="0"/>
    <x v="0"/>
    <n v="7.9"/>
    <x v="0"/>
    <n v="5.8"/>
    <n v="0.8"/>
    <n v="8.7000000000000011"/>
    <n v="3.31"/>
    <x v="0"/>
    <n v="1.6"/>
    <x v="2"/>
    <n v="3"/>
    <n v="7"/>
    <n v="2"/>
    <n v="0"/>
    <x v="17"/>
    <m/>
    <x v="1"/>
  </r>
  <r>
    <n v="16"/>
    <x v="1"/>
    <x v="1"/>
    <n v="4"/>
    <x v="0"/>
    <n v="7.9"/>
    <n v="1.9"/>
    <n v="5.9"/>
    <n v="2.56"/>
    <x v="3"/>
    <n v="0.1"/>
    <x v="1"/>
    <n v="4"/>
    <n v="9"/>
    <n v="9"/>
    <n v="0"/>
    <x v="10"/>
    <m/>
    <x v="2"/>
  </r>
  <r>
    <n v="15"/>
    <x v="0"/>
    <x v="1"/>
    <n v="1.2"/>
    <x v="1"/>
    <n v="8.1"/>
    <n v="2"/>
    <n v="3.2"/>
    <n v="3.33"/>
    <x v="0"/>
    <n v="1.5"/>
    <x v="2"/>
    <n v="7"/>
    <n v="3"/>
    <n v="8"/>
    <n v="0"/>
    <x v="11"/>
    <m/>
    <x v="1"/>
  </r>
  <r>
    <n v="19"/>
    <x v="1"/>
    <x v="0"/>
    <n v="3.5"/>
    <x v="1"/>
    <n v="8.4"/>
    <n v="1.7"/>
    <n v="5.2"/>
    <n v="2.46"/>
    <x v="2"/>
    <n v="0.1"/>
    <x v="1"/>
    <n v="6"/>
    <n v="9"/>
    <n v="3"/>
    <n v="0"/>
    <x v="11"/>
    <m/>
    <x v="1"/>
  </r>
  <r>
    <n v="17"/>
    <x v="1"/>
    <x v="0"/>
    <n v="1.1000000000000001"/>
    <x v="0"/>
    <n v="6.8"/>
    <n v="2"/>
    <n v="3.1"/>
    <n v="3.45"/>
    <x v="0"/>
    <n v="1.3"/>
    <x v="2"/>
    <n v="7"/>
    <n v="1"/>
    <n v="2"/>
    <n v="0"/>
    <x v="4"/>
    <m/>
    <x v="1"/>
  </r>
  <r>
    <n v="19"/>
    <x v="1"/>
    <x v="1"/>
    <n v="1.6"/>
    <x v="1"/>
    <n v="4.0999999999999996"/>
    <n v="1.6"/>
    <n v="3.2"/>
    <n v="3.15"/>
    <x v="0"/>
    <n v="0.9"/>
    <x v="2"/>
    <n v="2"/>
    <n v="6"/>
    <n v="4"/>
    <n v="0"/>
    <x v="17"/>
    <m/>
    <x v="1"/>
  </r>
  <r>
    <n v="16"/>
    <x v="1"/>
    <x v="1"/>
    <n v="2.5"/>
    <x v="1"/>
    <n v="8.9"/>
    <n v="2.9"/>
    <n v="5.4"/>
    <n v="2.5299999999999998"/>
    <x v="3"/>
    <n v="0.1"/>
    <x v="1"/>
    <n v="8"/>
    <n v="7"/>
    <n v="3"/>
    <n v="0"/>
    <x v="11"/>
    <m/>
    <x v="1"/>
  </r>
  <r>
    <n v="15"/>
    <x v="0"/>
    <x v="0"/>
    <n v="2.8"/>
    <x v="0"/>
    <n v="7.2"/>
    <n v="1.8"/>
    <n v="4.5999999999999996"/>
    <n v="2.91"/>
    <x v="3"/>
    <n v="0.2"/>
    <x v="0"/>
    <n v="5"/>
    <n v="5"/>
    <n v="4"/>
    <n v="0"/>
    <x v="15"/>
    <m/>
    <x v="1"/>
  </r>
  <r>
    <n v="15"/>
    <x v="0"/>
    <x v="0"/>
    <n v="2.2000000000000002"/>
    <x v="0"/>
    <n v="5.2"/>
    <n v="1.4"/>
    <n v="3.6"/>
    <n v="2.62"/>
    <x v="3"/>
    <n v="1.5"/>
    <x v="2"/>
    <n v="10"/>
    <n v="7"/>
    <n v="5"/>
    <n v="0"/>
    <x v="10"/>
    <m/>
    <x v="2"/>
  </r>
  <r>
    <n v="16"/>
    <x v="1"/>
    <x v="0"/>
    <n v="4.8"/>
    <x v="2"/>
    <n v="6.8"/>
    <n v="1"/>
    <n v="5.8"/>
    <n v="2.6"/>
    <x v="3"/>
    <n v="1.1000000000000001"/>
    <x v="2"/>
    <n v="1"/>
    <n v="5"/>
    <n v="6"/>
    <n v="0"/>
    <x v="17"/>
    <m/>
    <x v="1"/>
  </r>
  <r>
    <n v="18"/>
    <x v="1"/>
    <x v="1"/>
    <n v="3.7"/>
    <x v="2"/>
    <n v="7.9"/>
    <n v="2.7"/>
    <n v="6.4"/>
    <n v="3.11"/>
    <x v="0"/>
    <n v="0.3"/>
    <x v="2"/>
    <n v="6"/>
    <n v="6"/>
    <n v="5"/>
    <n v="0"/>
    <x v="3"/>
    <m/>
    <x v="1"/>
  </r>
  <r>
    <n v="16"/>
    <x v="1"/>
    <x v="0"/>
    <n v="5.5"/>
    <x v="0"/>
    <n v="8.3000000000000007"/>
    <n v="2.2999999999999998"/>
    <n v="7.8"/>
    <n v="3.47"/>
    <x v="0"/>
    <n v="1.6"/>
    <x v="2"/>
    <n v="4"/>
    <n v="8"/>
    <n v="5"/>
    <n v="0"/>
    <x v="3"/>
    <m/>
    <x v="1"/>
  </r>
  <r>
    <n v="16"/>
    <x v="1"/>
    <x v="0"/>
    <n v="2.5"/>
    <x v="0"/>
    <n v="6.8"/>
    <n v="1"/>
    <n v="3.5"/>
    <n v="3.77"/>
    <x v="1"/>
    <n v="1"/>
    <x v="1"/>
    <n v="3"/>
    <n v="9"/>
    <n v="9"/>
    <n v="0"/>
    <x v="7"/>
    <m/>
    <x v="2"/>
  </r>
  <r>
    <n v="18"/>
    <x v="1"/>
    <x v="1"/>
    <n v="1.9"/>
    <x v="1"/>
    <n v="5.8"/>
    <n v="1.7"/>
    <n v="3.5999999999999996"/>
    <n v="3.52"/>
    <x v="0"/>
    <n v="0.2"/>
    <x v="0"/>
    <n v="6"/>
    <n v="5"/>
    <n v="1"/>
    <n v="0"/>
    <x v="17"/>
    <m/>
    <x v="1"/>
  </r>
  <r>
    <n v="13"/>
    <x v="0"/>
    <x v="0"/>
    <n v="5.9"/>
    <x v="0"/>
    <n v="7.5"/>
    <n v="1.4"/>
    <n v="7.3000000000000007"/>
    <n v="2.58"/>
    <x v="3"/>
    <n v="1.2"/>
    <x v="0"/>
    <n v="6"/>
    <n v="2"/>
    <n v="8"/>
    <n v="0"/>
    <x v="13"/>
    <m/>
    <x v="1"/>
  </r>
  <r>
    <n v="13"/>
    <x v="0"/>
    <x v="1"/>
    <n v="6.5"/>
    <x v="1"/>
    <n v="8.3000000000000007"/>
    <n v="0.6"/>
    <n v="7.1"/>
    <n v="3.05"/>
    <x v="0"/>
    <n v="0.3"/>
    <x v="1"/>
    <n v="2"/>
    <n v="7"/>
    <n v="8"/>
    <n v="0"/>
    <x v="3"/>
    <m/>
    <x v="1"/>
  </r>
  <r>
    <n v="15"/>
    <x v="0"/>
    <x v="0"/>
    <n v="7.5"/>
    <x v="0"/>
    <n v="8.1"/>
    <n v="2.5"/>
    <n v="10"/>
    <n v="3.56"/>
    <x v="0"/>
    <n v="1.2"/>
    <x v="2"/>
    <n v="6"/>
    <n v="8"/>
    <n v="10"/>
    <n v="0"/>
    <x v="16"/>
    <m/>
    <x v="2"/>
  </r>
  <r>
    <n v="19"/>
    <x v="1"/>
    <x v="0"/>
    <n v="4.9000000000000004"/>
    <x v="1"/>
    <n v="4.5"/>
    <n v="2.9"/>
    <n v="7.8000000000000007"/>
    <n v="3.88"/>
    <x v="1"/>
    <n v="0.8"/>
    <x v="0"/>
    <n v="5"/>
    <n v="5"/>
    <n v="6"/>
    <n v="0"/>
    <x v="13"/>
    <m/>
    <x v="1"/>
  </r>
  <r>
    <n v="13"/>
    <x v="0"/>
    <x v="0"/>
    <n v="2.2000000000000002"/>
    <x v="1"/>
    <n v="5.3"/>
    <n v="1.4"/>
    <n v="3.6"/>
    <n v="3.97"/>
    <x v="1"/>
    <n v="0"/>
    <x v="0"/>
    <n v="1"/>
    <n v="10"/>
    <n v="7"/>
    <n v="0"/>
    <x v="11"/>
    <m/>
    <x v="1"/>
  </r>
  <r>
    <n v="14"/>
    <x v="0"/>
    <x v="0"/>
    <n v="5.8"/>
    <x v="2"/>
    <n v="6.9"/>
    <n v="0.7"/>
    <n v="6.5"/>
    <n v="3.01"/>
    <x v="0"/>
    <n v="1.9"/>
    <x v="1"/>
    <n v="9"/>
    <n v="9"/>
    <n v="4"/>
    <n v="0"/>
    <x v="10"/>
    <m/>
    <x v="2"/>
  </r>
  <r>
    <n v="14"/>
    <x v="0"/>
    <x v="0"/>
    <n v="1.3"/>
    <x v="0"/>
    <n v="8.5"/>
    <n v="0.9"/>
    <n v="2.2000000000000002"/>
    <n v="3.71"/>
    <x v="1"/>
    <n v="0.7"/>
    <x v="1"/>
    <n v="3"/>
    <n v="3"/>
    <n v="6"/>
    <n v="0"/>
    <x v="17"/>
    <m/>
    <x v="1"/>
  </r>
  <r>
    <n v="19"/>
    <x v="1"/>
    <x v="1"/>
    <n v="2.8"/>
    <x v="1"/>
    <n v="4.8"/>
    <n v="1.7"/>
    <n v="4.5"/>
    <n v="2.8"/>
    <x v="3"/>
    <n v="0.6"/>
    <x v="0"/>
    <n v="5"/>
    <n v="7"/>
    <n v="4"/>
    <n v="0"/>
    <x v="13"/>
    <m/>
    <x v="1"/>
  </r>
  <r>
    <n v="19"/>
    <x v="1"/>
    <x v="1"/>
    <n v="4"/>
    <x v="1"/>
    <n v="6.5"/>
    <n v="2.4"/>
    <n v="6.4"/>
    <n v="3.67"/>
    <x v="1"/>
    <n v="0.6"/>
    <x v="0"/>
    <n v="4"/>
    <n v="6"/>
    <n v="4"/>
    <n v="0"/>
    <x v="15"/>
    <m/>
    <x v="1"/>
  </r>
  <r>
    <n v="14"/>
    <x v="0"/>
    <x v="1"/>
    <n v="1.7"/>
    <x v="1"/>
    <n v="4.9000000000000004"/>
    <n v="1.6"/>
    <n v="3.3"/>
    <n v="2.36"/>
    <x v="2"/>
    <n v="1.7"/>
    <x v="1"/>
    <n v="3"/>
    <n v="1"/>
    <n v="6"/>
    <n v="0"/>
    <x v="4"/>
    <m/>
    <x v="1"/>
  </r>
  <r>
    <n v="18"/>
    <x v="1"/>
    <x v="1"/>
    <n v="1.4"/>
    <x v="1"/>
    <n v="6.1"/>
    <n v="1.6"/>
    <n v="3"/>
    <n v="2.56"/>
    <x v="3"/>
    <n v="1.2"/>
    <x v="1"/>
    <n v="2"/>
    <n v="7"/>
    <n v="8"/>
    <n v="0"/>
    <x v="3"/>
    <m/>
    <x v="1"/>
  </r>
  <r>
    <n v="19"/>
    <x v="1"/>
    <x v="0"/>
    <n v="2.2999999999999998"/>
    <x v="1"/>
    <n v="6.5"/>
    <n v="3"/>
    <n v="5.3"/>
    <n v="3.5"/>
    <x v="0"/>
    <n v="0.1"/>
    <x v="1"/>
    <n v="9"/>
    <n v="10"/>
    <n v="8"/>
    <n v="0"/>
    <x v="14"/>
    <m/>
    <x v="2"/>
  </r>
  <r>
    <n v="14"/>
    <x v="0"/>
    <x v="0"/>
    <n v="3.8"/>
    <x v="0"/>
    <n v="5.3"/>
    <n v="1"/>
    <n v="4.8"/>
    <n v="2.2799999999999998"/>
    <x v="2"/>
    <n v="1.2"/>
    <x v="0"/>
    <n v="9"/>
    <n v="3"/>
    <n v="1"/>
    <n v="0"/>
    <x v="18"/>
    <m/>
    <x v="1"/>
  </r>
  <r>
    <n v="13"/>
    <x v="0"/>
    <x v="0"/>
    <n v="6.4"/>
    <x v="1"/>
    <n v="5.0999999999999996"/>
    <n v="2.5"/>
    <n v="8.9"/>
    <n v="2.62"/>
    <x v="3"/>
    <n v="1.3"/>
    <x v="0"/>
    <n v="5"/>
    <n v="4"/>
    <n v="7"/>
    <n v="0"/>
    <x v="13"/>
    <m/>
    <x v="1"/>
  </r>
  <r>
    <n v="19"/>
    <x v="1"/>
    <x v="0"/>
    <n v="6"/>
    <x v="2"/>
    <n v="7.1"/>
    <n v="0.9"/>
    <n v="6.9"/>
    <n v="2.98"/>
    <x v="3"/>
    <n v="0.1"/>
    <x v="0"/>
    <n v="1"/>
    <n v="6"/>
    <n v="5"/>
    <n v="0"/>
    <x v="17"/>
    <m/>
    <x v="1"/>
  </r>
  <r>
    <n v="16"/>
    <x v="1"/>
    <x v="0"/>
    <n v="1.9"/>
    <x v="0"/>
    <n v="7.8"/>
    <n v="2.1"/>
    <n v="4"/>
    <n v="2.2599999999999998"/>
    <x v="2"/>
    <n v="0.3"/>
    <x v="1"/>
    <n v="7"/>
    <n v="7"/>
    <n v="5"/>
    <n v="0"/>
    <x v="1"/>
    <m/>
    <x v="1"/>
  </r>
  <r>
    <n v="17"/>
    <x v="1"/>
    <x v="0"/>
    <n v="2.4"/>
    <x v="1"/>
    <n v="8.5"/>
    <n v="2.4"/>
    <n v="4.8"/>
    <n v="2.79"/>
    <x v="3"/>
    <n v="1.1000000000000001"/>
    <x v="0"/>
    <n v="1"/>
    <n v="6"/>
    <n v="7"/>
    <n v="0"/>
    <x v="15"/>
    <m/>
    <x v="1"/>
  </r>
  <r>
    <n v="14"/>
    <x v="0"/>
    <x v="1"/>
    <n v="2.7"/>
    <x v="0"/>
    <n v="5.0999999999999996"/>
    <n v="2.4"/>
    <n v="5.0999999999999996"/>
    <n v="2.17"/>
    <x v="2"/>
    <n v="1.8"/>
    <x v="1"/>
    <n v="3"/>
    <n v="10"/>
    <n v="8"/>
    <n v="0"/>
    <x v="7"/>
    <m/>
    <x v="2"/>
  </r>
  <r>
    <n v="14"/>
    <x v="0"/>
    <x v="0"/>
    <n v="1.5"/>
    <x v="2"/>
    <n v="7.2"/>
    <n v="1.7"/>
    <n v="3.2"/>
    <n v="2.76"/>
    <x v="3"/>
    <n v="0"/>
    <x v="0"/>
    <n v="10"/>
    <n v="7"/>
    <n v="10"/>
    <n v="0"/>
    <x v="14"/>
    <m/>
    <x v="2"/>
  </r>
  <r>
    <n v="18"/>
    <x v="1"/>
    <x v="0"/>
    <n v="7.7"/>
    <x v="0"/>
    <n v="7.3"/>
    <n v="1.8"/>
    <n v="9.5"/>
    <n v="3.13"/>
    <x v="0"/>
    <n v="2"/>
    <x v="2"/>
    <n v="7"/>
    <n v="9"/>
    <n v="7"/>
    <n v="0"/>
    <x v="22"/>
    <m/>
    <x v="2"/>
  </r>
  <r>
    <n v="13"/>
    <x v="0"/>
    <x v="0"/>
    <n v="2.9"/>
    <x v="1"/>
    <n v="5.0999999999999996"/>
    <n v="2.2000000000000002"/>
    <n v="5.0999999999999996"/>
    <n v="3.81"/>
    <x v="1"/>
    <n v="0.7"/>
    <x v="0"/>
    <n v="6"/>
    <n v="6"/>
    <n v="10"/>
    <n v="0"/>
    <x v="10"/>
    <m/>
    <x v="2"/>
  </r>
  <r>
    <n v="16"/>
    <x v="1"/>
    <x v="0"/>
    <n v="7.6"/>
    <x v="1"/>
    <n v="4.3"/>
    <n v="2.7"/>
    <n v="10.3"/>
    <n v="2.5099999999999998"/>
    <x v="3"/>
    <n v="0.3"/>
    <x v="2"/>
    <n v="3"/>
    <n v="9"/>
    <n v="10"/>
    <n v="0"/>
    <x v="10"/>
    <m/>
    <x v="2"/>
  </r>
  <r>
    <n v="18"/>
    <x v="1"/>
    <x v="0"/>
    <n v="5.7"/>
    <x v="2"/>
    <n v="8.4"/>
    <n v="2.4"/>
    <n v="8.1"/>
    <n v="2.84"/>
    <x v="3"/>
    <n v="0.7"/>
    <x v="0"/>
    <n v="5"/>
    <n v="4"/>
    <n v="9"/>
    <n v="0"/>
    <x v="11"/>
    <m/>
    <x v="1"/>
  </r>
  <r>
    <n v="19"/>
    <x v="1"/>
    <x v="0"/>
    <n v="1.2"/>
    <x v="1"/>
    <n v="5"/>
    <n v="1.5"/>
    <n v="2.7"/>
    <n v="2.09"/>
    <x v="2"/>
    <n v="0.6"/>
    <x v="2"/>
    <n v="5"/>
    <n v="2"/>
    <n v="1"/>
    <n v="0"/>
    <x v="2"/>
    <m/>
    <x v="0"/>
  </r>
  <r>
    <n v="16"/>
    <x v="1"/>
    <x v="1"/>
    <n v="2.4"/>
    <x v="2"/>
    <n v="6.2"/>
    <n v="1.6"/>
    <n v="4"/>
    <n v="2.38"/>
    <x v="2"/>
    <n v="0"/>
    <x v="2"/>
    <n v="8"/>
    <n v="4"/>
    <n v="10"/>
    <n v="0"/>
    <x v="10"/>
    <m/>
    <x v="2"/>
  </r>
  <r>
    <n v="17"/>
    <x v="1"/>
    <x v="1"/>
    <n v="6.2"/>
    <x v="2"/>
    <n v="5.0999999999999996"/>
    <n v="2"/>
    <n v="8.1999999999999993"/>
    <n v="3.82"/>
    <x v="1"/>
    <n v="1.7"/>
    <x v="2"/>
    <n v="7"/>
    <n v="3"/>
    <n v="5"/>
    <n v="0"/>
    <x v="5"/>
    <m/>
    <x v="1"/>
  </r>
  <r>
    <n v="14"/>
    <x v="0"/>
    <x v="1"/>
    <n v="4.7"/>
    <x v="0"/>
    <n v="5.0999999999999996"/>
    <n v="2.2000000000000002"/>
    <n v="6.9"/>
    <n v="2.0299999999999998"/>
    <x v="2"/>
    <n v="1.1000000000000001"/>
    <x v="2"/>
    <n v="2"/>
    <n v="10"/>
    <n v="7"/>
    <n v="0"/>
    <x v="1"/>
    <m/>
    <x v="1"/>
  </r>
  <r>
    <n v="19"/>
    <x v="1"/>
    <x v="0"/>
    <n v="5.3"/>
    <x v="0"/>
    <n v="6.7"/>
    <n v="0.7"/>
    <n v="6"/>
    <n v="3.59"/>
    <x v="0"/>
    <n v="1.8"/>
    <x v="1"/>
    <n v="4"/>
    <n v="8"/>
    <n v="8"/>
    <n v="0"/>
    <x v="8"/>
    <m/>
    <x v="2"/>
  </r>
  <r>
    <n v="19"/>
    <x v="1"/>
    <x v="1"/>
    <n v="6"/>
    <x v="1"/>
    <n v="6"/>
    <n v="0.7"/>
    <n v="6.7"/>
    <n v="3.29"/>
    <x v="0"/>
    <n v="1.4"/>
    <x v="0"/>
    <n v="4"/>
    <n v="5"/>
    <n v="1"/>
    <n v="0"/>
    <x v="4"/>
    <m/>
    <x v="1"/>
  </r>
  <r>
    <n v="16"/>
    <x v="1"/>
    <x v="1"/>
    <n v="7.8"/>
    <x v="1"/>
    <n v="4.7"/>
    <n v="2.1"/>
    <n v="9.9"/>
    <n v="2.48"/>
    <x v="2"/>
    <n v="2"/>
    <x v="0"/>
    <n v="8"/>
    <n v="3"/>
    <n v="1"/>
    <n v="0"/>
    <x v="17"/>
    <m/>
    <x v="1"/>
  </r>
  <r>
    <n v="14"/>
    <x v="0"/>
    <x v="1"/>
    <n v="4.4000000000000004"/>
    <x v="2"/>
    <n v="4.2"/>
    <n v="2.6"/>
    <n v="7"/>
    <n v="2.2799999999999998"/>
    <x v="2"/>
    <n v="1.3"/>
    <x v="2"/>
    <n v="8"/>
    <n v="10"/>
    <n v="4"/>
    <n v="0"/>
    <x v="10"/>
    <m/>
    <x v="2"/>
  </r>
  <r>
    <n v="17"/>
    <x v="1"/>
    <x v="0"/>
    <n v="6.7"/>
    <x v="0"/>
    <n v="7.6"/>
    <n v="2.4"/>
    <n v="9.1"/>
    <n v="3.59"/>
    <x v="0"/>
    <n v="0.4"/>
    <x v="2"/>
    <n v="9"/>
    <n v="5"/>
    <n v="5"/>
    <n v="0"/>
    <x v="1"/>
    <m/>
    <x v="1"/>
  </r>
  <r>
    <n v="13"/>
    <x v="0"/>
    <x v="1"/>
    <n v="7.2"/>
    <x v="1"/>
    <n v="7.4"/>
    <n v="2.2000000000000002"/>
    <n v="9.4"/>
    <n v="3.42"/>
    <x v="0"/>
    <n v="0.1"/>
    <x v="0"/>
    <n v="8"/>
    <n v="9"/>
    <n v="6"/>
    <n v="0"/>
    <x v="22"/>
    <m/>
    <x v="2"/>
  </r>
  <r>
    <n v="18"/>
    <x v="1"/>
    <x v="0"/>
    <n v="6.1"/>
    <x v="2"/>
    <n v="4.4000000000000004"/>
    <n v="2.1"/>
    <n v="8.1999999999999993"/>
    <n v="2.23"/>
    <x v="2"/>
    <n v="1"/>
    <x v="0"/>
    <n v="8"/>
    <n v="2"/>
    <n v="5"/>
    <n v="0"/>
    <x v="5"/>
    <m/>
    <x v="1"/>
  </r>
  <r>
    <n v="16"/>
    <x v="1"/>
    <x v="0"/>
    <n v="5.4"/>
    <x v="1"/>
    <n v="8.6999999999999993"/>
    <n v="1.9"/>
    <n v="7.3000000000000007"/>
    <n v="2.67"/>
    <x v="3"/>
    <n v="1.3"/>
    <x v="0"/>
    <n v="1"/>
    <n v="5"/>
    <n v="7"/>
    <n v="0"/>
    <x v="18"/>
    <m/>
    <x v="1"/>
  </r>
  <r>
    <n v="19"/>
    <x v="1"/>
    <x v="0"/>
    <n v="2.7"/>
    <x v="2"/>
    <n v="7.7"/>
    <n v="0.7"/>
    <n v="3.4000000000000004"/>
    <n v="2.2200000000000002"/>
    <x v="2"/>
    <n v="0.4"/>
    <x v="2"/>
    <n v="10"/>
    <n v="8"/>
    <n v="7"/>
    <n v="0"/>
    <x v="20"/>
    <m/>
    <x v="2"/>
  </r>
  <r>
    <n v="13"/>
    <x v="0"/>
    <x v="1"/>
    <n v="7.9"/>
    <x v="0"/>
    <n v="7.2"/>
    <n v="1.5"/>
    <n v="9.4"/>
    <n v="2.36"/>
    <x v="2"/>
    <n v="0.2"/>
    <x v="2"/>
    <n v="2"/>
    <n v="6"/>
    <n v="8"/>
    <n v="0"/>
    <x v="13"/>
    <m/>
    <x v="1"/>
  </r>
  <r>
    <n v="13"/>
    <x v="0"/>
    <x v="0"/>
    <n v="4.5999999999999996"/>
    <x v="1"/>
    <n v="7.3"/>
    <n v="1.6"/>
    <n v="6.1999999999999993"/>
    <n v="2.91"/>
    <x v="3"/>
    <n v="0.4"/>
    <x v="0"/>
    <n v="10"/>
    <n v="5"/>
    <n v="7"/>
    <n v="0"/>
    <x v="10"/>
    <m/>
    <x v="2"/>
  </r>
  <r>
    <n v="13"/>
    <x v="0"/>
    <x v="0"/>
    <n v="5.6"/>
    <x v="0"/>
    <n v="4.5999999999999996"/>
    <n v="1.9"/>
    <n v="7.5"/>
    <n v="2.54"/>
    <x v="3"/>
    <n v="0.1"/>
    <x v="0"/>
    <n v="5"/>
    <n v="5"/>
    <n v="6"/>
    <n v="0"/>
    <x v="13"/>
    <m/>
    <x v="1"/>
  </r>
  <r>
    <n v="17"/>
    <x v="1"/>
    <x v="1"/>
    <n v="6.5"/>
    <x v="1"/>
    <n v="6.4"/>
    <n v="0.7"/>
    <n v="7.2"/>
    <n v="3.57"/>
    <x v="0"/>
    <n v="1.1000000000000001"/>
    <x v="0"/>
    <n v="2"/>
    <n v="9"/>
    <n v="6"/>
    <n v="0"/>
    <x v="3"/>
    <m/>
    <x v="1"/>
  </r>
  <r>
    <n v="19"/>
    <x v="1"/>
    <x v="0"/>
    <n v="5.9"/>
    <x v="2"/>
    <n v="7.2"/>
    <n v="0.9"/>
    <n v="6.8000000000000007"/>
    <n v="3.99"/>
    <x v="1"/>
    <n v="1.7"/>
    <x v="0"/>
    <n v="7"/>
    <n v="9"/>
    <n v="3"/>
    <n v="0"/>
    <x v="1"/>
    <m/>
    <x v="1"/>
  </r>
  <r>
    <n v="19"/>
    <x v="1"/>
    <x v="1"/>
    <n v="1.1000000000000001"/>
    <x v="1"/>
    <n v="5.0999999999999996"/>
    <n v="2.2000000000000002"/>
    <n v="3.3000000000000003"/>
    <n v="2.13"/>
    <x v="2"/>
    <n v="0.9"/>
    <x v="0"/>
    <n v="7"/>
    <n v="7"/>
    <n v="2"/>
    <n v="0"/>
    <x v="13"/>
    <m/>
    <x v="1"/>
  </r>
  <r>
    <n v="18"/>
    <x v="1"/>
    <x v="0"/>
    <n v="3.2"/>
    <x v="1"/>
    <n v="5.0999999999999996"/>
    <n v="1.2"/>
    <n v="4.4000000000000004"/>
    <n v="3.54"/>
    <x v="0"/>
    <n v="1.3"/>
    <x v="0"/>
    <n v="6"/>
    <n v="2"/>
    <n v="8"/>
    <n v="0"/>
    <x v="13"/>
    <m/>
    <x v="1"/>
  </r>
  <r>
    <n v="14"/>
    <x v="0"/>
    <x v="0"/>
    <n v="6.5"/>
    <x v="0"/>
    <n v="5.3"/>
    <n v="2.7"/>
    <n v="9.1999999999999993"/>
    <n v="3.79"/>
    <x v="1"/>
    <n v="0.8"/>
    <x v="0"/>
    <n v="8"/>
    <n v="6"/>
    <n v="4"/>
    <n v="0"/>
    <x v="11"/>
    <m/>
    <x v="1"/>
  </r>
  <r>
    <n v="17"/>
    <x v="1"/>
    <x v="1"/>
    <n v="7.3"/>
    <x v="0"/>
    <n v="6.2"/>
    <n v="1"/>
    <n v="8.3000000000000007"/>
    <n v="2.02"/>
    <x v="2"/>
    <n v="0.2"/>
    <x v="0"/>
    <n v="1"/>
    <n v="6"/>
    <n v="3"/>
    <n v="0"/>
    <x v="4"/>
    <m/>
    <x v="1"/>
  </r>
  <r>
    <n v="17"/>
    <x v="1"/>
    <x v="0"/>
    <n v="1.5"/>
    <x v="1"/>
    <n v="5.5"/>
    <n v="1.7"/>
    <n v="3.2"/>
    <n v="2.93"/>
    <x v="3"/>
    <n v="0.7"/>
    <x v="0"/>
    <n v="4"/>
    <n v="9"/>
    <n v="9"/>
    <n v="0"/>
    <x v="10"/>
    <m/>
    <x v="2"/>
  </r>
  <r>
    <n v="16"/>
    <x v="1"/>
    <x v="0"/>
    <n v="3.8"/>
    <x v="0"/>
    <n v="6.8"/>
    <n v="2.4"/>
    <n v="6.1999999999999993"/>
    <n v="3.1"/>
    <x v="0"/>
    <n v="1.6"/>
    <x v="0"/>
    <n v="6"/>
    <n v="10"/>
    <n v="4"/>
    <n v="0"/>
    <x v="8"/>
    <m/>
    <x v="2"/>
  </r>
  <r>
    <n v="13"/>
    <x v="0"/>
    <x v="1"/>
    <n v="3.6"/>
    <x v="1"/>
    <n v="8.6"/>
    <n v="2.8"/>
    <n v="6.4"/>
    <n v="3.28"/>
    <x v="0"/>
    <n v="0.7"/>
    <x v="1"/>
    <n v="10"/>
    <n v="3"/>
    <n v="5"/>
    <n v="0"/>
    <x v="11"/>
    <m/>
    <x v="1"/>
  </r>
  <r>
    <n v="15"/>
    <x v="0"/>
    <x v="0"/>
    <n v="3.6"/>
    <x v="1"/>
    <n v="4.3"/>
    <n v="2.9"/>
    <n v="6.5"/>
    <n v="2.2000000000000002"/>
    <x v="2"/>
    <n v="1"/>
    <x v="1"/>
    <n v="10"/>
    <n v="9"/>
    <n v="7"/>
    <n v="0"/>
    <x v="19"/>
    <m/>
    <x v="2"/>
  </r>
  <r>
    <n v="17"/>
    <x v="1"/>
    <x v="1"/>
    <n v="5.3"/>
    <x v="0"/>
    <n v="7.4"/>
    <n v="1.2"/>
    <n v="6.5"/>
    <n v="3.41"/>
    <x v="0"/>
    <n v="1.1000000000000001"/>
    <x v="1"/>
    <n v="6"/>
    <n v="3"/>
    <n v="7"/>
    <n v="0"/>
    <x v="13"/>
    <m/>
    <x v="1"/>
  </r>
  <r>
    <n v="19"/>
    <x v="1"/>
    <x v="0"/>
    <n v="4.4000000000000004"/>
    <x v="1"/>
    <n v="4.3"/>
    <n v="0.8"/>
    <n v="5.2"/>
    <n v="2.44"/>
    <x v="2"/>
    <n v="1"/>
    <x v="1"/>
    <n v="9"/>
    <n v="9"/>
    <n v="7"/>
    <n v="0"/>
    <x v="20"/>
    <m/>
    <x v="2"/>
  </r>
  <r>
    <n v="18"/>
    <x v="1"/>
    <x v="0"/>
    <n v="7.7"/>
    <x v="1"/>
    <n v="4.7"/>
    <n v="1.4"/>
    <n v="9.1"/>
    <n v="3.04"/>
    <x v="0"/>
    <n v="0.6"/>
    <x v="2"/>
    <n v="9"/>
    <n v="6"/>
    <n v="6"/>
    <n v="0"/>
    <x v="7"/>
    <m/>
    <x v="2"/>
  </r>
  <r>
    <n v="14"/>
    <x v="0"/>
    <x v="1"/>
    <n v="7.1"/>
    <x v="1"/>
    <n v="4.5"/>
    <n v="2.4"/>
    <n v="9.5"/>
    <n v="3.53"/>
    <x v="0"/>
    <n v="0.4"/>
    <x v="1"/>
    <n v="3"/>
    <n v="4"/>
    <n v="4"/>
    <n v="0"/>
    <x v="12"/>
    <m/>
    <x v="1"/>
  </r>
  <r>
    <n v="16"/>
    <x v="1"/>
    <x v="0"/>
    <n v="4.9000000000000004"/>
    <x v="0"/>
    <n v="6.8"/>
    <n v="1"/>
    <n v="5.9"/>
    <n v="3.18"/>
    <x v="0"/>
    <n v="1.9"/>
    <x v="1"/>
    <n v="7"/>
    <n v="4"/>
    <n v="8"/>
    <n v="0"/>
    <x v="1"/>
    <m/>
    <x v="1"/>
  </r>
  <r>
    <n v="19"/>
    <x v="1"/>
    <x v="0"/>
    <n v="4.5999999999999996"/>
    <x v="2"/>
    <n v="8.9"/>
    <n v="1.9"/>
    <n v="6.5"/>
    <n v="2.5"/>
    <x v="3"/>
    <n v="0.4"/>
    <x v="2"/>
    <n v="8"/>
    <n v="1"/>
    <n v="3"/>
    <n v="0"/>
    <x v="17"/>
    <m/>
    <x v="1"/>
  </r>
  <r>
    <n v="19"/>
    <x v="1"/>
    <x v="0"/>
    <n v="1.8"/>
    <x v="0"/>
    <n v="6.5"/>
    <n v="2.6"/>
    <n v="4.4000000000000004"/>
    <n v="2.75"/>
    <x v="3"/>
    <n v="1.7"/>
    <x v="1"/>
    <n v="7"/>
    <n v="6"/>
    <n v="1"/>
    <n v="0"/>
    <x v="15"/>
    <m/>
    <x v="1"/>
  </r>
  <r>
    <n v="16"/>
    <x v="1"/>
    <x v="0"/>
    <n v="4.2"/>
    <x v="2"/>
    <n v="5.7"/>
    <n v="1"/>
    <n v="5.2"/>
    <n v="2.77"/>
    <x v="3"/>
    <n v="0.1"/>
    <x v="1"/>
    <n v="10"/>
    <n v="5"/>
    <n v="9"/>
    <n v="0"/>
    <x v="16"/>
    <m/>
    <x v="2"/>
  </r>
  <r>
    <n v="16"/>
    <x v="1"/>
    <x v="0"/>
    <n v="1.5"/>
    <x v="1"/>
    <n v="6.7"/>
    <n v="0.5"/>
    <n v="2"/>
    <n v="2.78"/>
    <x v="3"/>
    <n v="1.2"/>
    <x v="0"/>
    <n v="1"/>
    <n v="9"/>
    <n v="6"/>
    <n v="0"/>
    <x v="13"/>
    <m/>
    <x v="1"/>
  </r>
  <r>
    <n v="19"/>
    <x v="1"/>
    <x v="0"/>
    <n v="7"/>
    <x v="0"/>
    <n v="8.9"/>
    <n v="2.8"/>
    <n v="9.8000000000000007"/>
    <n v="2.84"/>
    <x v="3"/>
    <n v="0.4"/>
    <x v="1"/>
    <n v="6"/>
    <n v="8"/>
    <n v="6"/>
    <n v="0"/>
    <x v="8"/>
    <m/>
    <x v="2"/>
  </r>
  <r>
    <n v="14"/>
    <x v="0"/>
    <x v="1"/>
    <n v="6.5"/>
    <x v="2"/>
    <n v="7.8"/>
    <n v="1.5"/>
    <n v="8"/>
    <n v="3.26"/>
    <x v="0"/>
    <n v="0.8"/>
    <x v="2"/>
    <n v="9"/>
    <n v="2"/>
    <n v="3"/>
    <n v="0"/>
    <x v="15"/>
    <m/>
    <x v="1"/>
  </r>
  <r>
    <n v="19"/>
    <x v="1"/>
    <x v="1"/>
    <n v="4.3"/>
    <x v="0"/>
    <n v="5.9"/>
    <n v="2.1"/>
    <n v="6.4"/>
    <n v="2.85"/>
    <x v="3"/>
    <n v="1.7"/>
    <x v="1"/>
    <n v="9"/>
    <n v="9"/>
    <n v="8"/>
    <n v="0"/>
    <x v="19"/>
    <m/>
    <x v="2"/>
  </r>
  <r>
    <n v="16"/>
    <x v="1"/>
    <x v="0"/>
    <n v="7.2"/>
    <x v="2"/>
    <n v="7.7"/>
    <n v="2.5"/>
    <n v="9.6999999999999993"/>
    <n v="2.56"/>
    <x v="3"/>
    <n v="1.7"/>
    <x v="1"/>
    <n v="8"/>
    <n v="7"/>
    <n v="6"/>
    <n v="0"/>
    <x v="7"/>
    <m/>
    <x v="2"/>
  </r>
  <r>
    <n v="13"/>
    <x v="0"/>
    <x v="0"/>
    <n v="7"/>
    <x v="2"/>
    <n v="4.0999999999999996"/>
    <n v="1.9"/>
    <n v="8.9"/>
    <n v="2.2999999999999998"/>
    <x v="2"/>
    <n v="0.3"/>
    <x v="2"/>
    <n v="3"/>
    <n v="10"/>
    <n v="6"/>
    <n v="0"/>
    <x v="1"/>
    <m/>
    <x v="1"/>
  </r>
  <r>
    <n v="18"/>
    <x v="1"/>
    <x v="1"/>
    <n v="3.8"/>
    <x v="2"/>
    <n v="5.4"/>
    <n v="1.7"/>
    <n v="5.5"/>
    <n v="3.06"/>
    <x v="0"/>
    <n v="1.9"/>
    <x v="2"/>
    <n v="5"/>
    <n v="10"/>
    <n v="3"/>
    <n v="0"/>
    <x v="11"/>
    <m/>
    <x v="1"/>
  </r>
  <r>
    <n v="17"/>
    <x v="1"/>
    <x v="1"/>
    <n v="3"/>
    <x v="0"/>
    <n v="6.9"/>
    <n v="2.2999999999999998"/>
    <n v="5.3"/>
    <n v="3.34"/>
    <x v="0"/>
    <n v="0.6"/>
    <x v="0"/>
    <n v="5"/>
    <n v="2"/>
    <n v="9"/>
    <n v="0"/>
    <x v="13"/>
    <m/>
    <x v="1"/>
  </r>
  <r>
    <n v="14"/>
    <x v="0"/>
    <x v="1"/>
    <n v="7"/>
    <x v="1"/>
    <n v="7.8"/>
    <n v="1.1000000000000001"/>
    <n v="8.1"/>
    <n v="3.81"/>
    <x v="1"/>
    <n v="1.4"/>
    <x v="2"/>
    <n v="10"/>
    <n v="4"/>
    <n v="2"/>
    <n v="0"/>
    <x v="13"/>
    <m/>
    <x v="1"/>
  </r>
  <r>
    <n v="13"/>
    <x v="0"/>
    <x v="0"/>
    <n v="4.5999999999999996"/>
    <x v="1"/>
    <n v="5.3"/>
    <n v="2.2999999999999998"/>
    <n v="6.8999999999999995"/>
    <n v="2.42"/>
    <x v="2"/>
    <n v="0.2"/>
    <x v="0"/>
    <n v="5"/>
    <n v="9"/>
    <n v="5"/>
    <n v="0"/>
    <x v="1"/>
    <m/>
    <x v="1"/>
  </r>
  <r>
    <n v="16"/>
    <x v="1"/>
    <x v="0"/>
    <n v="3.4"/>
    <x v="2"/>
    <n v="8.9"/>
    <n v="2.6"/>
    <n v="6"/>
    <n v="2.54"/>
    <x v="3"/>
    <n v="1.8"/>
    <x v="1"/>
    <n v="6"/>
    <n v="2"/>
    <n v="5"/>
    <n v="0"/>
    <x v="18"/>
    <m/>
    <x v="1"/>
  </r>
  <r>
    <n v="19"/>
    <x v="1"/>
    <x v="1"/>
    <n v="3.5"/>
    <x v="1"/>
    <n v="6.7"/>
    <n v="2.7"/>
    <n v="6.2"/>
    <n v="3.4"/>
    <x v="0"/>
    <n v="1.2"/>
    <x v="0"/>
    <n v="4"/>
    <n v="6"/>
    <n v="7"/>
    <n v="0"/>
    <x v="3"/>
    <m/>
    <x v="1"/>
  </r>
  <r>
    <n v="14"/>
    <x v="0"/>
    <x v="1"/>
    <n v="4.4000000000000004"/>
    <x v="2"/>
    <n v="7.3"/>
    <n v="2.7"/>
    <n v="7.1000000000000005"/>
    <n v="3.3"/>
    <x v="0"/>
    <n v="1.1000000000000001"/>
    <x v="0"/>
    <n v="2"/>
    <n v="1"/>
    <n v="9"/>
    <n v="0"/>
    <x v="17"/>
    <m/>
    <x v="1"/>
  </r>
  <r>
    <n v="14"/>
    <x v="0"/>
    <x v="1"/>
    <n v="1.8"/>
    <x v="2"/>
    <n v="8.1999999999999993"/>
    <n v="2.2000000000000002"/>
    <n v="4"/>
    <n v="3.36"/>
    <x v="0"/>
    <n v="1.7"/>
    <x v="1"/>
    <n v="9"/>
    <n v="5"/>
    <n v="10"/>
    <n v="0"/>
    <x v="16"/>
    <m/>
    <x v="2"/>
  </r>
  <r>
    <n v="17"/>
    <x v="1"/>
    <x v="0"/>
    <n v="3.9"/>
    <x v="2"/>
    <n v="7.7"/>
    <n v="1"/>
    <n v="4.9000000000000004"/>
    <n v="2.1"/>
    <x v="2"/>
    <n v="1.8"/>
    <x v="1"/>
    <n v="7"/>
    <n v="4"/>
    <n v="5"/>
    <n v="0"/>
    <x v="13"/>
    <m/>
    <x v="1"/>
  </r>
  <r>
    <n v="14"/>
    <x v="0"/>
    <x v="1"/>
    <n v="4.4000000000000004"/>
    <x v="1"/>
    <n v="5.7"/>
    <n v="1"/>
    <n v="5.4"/>
    <n v="3.2"/>
    <x v="0"/>
    <n v="1.9"/>
    <x v="1"/>
    <n v="4"/>
    <n v="2"/>
    <n v="2"/>
    <n v="0"/>
    <x v="2"/>
    <m/>
    <x v="0"/>
  </r>
  <r>
    <n v="13"/>
    <x v="0"/>
    <x v="1"/>
    <n v="2"/>
    <x v="0"/>
    <n v="8.6999999999999993"/>
    <n v="1.9"/>
    <n v="3.9"/>
    <n v="2.2799999999999998"/>
    <x v="2"/>
    <n v="1.2"/>
    <x v="2"/>
    <n v="7"/>
    <n v="7"/>
    <n v="9"/>
    <n v="0"/>
    <x v="22"/>
    <m/>
    <x v="2"/>
  </r>
  <r>
    <n v="17"/>
    <x v="1"/>
    <x v="0"/>
    <n v="7.2"/>
    <x v="1"/>
    <n v="8.8000000000000007"/>
    <n v="2.5"/>
    <n v="9.6999999999999993"/>
    <n v="3.97"/>
    <x v="1"/>
    <n v="1.9"/>
    <x v="0"/>
    <n v="1"/>
    <n v="3"/>
    <n v="9"/>
    <n v="0"/>
    <x v="18"/>
    <m/>
    <x v="1"/>
  </r>
  <r>
    <n v="19"/>
    <x v="1"/>
    <x v="0"/>
    <n v="4.4000000000000004"/>
    <x v="2"/>
    <n v="6.4"/>
    <n v="0.9"/>
    <n v="5.3000000000000007"/>
    <n v="2.72"/>
    <x v="3"/>
    <n v="0.2"/>
    <x v="2"/>
    <n v="6"/>
    <n v="9"/>
    <n v="8"/>
    <n v="0"/>
    <x v="22"/>
    <m/>
    <x v="2"/>
  </r>
  <r>
    <n v="14"/>
    <x v="0"/>
    <x v="0"/>
    <n v="7.2"/>
    <x v="1"/>
    <n v="4.8"/>
    <n v="1.4"/>
    <n v="8.6"/>
    <n v="2.36"/>
    <x v="2"/>
    <n v="0.1"/>
    <x v="0"/>
    <n v="5"/>
    <n v="7"/>
    <n v="1"/>
    <n v="0"/>
    <x v="18"/>
    <m/>
    <x v="1"/>
  </r>
  <r>
    <n v="13"/>
    <x v="0"/>
    <x v="0"/>
    <n v="5.4"/>
    <x v="0"/>
    <n v="6.5"/>
    <n v="0.8"/>
    <n v="6.2"/>
    <n v="3.17"/>
    <x v="0"/>
    <n v="0.3"/>
    <x v="2"/>
    <n v="10"/>
    <n v="3"/>
    <n v="3"/>
    <n v="0"/>
    <x v="13"/>
    <m/>
    <x v="1"/>
  </r>
  <r>
    <n v="16"/>
    <x v="1"/>
    <x v="0"/>
    <n v="1.5"/>
    <x v="1"/>
    <n v="4.0999999999999996"/>
    <n v="1.3"/>
    <n v="2.8"/>
    <n v="3.67"/>
    <x v="1"/>
    <n v="1.2"/>
    <x v="1"/>
    <n v="10"/>
    <n v="6"/>
    <n v="6"/>
    <n v="0"/>
    <x v="10"/>
    <m/>
    <x v="2"/>
  </r>
  <r>
    <n v="15"/>
    <x v="0"/>
    <x v="1"/>
    <n v="1.8"/>
    <x v="0"/>
    <n v="8"/>
    <n v="2.8"/>
    <n v="4.5999999999999996"/>
    <n v="3.49"/>
    <x v="0"/>
    <n v="0.6"/>
    <x v="0"/>
    <n v="9"/>
    <n v="8"/>
    <n v="8"/>
    <n v="0"/>
    <x v="20"/>
    <m/>
    <x v="2"/>
  </r>
  <r>
    <n v="17"/>
    <x v="1"/>
    <x v="1"/>
    <n v="3.7"/>
    <x v="1"/>
    <n v="5.3"/>
    <n v="0.7"/>
    <n v="4.4000000000000004"/>
    <n v="2.09"/>
    <x v="2"/>
    <n v="0.8"/>
    <x v="1"/>
    <n v="8"/>
    <n v="8"/>
    <n v="10"/>
    <n v="0"/>
    <x v="19"/>
    <m/>
    <x v="2"/>
  </r>
  <r>
    <n v="13"/>
    <x v="0"/>
    <x v="0"/>
    <n v="6.4"/>
    <x v="2"/>
    <n v="8.3000000000000007"/>
    <n v="1.3"/>
    <n v="7.7"/>
    <n v="2.21"/>
    <x v="2"/>
    <n v="1.2"/>
    <x v="1"/>
    <n v="4"/>
    <n v="5"/>
    <n v="9"/>
    <n v="0"/>
    <x v="11"/>
    <m/>
    <x v="1"/>
  </r>
  <r>
    <n v="19"/>
    <x v="1"/>
    <x v="0"/>
    <n v="6.4"/>
    <x v="2"/>
    <n v="6.7"/>
    <n v="2.4"/>
    <n v="8.8000000000000007"/>
    <n v="2.2000000000000002"/>
    <x v="2"/>
    <n v="1.3"/>
    <x v="0"/>
    <n v="5"/>
    <n v="2"/>
    <n v="2"/>
    <n v="0"/>
    <x v="6"/>
    <m/>
    <x v="0"/>
  </r>
  <r>
    <n v="17"/>
    <x v="1"/>
    <x v="1"/>
    <n v="1.1000000000000001"/>
    <x v="0"/>
    <n v="9"/>
    <n v="2.9"/>
    <n v="4"/>
    <n v="2.74"/>
    <x v="3"/>
    <n v="1"/>
    <x v="2"/>
    <n v="2"/>
    <n v="8"/>
    <n v="2"/>
    <n v="0"/>
    <x v="17"/>
    <m/>
    <x v="1"/>
  </r>
  <r>
    <n v="13"/>
    <x v="0"/>
    <x v="0"/>
    <n v="1.3"/>
    <x v="1"/>
    <n v="7.8"/>
    <n v="2.6"/>
    <n v="3.9000000000000004"/>
    <n v="3.01"/>
    <x v="0"/>
    <n v="0.3"/>
    <x v="0"/>
    <n v="2"/>
    <n v="9"/>
    <n v="10"/>
    <n v="0"/>
    <x v="7"/>
    <m/>
    <x v="2"/>
  </r>
  <r>
    <n v="17"/>
    <x v="1"/>
    <x v="1"/>
    <n v="4.4000000000000004"/>
    <x v="0"/>
    <n v="6"/>
    <n v="1.2"/>
    <n v="5.6000000000000005"/>
    <n v="2.48"/>
    <x v="2"/>
    <n v="0.9"/>
    <x v="2"/>
    <n v="6"/>
    <n v="2"/>
    <n v="6"/>
    <n v="0"/>
    <x v="15"/>
    <m/>
    <x v="1"/>
  </r>
  <r>
    <n v="13"/>
    <x v="0"/>
    <x v="0"/>
    <n v="7.8"/>
    <x v="0"/>
    <n v="5"/>
    <n v="1.8"/>
    <n v="9.6"/>
    <n v="3.57"/>
    <x v="0"/>
    <n v="1.5"/>
    <x v="2"/>
    <n v="8"/>
    <n v="10"/>
    <n v="3"/>
    <n v="1"/>
    <x v="10"/>
    <m/>
    <x v="2"/>
  </r>
  <r>
    <n v="14"/>
    <x v="0"/>
    <x v="1"/>
    <n v="6.9"/>
    <x v="1"/>
    <n v="6.4"/>
    <n v="0.9"/>
    <n v="7.8000000000000007"/>
    <n v="2.04"/>
    <x v="2"/>
    <n v="1.3"/>
    <x v="2"/>
    <n v="5"/>
    <n v="5"/>
    <n v="9"/>
    <n v="0"/>
    <x v="1"/>
    <m/>
    <x v="1"/>
  </r>
  <r>
    <n v="14"/>
    <x v="0"/>
    <x v="1"/>
    <n v="4.8"/>
    <x v="0"/>
    <n v="6.8"/>
    <n v="0.8"/>
    <n v="5.6"/>
    <n v="3"/>
    <x v="0"/>
    <n v="0.9"/>
    <x v="0"/>
    <n v="4"/>
    <n v="3"/>
    <n v="4"/>
    <n v="0"/>
    <x v="12"/>
    <m/>
    <x v="1"/>
  </r>
  <r>
    <n v="13"/>
    <x v="0"/>
    <x v="0"/>
    <n v="7.5"/>
    <x v="0"/>
    <n v="8.6"/>
    <n v="1.9"/>
    <n v="9.4"/>
    <n v="3.33"/>
    <x v="0"/>
    <n v="0.9"/>
    <x v="2"/>
    <n v="7"/>
    <n v="3"/>
    <n v="10"/>
    <n v="0"/>
    <x v="8"/>
    <m/>
    <x v="2"/>
  </r>
  <r>
    <n v="15"/>
    <x v="0"/>
    <x v="1"/>
    <n v="6.7"/>
    <x v="0"/>
    <n v="7"/>
    <n v="2.2000000000000002"/>
    <n v="8.9"/>
    <n v="2.61"/>
    <x v="3"/>
    <n v="0.7"/>
    <x v="1"/>
    <n v="2"/>
    <n v="7"/>
    <n v="8"/>
    <n v="0"/>
    <x v="3"/>
    <m/>
    <x v="1"/>
  </r>
  <r>
    <n v="14"/>
    <x v="0"/>
    <x v="0"/>
    <n v="3.8"/>
    <x v="0"/>
    <n v="4.8"/>
    <n v="1.9"/>
    <n v="5.6999999999999993"/>
    <n v="3.97"/>
    <x v="1"/>
    <n v="0.2"/>
    <x v="1"/>
    <n v="4"/>
    <n v="6"/>
    <n v="6"/>
    <n v="0"/>
    <x v="13"/>
    <m/>
    <x v="1"/>
  </r>
  <r>
    <n v="15"/>
    <x v="0"/>
    <x v="0"/>
    <n v="3"/>
    <x v="0"/>
    <n v="8.6"/>
    <n v="1.5"/>
    <n v="4.5"/>
    <n v="3.27"/>
    <x v="0"/>
    <n v="0.8"/>
    <x v="2"/>
    <n v="10"/>
    <n v="10"/>
    <n v="4"/>
    <n v="0"/>
    <x v="16"/>
    <m/>
    <x v="2"/>
  </r>
  <r>
    <n v="17"/>
    <x v="1"/>
    <x v="0"/>
    <n v="7.8"/>
    <x v="1"/>
    <n v="7.1"/>
    <n v="0.8"/>
    <n v="8.6"/>
    <n v="2.79"/>
    <x v="3"/>
    <n v="1.4"/>
    <x v="2"/>
    <n v="9"/>
    <n v="4"/>
    <n v="2"/>
    <n v="0"/>
    <x v="5"/>
    <m/>
    <x v="1"/>
  </r>
  <r>
    <n v="14"/>
    <x v="0"/>
    <x v="1"/>
    <n v="7.8"/>
    <x v="0"/>
    <n v="4.3"/>
    <n v="2.6"/>
    <n v="10.4"/>
    <n v="3.33"/>
    <x v="0"/>
    <n v="2"/>
    <x v="1"/>
    <n v="3"/>
    <n v="7"/>
    <n v="3"/>
    <n v="0"/>
    <x v="18"/>
    <m/>
    <x v="1"/>
  </r>
  <r>
    <n v="15"/>
    <x v="0"/>
    <x v="1"/>
    <n v="6.6"/>
    <x v="1"/>
    <n v="9"/>
    <n v="1.5"/>
    <n v="8.1"/>
    <n v="3.04"/>
    <x v="0"/>
    <n v="1.5"/>
    <x v="0"/>
    <n v="4"/>
    <n v="2"/>
    <n v="7"/>
    <n v="0"/>
    <x v="18"/>
    <m/>
    <x v="1"/>
  </r>
  <r>
    <n v="13"/>
    <x v="0"/>
    <x v="1"/>
    <n v="7.3"/>
    <x v="0"/>
    <n v="6.4"/>
    <n v="2.2999999999999998"/>
    <n v="9.6"/>
    <n v="2.5299999999999998"/>
    <x v="3"/>
    <n v="0.7"/>
    <x v="0"/>
    <n v="9"/>
    <n v="9"/>
    <n v="4"/>
    <n v="0"/>
    <x v="10"/>
    <m/>
    <x v="2"/>
  </r>
  <r>
    <n v="19"/>
    <x v="1"/>
    <x v="0"/>
    <n v="6.6"/>
    <x v="0"/>
    <n v="4.4000000000000004"/>
    <n v="1.1000000000000001"/>
    <n v="7.6999999999999993"/>
    <n v="2.29"/>
    <x v="2"/>
    <n v="1"/>
    <x v="0"/>
    <n v="6"/>
    <n v="8"/>
    <n v="5"/>
    <n v="0"/>
    <x v="1"/>
    <m/>
    <x v="1"/>
  </r>
  <r>
    <n v="19"/>
    <x v="1"/>
    <x v="1"/>
    <n v="5.6"/>
    <x v="1"/>
    <n v="8.1"/>
    <n v="3"/>
    <n v="8.6"/>
    <n v="2.75"/>
    <x v="3"/>
    <n v="0.7"/>
    <x v="2"/>
    <n v="6"/>
    <n v="3"/>
    <n v="4"/>
    <n v="0"/>
    <x v="18"/>
    <m/>
    <x v="1"/>
  </r>
  <r>
    <n v="13"/>
    <x v="0"/>
    <x v="1"/>
    <n v="8"/>
    <x v="0"/>
    <n v="5.4"/>
    <n v="2.8"/>
    <n v="10.8"/>
    <n v="3.1"/>
    <x v="0"/>
    <n v="1.9"/>
    <x v="1"/>
    <n v="6"/>
    <n v="10"/>
    <n v="10"/>
    <n v="0"/>
    <x v="19"/>
    <m/>
    <x v="2"/>
  </r>
  <r>
    <n v="13"/>
    <x v="0"/>
    <x v="1"/>
    <n v="1.3"/>
    <x v="0"/>
    <n v="8.9"/>
    <n v="2.6"/>
    <n v="3.9000000000000004"/>
    <n v="3.54"/>
    <x v="0"/>
    <n v="1.2"/>
    <x v="1"/>
    <n v="8"/>
    <n v="5"/>
    <n v="2"/>
    <n v="0"/>
    <x v="5"/>
    <m/>
    <x v="1"/>
  </r>
  <r>
    <n v="15"/>
    <x v="0"/>
    <x v="1"/>
    <n v="5.9"/>
    <x v="2"/>
    <n v="6.9"/>
    <n v="1.4"/>
    <n v="7.3000000000000007"/>
    <n v="3.62"/>
    <x v="1"/>
    <n v="1.5"/>
    <x v="2"/>
    <n v="3"/>
    <n v="9"/>
    <n v="1"/>
    <n v="0"/>
    <x v="18"/>
    <m/>
    <x v="1"/>
  </r>
  <r>
    <n v="14"/>
    <x v="0"/>
    <x v="1"/>
    <n v="2"/>
    <x v="0"/>
    <n v="8.8000000000000007"/>
    <n v="0.9"/>
    <n v="2.9"/>
    <n v="3.61"/>
    <x v="1"/>
    <n v="0.7"/>
    <x v="1"/>
    <n v="10"/>
    <n v="2"/>
    <n v="3"/>
    <n v="0"/>
    <x v="5"/>
    <m/>
    <x v="1"/>
  </r>
  <r>
    <n v="19"/>
    <x v="1"/>
    <x v="1"/>
    <n v="1.4"/>
    <x v="0"/>
    <n v="6.6"/>
    <n v="1.8"/>
    <n v="3.2"/>
    <n v="3.07"/>
    <x v="0"/>
    <n v="0"/>
    <x v="0"/>
    <n v="5"/>
    <n v="2"/>
    <n v="6"/>
    <n v="0"/>
    <x v="18"/>
    <m/>
    <x v="1"/>
  </r>
  <r>
    <n v="13"/>
    <x v="0"/>
    <x v="1"/>
    <n v="6.4"/>
    <x v="2"/>
    <n v="6.7"/>
    <n v="0.8"/>
    <n v="7.2"/>
    <n v="3.9"/>
    <x v="1"/>
    <n v="1.9"/>
    <x v="1"/>
    <n v="3"/>
    <n v="3"/>
    <n v="10"/>
    <n v="0"/>
    <x v="13"/>
    <m/>
    <x v="1"/>
  </r>
  <r>
    <n v="15"/>
    <x v="0"/>
    <x v="0"/>
    <n v="7.6"/>
    <x v="1"/>
    <n v="7.9"/>
    <n v="0.8"/>
    <n v="8.4"/>
    <n v="3.55"/>
    <x v="0"/>
    <n v="1.9"/>
    <x v="1"/>
    <n v="10"/>
    <n v="8"/>
    <n v="6"/>
    <n v="0"/>
    <x v="16"/>
    <m/>
    <x v="2"/>
  </r>
  <r>
    <n v="16"/>
    <x v="1"/>
    <x v="0"/>
    <n v="7.9"/>
    <x v="2"/>
    <n v="5.5"/>
    <n v="0.6"/>
    <n v="8.5"/>
    <n v="3.65"/>
    <x v="1"/>
    <n v="1.4"/>
    <x v="0"/>
    <n v="1"/>
    <n v="4"/>
    <n v="1"/>
    <n v="0"/>
    <x v="9"/>
    <m/>
    <x v="0"/>
  </r>
  <r>
    <n v="15"/>
    <x v="0"/>
    <x v="0"/>
    <n v="5.0999999999999996"/>
    <x v="0"/>
    <n v="4.0999999999999996"/>
    <n v="2.8"/>
    <n v="7.8999999999999995"/>
    <n v="3.79"/>
    <x v="1"/>
    <n v="0.8"/>
    <x v="2"/>
    <n v="9"/>
    <n v="7"/>
    <n v="3"/>
    <n v="1"/>
    <x v="8"/>
    <m/>
    <x v="2"/>
  </r>
  <r>
    <n v="18"/>
    <x v="1"/>
    <x v="0"/>
    <n v="6.4"/>
    <x v="1"/>
    <n v="7.4"/>
    <n v="1.5"/>
    <n v="7.9"/>
    <n v="2.92"/>
    <x v="3"/>
    <n v="0.6"/>
    <x v="0"/>
    <n v="9"/>
    <n v="2"/>
    <n v="5"/>
    <n v="0"/>
    <x v="13"/>
    <m/>
    <x v="1"/>
  </r>
  <r>
    <n v="13"/>
    <x v="0"/>
    <x v="1"/>
    <n v="7.2"/>
    <x v="2"/>
    <n v="6.7"/>
    <n v="0.9"/>
    <n v="8.1"/>
    <n v="2.36"/>
    <x v="2"/>
    <n v="0.6"/>
    <x v="0"/>
    <n v="8"/>
    <n v="8"/>
    <n v="1"/>
    <n v="0"/>
    <x v="3"/>
    <m/>
    <x v="1"/>
  </r>
  <r>
    <n v="18"/>
    <x v="1"/>
    <x v="1"/>
    <n v="2.9"/>
    <x v="2"/>
    <n v="4.5999999999999996"/>
    <n v="2.2999999999999998"/>
    <n v="5.1999999999999993"/>
    <n v="3.03"/>
    <x v="0"/>
    <n v="0.3"/>
    <x v="0"/>
    <n v="6"/>
    <n v="1"/>
    <n v="9"/>
    <n v="0"/>
    <x v="13"/>
    <m/>
    <x v="1"/>
  </r>
  <r>
    <n v="19"/>
    <x v="1"/>
    <x v="0"/>
    <n v="1.5"/>
    <x v="0"/>
    <n v="7.3"/>
    <n v="2.7"/>
    <n v="4.2"/>
    <n v="2.61"/>
    <x v="3"/>
    <n v="0.9"/>
    <x v="0"/>
    <n v="5"/>
    <n v="7"/>
    <n v="10"/>
    <n v="0"/>
    <x v="10"/>
    <m/>
    <x v="2"/>
  </r>
  <r>
    <n v="14"/>
    <x v="0"/>
    <x v="0"/>
    <n v="5.4"/>
    <x v="2"/>
    <n v="8.1"/>
    <n v="1.8"/>
    <n v="7.2"/>
    <n v="2.5299999999999998"/>
    <x v="3"/>
    <n v="0.9"/>
    <x v="2"/>
    <n v="5"/>
    <n v="8"/>
    <n v="8"/>
    <n v="0"/>
    <x v="7"/>
    <m/>
    <x v="2"/>
  </r>
  <r>
    <n v="13"/>
    <x v="0"/>
    <x v="0"/>
    <n v="7.2"/>
    <x v="1"/>
    <n v="4.0999999999999996"/>
    <n v="1.3"/>
    <n v="8.5"/>
    <n v="2.4900000000000002"/>
    <x v="2"/>
    <n v="1.8"/>
    <x v="2"/>
    <n v="5"/>
    <n v="5"/>
    <n v="4"/>
    <n v="0"/>
    <x v="15"/>
    <m/>
    <x v="1"/>
  </r>
  <r>
    <n v="15"/>
    <x v="0"/>
    <x v="1"/>
    <n v="7"/>
    <x v="0"/>
    <n v="5.9"/>
    <n v="1.3"/>
    <n v="8.3000000000000007"/>
    <n v="2.91"/>
    <x v="3"/>
    <n v="1.2"/>
    <x v="0"/>
    <n v="10"/>
    <n v="2"/>
    <n v="6"/>
    <n v="0"/>
    <x v="11"/>
    <m/>
    <x v="1"/>
  </r>
  <r>
    <n v="17"/>
    <x v="1"/>
    <x v="1"/>
    <n v="7.5"/>
    <x v="1"/>
    <n v="6.7"/>
    <n v="1.1000000000000001"/>
    <n v="8.6"/>
    <n v="3.77"/>
    <x v="1"/>
    <n v="0.6"/>
    <x v="1"/>
    <n v="3"/>
    <n v="8"/>
    <n v="6"/>
    <n v="0"/>
    <x v="3"/>
    <m/>
    <x v="1"/>
  </r>
  <r>
    <n v="14"/>
    <x v="0"/>
    <x v="0"/>
    <n v="1.4"/>
    <x v="2"/>
    <n v="7"/>
    <n v="1.8"/>
    <n v="3.2"/>
    <n v="2.69"/>
    <x v="3"/>
    <n v="0.9"/>
    <x v="0"/>
    <n v="10"/>
    <n v="4"/>
    <n v="2"/>
    <n v="0"/>
    <x v="13"/>
    <m/>
    <x v="1"/>
  </r>
  <r>
    <n v="16"/>
    <x v="1"/>
    <x v="1"/>
    <n v="6.1"/>
    <x v="0"/>
    <n v="8.1"/>
    <n v="1.4"/>
    <n v="7.5"/>
    <n v="3.27"/>
    <x v="0"/>
    <n v="1.6"/>
    <x v="0"/>
    <n v="10"/>
    <n v="1"/>
    <n v="4"/>
    <n v="0"/>
    <x v="5"/>
    <m/>
    <x v="1"/>
  </r>
  <r>
    <n v="16"/>
    <x v="1"/>
    <x v="1"/>
    <n v="1.4"/>
    <x v="2"/>
    <n v="5.2"/>
    <n v="1.7"/>
    <n v="3.0999999999999996"/>
    <n v="3.82"/>
    <x v="1"/>
    <n v="0.7"/>
    <x v="0"/>
    <n v="10"/>
    <n v="4"/>
    <n v="3"/>
    <n v="0"/>
    <x v="3"/>
    <m/>
    <x v="1"/>
  </r>
  <r>
    <n v="13"/>
    <x v="0"/>
    <x v="0"/>
    <n v="5.4"/>
    <x v="0"/>
    <n v="4.0999999999999996"/>
    <n v="2"/>
    <n v="7.4"/>
    <n v="3.82"/>
    <x v="1"/>
    <n v="1.9"/>
    <x v="2"/>
    <n v="6"/>
    <n v="10"/>
    <n v="8"/>
    <n v="0"/>
    <x v="16"/>
    <m/>
    <x v="2"/>
  </r>
  <r>
    <n v="13"/>
    <x v="0"/>
    <x v="1"/>
    <n v="2.1"/>
    <x v="0"/>
    <n v="8.1999999999999993"/>
    <n v="0.9"/>
    <n v="3"/>
    <n v="2.48"/>
    <x v="2"/>
    <n v="0.5"/>
    <x v="1"/>
    <n v="2"/>
    <n v="7"/>
    <n v="6"/>
    <n v="0"/>
    <x v="5"/>
    <m/>
    <x v="1"/>
  </r>
  <r>
    <n v="14"/>
    <x v="0"/>
    <x v="0"/>
    <n v="5"/>
    <x v="2"/>
    <n v="4.3"/>
    <n v="1.1000000000000001"/>
    <n v="6.1"/>
    <n v="3.8"/>
    <x v="1"/>
    <n v="0.4"/>
    <x v="2"/>
    <n v="9"/>
    <n v="4"/>
    <n v="10"/>
    <n v="0"/>
    <x v="22"/>
    <m/>
    <x v="2"/>
  </r>
  <r>
    <n v="13"/>
    <x v="0"/>
    <x v="1"/>
    <n v="4.4000000000000004"/>
    <x v="0"/>
    <n v="4.3"/>
    <n v="1.9"/>
    <n v="6.3000000000000007"/>
    <n v="3.51"/>
    <x v="0"/>
    <n v="0.9"/>
    <x v="2"/>
    <n v="8"/>
    <n v="4"/>
    <n v="3"/>
    <n v="0"/>
    <x v="5"/>
    <m/>
    <x v="1"/>
  </r>
  <r>
    <n v="13"/>
    <x v="0"/>
    <x v="0"/>
    <n v="3.4"/>
    <x v="2"/>
    <n v="8.6"/>
    <n v="0.8"/>
    <n v="4.2"/>
    <n v="3.08"/>
    <x v="0"/>
    <n v="0.4"/>
    <x v="0"/>
    <n v="7"/>
    <n v="10"/>
    <n v="6"/>
    <n v="0"/>
    <x v="22"/>
    <m/>
    <x v="2"/>
  </r>
  <r>
    <n v="18"/>
    <x v="1"/>
    <x v="0"/>
    <n v="1.2"/>
    <x v="0"/>
    <n v="6.4"/>
    <n v="1.3"/>
    <n v="2.5"/>
    <n v="3.03"/>
    <x v="0"/>
    <n v="1"/>
    <x v="0"/>
    <n v="5"/>
    <n v="9"/>
    <n v="10"/>
    <n v="0"/>
    <x v="16"/>
    <m/>
    <x v="2"/>
  </r>
  <r>
    <n v="14"/>
    <x v="0"/>
    <x v="0"/>
    <n v="5.5"/>
    <x v="1"/>
    <n v="7.3"/>
    <n v="1.4"/>
    <n v="6.9"/>
    <n v="2.61"/>
    <x v="3"/>
    <n v="1.2"/>
    <x v="1"/>
    <n v="5"/>
    <n v="7"/>
    <n v="1"/>
    <n v="0"/>
    <x v="18"/>
    <m/>
    <x v="1"/>
  </r>
  <r>
    <n v="15"/>
    <x v="0"/>
    <x v="0"/>
    <n v="2.2999999999999998"/>
    <x v="2"/>
    <n v="7.8"/>
    <n v="3"/>
    <n v="5.3"/>
    <n v="2.2999999999999998"/>
    <x v="2"/>
    <n v="1.4"/>
    <x v="2"/>
    <n v="4"/>
    <n v="9"/>
    <n v="10"/>
    <n v="0"/>
    <x v="22"/>
    <m/>
    <x v="2"/>
  </r>
  <r>
    <n v="13"/>
    <x v="0"/>
    <x v="1"/>
    <n v="1.4"/>
    <x v="2"/>
    <n v="7.4"/>
    <n v="0.5"/>
    <n v="1.9"/>
    <n v="2.3199999999999998"/>
    <x v="2"/>
    <n v="1.3"/>
    <x v="0"/>
    <n v="3"/>
    <n v="2"/>
    <n v="6"/>
    <n v="0"/>
    <x v="12"/>
    <m/>
    <x v="1"/>
  </r>
  <r>
    <n v="13"/>
    <x v="0"/>
    <x v="1"/>
    <n v="3"/>
    <x v="0"/>
    <n v="7"/>
    <n v="0.9"/>
    <n v="3.9"/>
    <n v="2.73"/>
    <x v="3"/>
    <n v="1.7"/>
    <x v="1"/>
    <n v="5"/>
    <n v="6"/>
    <n v="9"/>
    <n v="0"/>
    <x v="8"/>
    <m/>
    <x v="2"/>
  </r>
  <r>
    <n v="14"/>
    <x v="0"/>
    <x v="0"/>
    <n v="2.8"/>
    <x v="0"/>
    <n v="5"/>
    <n v="2.5"/>
    <n v="5.3"/>
    <n v="3.92"/>
    <x v="1"/>
    <n v="1.8"/>
    <x v="1"/>
    <n v="1"/>
    <n v="3"/>
    <n v="4"/>
    <n v="0"/>
    <x v="2"/>
    <m/>
    <x v="0"/>
  </r>
  <r>
    <n v="14"/>
    <x v="0"/>
    <x v="0"/>
    <n v="7"/>
    <x v="1"/>
    <n v="6.9"/>
    <n v="1"/>
    <n v="8"/>
    <n v="3.93"/>
    <x v="1"/>
    <n v="1.1000000000000001"/>
    <x v="1"/>
    <n v="9"/>
    <n v="3"/>
    <n v="7"/>
    <n v="0"/>
    <x v="1"/>
    <m/>
    <x v="1"/>
  </r>
  <r>
    <n v="13"/>
    <x v="0"/>
    <x v="1"/>
    <n v="1.6"/>
    <x v="2"/>
    <n v="8.4"/>
    <n v="1.4"/>
    <n v="3"/>
    <n v="3.47"/>
    <x v="0"/>
    <n v="0.1"/>
    <x v="2"/>
    <n v="1"/>
    <n v="6"/>
    <n v="6"/>
    <n v="0"/>
    <x v="18"/>
    <m/>
    <x v="1"/>
  </r>
  <r>
    <n v="15"/>
    <x v="0"/>
    <x v="1"/>
    <n v="4.2"/>
    <x v="0"/>
    <n v="8.4"/>
    <n v="1.2"/>
    <n v="5.4"/>
    <n v="2.61"/>
    <x v="3"/>
    <n v="0"/>
    <x v="2"/>
    <n v="3"/>
    <n v="10"/>
    <n v="2"/>
    <n v="0"/>
    <x v="5"/>
    <m/>
    <x v="1"/>
  </r>
  <r>
    <n v="17"/>
    <x v="1"/>
    <x v="0"/>
    <n v="4.9000000000000004"/>
    <x v="0"/>
    <n v="8.6"/>
    <n v="3"/>
    <n v="7.9"/>
    <n v="3.62"/>
    <x v="1"/>
    <n v="1.2"/>
    <x v="0"/>
    <n v="6"/>
    <n v="6"/>
    <n v="9"/>
    <n v="0"/>
    <x v="7"/>
    <m/>
    <x v="2"/>
  </r>
  <r>
    <n v="14"/>
    <x v="0"/>
    <x v="1"/>
    <n v="3.6"/>
    <x v="0"/>
    <n v="4.0999999999999996"/>
    <n v="2.9"/>
    <n v="6.5"/>
    <n v="2.83"/>
    <x v="3"/>
    <n v="0.5"/>
    <x v="2"/>
    <n v="10"/>
    <n v="6"/>
    <n v="7"/>
    <n v="0"/>
    <x v="22"/>
    <m/>
    <x v="2"/>
  </r>
  <r>
    <n v="19"/>
    <x v="1"/>
    <x v="0"/>
    <n v="1.8"/>
    <x v="1"/>
    <n v="6"/>
    <n v="2.2999999999999998"/>
    <n v="4.0999999999999996"/>
    <n v="3.22"/>
    <x v="0"/>
    <n v="1"/>
    <x v="2"/>
    <n v="5"/>
    <n v="6"/>
    <n v="8"/>
    <n v="0"/>
    <x v="1"/>
    <m/>
    <x v="1"/>
  </r>
  <r>
    <n v="17"/>
    <x v="1"/>
    <x v="1"/>
    <n v="2.7"/>
    <x v="0"/>
    <n v="5.4"/>
    <n v="2.6"/>
    <n v="5.3000000000000007"/>
    <n v="2.0699999999999998"/>
    <x v="2"/>
    <n v="0"/>
    <x v="2"/>
    <n v="6"/>
    <n v="5"/>
    <n v="6"/>
    <n v="0"/>
    <x v="3"/>
    <m/>
    <x v="1"/>
  </r>
  <r>
    <n v="15"/>
    <x v="0"/>
    <x v="1"/>
    <n v="1.2"/>
    <x v="0"/>
    <n v="5.2"/>
    <n v="1"/>
    <n v="2.2000000000000002"/>
    <n v="2.78"/>
    <x v="3"/>
    <n v="1.3"/>
    <x v="1"/>
    <n v="5"/>
    <n v="8"/>
    <n v="10"/>
    <n v="0"/>
    <x v="22"/>
    <m/>
    <x v="2"/>
  </r>
  <r>
    <n v="18"/>
    <x v="1"/>
    <x v="1"/>
    <n v="6.2"/>
    <x v="2"/>
    <n v="6.7"/>
    <n v="1.4"/>
    <n v="7.6"/>
    <n v="3.42"/>
    <x v="0"/>
    <n v="0.9"/>
    <x v="0"/>
    <n v="6"/>
    <n v="8"/>
    <n v="6"/>
    <n v="0"/>
    <x v="8"/>
    <m/>
    <x v="2"/>
  </r>
  <r>
    <n v="18"/>
    <x v="1"/>
    <x v="0"/>
    <n v="1.6"/>
    <x v="1"/>
    <n v="6.2"/>
    <n v="1.9"/>
    <n v="3.5"/>
    <n v="2.0499999999999998"/>
    <x v="2"/>
    <n v="0.3"/>
    <x v="0"/>
    <n v="8"/>
    <n v="9"/>
    <n v="9"/>
    <n v="0"/>
    <x v="19"/>
    <m/>
    <x v="2"/>
  </r>
  <r>
    <n v="18"/>
    <x v="1"/>
    <x v="1"/>
    <n v="5.0999999999999996"/>
    <x v="1"/>
    <n v="7.4"/>
    <n v="1.3"/>
    <n v="6.3999999999999995"/>
    <n v="3.5"/>
    <x v="0"/>
    <n v="1.6"/>
    <x v="1"/>
    <n v="1"/>
    <n v="5"/>
    <n v="5"/>
    <n v="0"/>
    <x v="12"/>
    <m/>
    <x v="1"/>
  </r>
  <r>
    <n v="13"/>
    <x v="0"/>
    <x v="1"/>
    <n v="5.2"/>
    <x v="1"/>
    <n v="8.1999999999999993"/>
    <n v="2.8"/>
    <n v="8"/>
    <n v="2.12"/>
    <x v="2"/>
    <n v="1.4"/>
    <x v="2"/>
    <n v="1"/>
    <n v="8"/>
    <n v="1"/>
    <n v="0"/>
    <x v="4"/>
    <m/>
    <x v="1"/>
  </r>
  <r>
    <n v="14"/>
    <x v="0"/>
    <x v="0"/>
    <n v="4.0999999999999996"/>
    <x v="1"/>
    <n v="5.0999999999999996"/>
    <n v="2"/>
    <n v="6.1"/>
    <n v="3.51"/>
    <x v="0"/>
    <n v="0.7"/>
    <x v="1"/>
    <n v="2"/>
    <n v="9"/>
    <n v="1"/>
    <n v="0"/>
    <x v="17"/>
    <m/>
    <x v="1"/>
  </r>
  <r>
    <n v="19"/>
    <x v="1"/>
    <x v="1"/>
    <n v="5.4"/>
    <x v="1"/>
    <n v="4.4000000000000004"/>
    <n v="2.2999999999999998"/>
    <n v="7.7"/>
    <n v="3.34"/>
    <x v="0"/>
    <n v="0.4"/>
    <x v="1"/>
    <n v="3"/>
    <n v="3"/>
    <n v="8"/>
    <n v="0"/>
    <x v="15"/>
    <m/>
    <x v="1"/>
  </r>
  <r>
    <n v="13"/>
    <x v="0"/>
    <x v="0"/>
    <n v="2.4"/>
    <x v="1"/>
    <n v="8.4"/>
    <n v="1.6"/>
    <n v="4"/>
    <n v="2.82"/>
    <x v="3"/>
    <n v="1.1000000000000001"/>
    <x v="0"/>
    <n v="1"/>
    <n v="3"/>
    <n v="2"/>
    <n v="0"/>
    <x v="9"/>
    <m/>
    <x v="0"/>
  </r>
  <r>
    <n v="18"/>
    <x v="1"/>
    <x v="0"/>
    <n v="1.7"/>
    <x v="2"/>
    <n v="5.6"/>
    <n v="1.4"/>
    <n v="3.0999999999999996"/>
    <n v="2.85"/>
    <x v="3"/>
    <n v="1"/>
    <x v="1"/>
    <n v="3"/>
    <n v="3"/>
    <n v="7"/>
    <n v="0"/>
    <x v="18"/>
    <m/>
    <x v="1"/>
  </r>
  <r>
    <n v="18"/>
    <x v="1"/>
    <x v="0"/>
    <n v="6"/>
    <x v="2"/>
    <n v="6.1"/>
    <n v="0.9"/>
    <n v="6.9"/>
    <n v="2.68"/>
    <x v="3"/>
    <n v="0.3"/>
    <x v="2"/>
    <n v="2"/>
    <n v="10"/>
    <n v="10"/>
    <n v="0"/>
    <x v="10"/>
    <m/>
    <x v="2"/>
  </r>
  <r>
    <n v="17"/>
    <x v="1"/>
    <x v="0"/>
    <n v="7.2"/>
    <x v="2"/>
    <n v="6.1"/>
    <n v="0.8"/>
    <n v="8"/>
    <n v="3.9"/>
    <x v="1"/>
    <n v="0.2"/>
    <x v="0"/>
    <n v="8"/>
    <n v="3"/>
    <n v="7"/>
    <n v="0"/>
    <x v="11"/>
    <m/>
    <x v="1"/>
  </r>
  <r>
    <n v="18"/>
    <x v="1"/>
    <x v="0"/>
    <n v="3.5"/>
    <x v="1"/>
    <n v="6.3"/>
    <n v="2.9"/>
    <n v="6.4"/>
    <n v="3.35"/>
    <x v="0"/>
    <n v="1.6"/>
    <x v="1"/>
    <n v="1"/>
    <n v="4"/>
    <n v="2"/>
    <n v="0"/>
    <x v="21"/>
    <m/>
    <x v="0"/>
  </r>
  <r>
    <n v="15"/>
    <x v="0"/>
    <x v="1"/>
    <n v="3.8"/>
    <x v="0"/>
    <n v="4.4000000000000004"/>
    <n v="1.9"/>
    <n v="5.6999999999999993"/>
    <n v="2.04"/>
    <x v="2"/>
    <n v="0.5"/>
    <x v="2"/>
    <n v="4"/>
    <n v="9"/>
    <n v="7"/>
    <n v="0"/>
    <x v="8"/>
    <m/>
    <x v="2"/>
  </r>
  <r>
    <n v="18"/>
    <x v="1"/>
    <x v="1"/>
    <n v="4.5"/>
    <x v="2"/>
    <n v="8"/>
    <n v="1.5"/>
    <n v="6"/>
    <n v="3.45"/>
    <x v="0"/>
    <n v="1"/>
    <x v="0"/>
    <n v="4"/>
    <n v="3"/>
    <n v="9"/>
    <n v="0"/>
    <x v="13"/>
    <m/>
    <x v="1"/>
  </r>
  <r>
    <n v="16"/>
    <x v="1"/>
    <x v="1"/>
    <n v="7.3"/>
    <x v="2"/>
    <n v="7.2"/>
    <n v="0.5"/>
    <n v="7.8"/>
    <n v="2.78"/>
    <x v="3"/>
    <n v="1.9"/>
    <x v="0"/>
    <n v="7"/>
    <n v="3"/>
    <n v="9"/>
    <n v="0"/>
    <x v="1"/>
    <m/>
    <x v="1"/>
  </r>
  <r>
    <n v="18"/>
    <x v="1"/>
    <x v="1"/>
    <n v="6.4"/>
    <x v="0"/>
    <n v="7.7"/>
    <n v="0.5"/>
    <n v="6.9"/>
    <n v="3.05"/>
    <x v="0"/>
    <n v="1.2"/>
    <x v="0"/>
    <n v="3"/>
    <n v="1"/>
    <n v="2"/>
    <n v="0"/>
    <x v="9"/>
    <m/>
    <x v="0"/>
  </r>
  <r>
    <n v="16"/>
    <x v="1"/>
    <x v="0"/>
    <n v="5.3"/>
    <x v="1"/>
    <n v="8.4"/>
    <n v="2.2000000000000002"/>
    <n v="7.5"/>
    <n v="2.81"/>
    <x v="3"/>
    <n v="0.6"/>
    <x v="1"/>
    <n v="2"/>
    <n v="8"/>
    <n v="8"/>
    <n v="0"/>
    <x v="11"/>
    <m/>
    <x v="1"/>
  </r>
  <r>
    <n v="13"/>
    <x v="0"/>
    <x v="0"/>
    <n v="2.4"/>
    <x v="0"/>
    <n v="7.1"/>
    <n v="0.7"/>
    <n v="3.0999999999999996"/>
    <n v="3.64"/>
    <x v="1"/>
    <n v="1.1000000000000001"/>
    <x v="1"/>
    <n v="6"/>
    <n v="5"/>
    <n v="5"/>
    <n v="0"/>
    <x v="13"/>
    <m/>
    <x v="1"/>
  </r>
  <r>
    <n v="13"/>
    <x v="0"/>
    <x v="0"/>
    <n v="8"/>
    <x v="2"/>
    <n v="8.9"/>
    <n v="2.2000000000000002"/>
    <n v="10.199999999999999"/>
    <n v="3.82"/>
    <x v="1"/>
    <n v="1.2"/>
    <x v="0"/>
    <n v="8"/>
    <n v="8"/>
    <n v="4"/>
    <n v="0"/>
    <x v="8"/>
    <m/>
    <x v="2"/>
  </r>
  <r>
    <n v="15"/>
    <x v="0"/>
    <x v="0"/>
    <n v="7.3"/>
    <x v="2"/>
    <n v="4.4000000000000004"/>
    <n v="2.2999999999999998"/>
    <n v="9.6"/>
    <n v="2.76"/>
    <x v="3"/>
    <n v="1.8"/>
    <x v="2"/>
    <n v="4"/>
    <n v="6"/>
    <n v="9"/>
    <n v="0"/>
    <x v="1"/>
    <m/>
    <x v="1"/>
  </r>
  <r>
    <n v="17"/>
    <x v="1"/>
    <x v="1"/>
    <n v="4.5"/>
    <x v="2"/>
    <n v="7.3"/>
    <n v="0.9"/>
    <n v="5.4"/>
    <n v="2.34"/>
    <x v="2"/>
    <n v="0.9"/>
    <x v="2"/>
    <n v="7"/>
    <n v="3"/>
    <n v="8"/>
    <n v="0"/>
    <x v="11"/>
    <m/>
    <x v="1"/>
  </r>
  <r>
    <n v="19"/>
    <x v="1"/>
    <x v="0"/>
    <n v="5"/>
    <x v="2"/>
    <n v="9"/>
    <n v="2.4"/>
    <n v="7.4"/>
    <n v="2.5299999999999998"/>
    <x v="3"/>
    <n v="0.4"/>
    <x v="2"/>
    <n v="7"/>
    <n v="2"/>
    <n v="10"/>
    <n v="0"/>
    <x v="1"/>
    <m/>
    <x v="1"/>
  </r>
  <r>
    <n v="16"/>
    <x v="1"/>
    <x v="1"/>
    <n v="5.7"/>
    <x v="2"/>
    <n v="4.2"/>
    <n v="1.4"/>
    <n v="7.1"/>
    <n v="2.56"/>
    <x v="3"/>
    <n v="0.1"/>
    <x v="1"/>
    <n v="4"/>
    <n v="3"/>
    <n v="1"/>
    <n v="0"/>
    <x v="2"/>
    <m/>
    <x v="0"/>
  </r>
  <r>
    <n v="18"/>
    <x v="1"/>
    <x v="1"/>
    <n v="2.9"/>
    <x v="0"/>
    <n v="8.4"/>
    <n v="2.6"/>
    <n v="5.5"/>
    <n v="2.57"/>
    <x v="3"/>
    <n v="1.8"/>
    <x v="2"/>
    <n v="4"/>
    <n v="1"/>
    <n v="3"/>
    <n v="0"/>
    <x v="2"/>
    <m/>
    <x v="0"/>
  </r>
  <r>
    <n v="13"/>
    <x v="0"/>
    <x v="0"/>
    <n v="7.9"/>
    <x v="0"/>
    <n v="8.8000000000000007"/>
    <n v="2.2999999999999998"/>
    <n v="10.199999999999999"/>
    <n v="3.39"/>
    <x v="0"/>
    <n v="0.5"/>
    <x v="0"/>
    <n v="1"/>
    <n v="9"/>
    <n v="3"/>
    <n v="0"/>
    <x v="18"/>
    <m/>
    <x v="1"/>
  </r>
  <r>
    <n v="19"/>
    <x v="1"/>
    <x v="0"/>
    <n v="4.8"/>
    <x v="1"/>
    <n v="5"/>
    <n v="2.6"/>
    <n v="7.4"/>
    <n v="3.25"/>
    <x v="0"/>
    <n v="1.6"/>
    <x v="0"/>
    <n v="4"/>
    <n v="6"/>
    <n v="1"/>
    <n v="0"/>
    <x v="12"/>
    <m/>
    <x v="1"/>
  </r>
  <r>
    <n v="13"/>
    <x v="0"/>
    <x v="1"/>
    <n v="3"/>
    <x v="2"/>
    <n v="6"/>
    <n v="1"/>
    <n v="4"/>
    <n v="2.63"/>
    <x v="3"/>
    <n v="0.1"/>
    <x v="0"/>
    <n v="5"/>
    <n v="10"/>
    <n v="9"/>
    <n v="0"/>
    <x v="16"/>
    <m/>
    <x v="2"/>
  </r>
  <r>
    <n v="14"/>
    <x v="0"/>
    <x v="1"/>
    <n v="4.0999999999999996"/>
    <x v="2"/>
    <n v="6.4"/>
    <n v="2"/>
    <n v="6.1"/>
    <n v="3.69"/>
    <x v="1"/>
    <n v="1.5"/>
    <x v="2"/>
    <n v="7"/>
    <n v="7"/>
    <n v="9"/>
    <n v="0"/>
    <x v="22"/>
    <m/>
    <x v="2"/>
  </r>
  <r>
    <n v="19"/>
    <x v="1"/>
    <x v="0"/>
    <n v="6.9"/>
    <x v="0"/>
    <n v="5"/>
    <n v="1.2"/>
    <n v="8.1"/>
    <n v="2.56"/>
    <x v="3"/>
    <n v="1.6"/>
    <x v="1"/>
    <n v="3"/>
    <n v="10"/>
    <n v="8"/>
    <n v="0"/>
    <x v="7"/>
    <m/>
    <x v="2"/>
  </r>
  <r>
    <n v="17"/>
    <x v="1"/>
    <x v="1"/>
    <n v="3.2"/>
    <x v="0"/>
    <n v="6.2"/>
    <n v="2.2000000000000002"/>
    <n v="5.4"/>
    <n v="2.96"/>
    <x v="3"/>
    <n v="1.6"/>
    <x v="0"/>
    <n v="8"/>
    <n v="10"/>
    <n v="9"/>
    <n v="0"/>
    <x v="14"/>
    <m/>
    <x v="2"/>
  </r>
  <r>
    <n v="18"/>
    <x v="1"/>
    <x v="1"/>
    <n v="1.3"/>
    <x v="2"/>
    <n v="4.9000000000000004"/>
    <n v="0.9"/>
    <n v="2.2000000000000002"/>
    <n v="3.86"/>
    <x v="1"/>
    <n v="0"/>
    <x v="2"/>
    <n v="4"/>
    <n v="9"/>
    <n v="8"/>
    <n v="0"/>
    <x v="7"/>
    <m/>
    <x v="2"/>
  </r>
  <r>
    <n v="15"/>
    <x v="0"/>
    <x v="1"/>
    <n v="4.2"/>
    <x v="1"/>
    <n v="6.8"/>
    <n v="1.1000000000000001"/>
    <n v="5.3000000000000007"/>
    <n v="3.37"/>
    <x v="0"/>
    <n v="0.7"/>
    <x v="1"/>
    <n v="3"/>
    <n v="6"/>
    <n v="8"/>
    <n v="0"/>
    <x v="3"/>
    <m/>
    <x v="1"/>
  </r>
  <r>
    <n v="19"/>
    <x v="1"/>
    <x v="0"/>
    <n v="6.6"/>
    <x v="2"/>
    <n v="6"/>
    <n v="2.1"/>
    <n v="8.6999999999999993"/>
    <n v="2.84"/>
    <x v="3"/>
    <n v="1.5"/>
    <x v="0"/>
    <n v="9"/>
    <n v="4"/>
    <n v="5"/>
    <n v="0"/>
    <x v="11"/>
    <m/>
    <x v="1"/>
  </r>
  <r>
    <n v="13"/>
    <x v="0"/>
    <x v="0"/>
    <n v="7.5"/>
    <x v="1"/>
    <n v="4.8"/>
    <n v="0.7"/>
    <n v="8.1999999999999993"/>
    <n v="2.91"/>
    <x v="3"/>
    <n v="2"/>
    <x v="1"/>
    <n v="10"/>
    <n v="9"/>
    <n v="1"/>
    <n v="1"/>
    <x v="7"/>
    <m/>
    <x v="2"/>
  </r>
  <r>
    <n v="15"/>
    <x v="0"/>
    <x v="0"/>
    <n v="7"/>
    <x v="2"/>
    <n v="8.6999999999999993"/>
    <n v="3"/>
    <n v="10"/>
    <n v="2.84"/>
    <x v="3"/>
    <n v="1.4"/>
    <x v="2"/>
    <n v="5"/>
    <n v="3"/>
    <n v="2"/>
    <n v="0"/>
    <x v="4"/>
    <m/>
    <x v="1"/>
  </r>
  <r>
    <n v="15"/>
    <x v="0"/>
    <x v="1"/>
    <n v="6.7"/>
    <x v="2"/>
    <n v="5"/>
    <n v="0.6"/>
    <n v="7.3"/>
    <n v="2.75"/>
    <x v="3"/>
    <n v="1.5"/>
    <x v="2"/>
    <n v="7"/>
    <n v="4"/>
    <n v="8"/>
    <n v="0"/>
    <x v="1"/>
    <m/>
    <x v="1"/>
  </r>
  <r>
    <n v="15"/>
    <x v="0"/>
    <x v="1"/>
    <n v="2.2999999999999998"/>
    <x v="0"/>
    <n v="5.6"/>
    <n v="2.9"/>
    <n v="5.1999999999999993"/>
    <n v="2.72"/>
    <x v="3"/>
    <n v="1"/>
    <x v="1"/>
    <n v="6"/>
    <n v="6"/>
    <n v="2"/>
    <n v="0"/>
    <x v="15"/>
    <m/>
    <x v="1"/>
  </r>
  <r>
    <n v="14"/>
    <x v="0"/>
    <x v="0"/>
    <n v="5.3"/>
    <x v="2"/>
    <n v="9"/>
    <n v="2.8"/>
    <n v="8.1"/>
    <n v="3.1"/>
    <x v="0"/>
    <n v="1.6"/>
    <x v="1"/>
    <n v="10"/>
    <n v="7"/>
    <n v="6"/>
    <n v="0"/>
    <x v="22"/>
    <m/>
    <x v="2"/>
  </r>
  <r>
    <n v="13"/>
    <x v="0"/>
    <x v="1"/>
    <n v="2.7"/>
    <x v="1"/>
    <n v="6.5"/>
    <n v="1.5"/>
    <n v="4.2"/>
    <n v="2.58"/>
    <x v="3"/>
    <n v="0.4"/>
    <x v="1"/>
    <n v="1"/>
    <n v="1"/>
    <n v="6"/>
    <n v="0"/>
    <x v="2"/>
    <m/>
    <x v="0"/>
  </r>
  <r>
    <n v="13"/>
    <x v="0"/>
    <x v="0"/>
    <n v="5.4"/>
    <x v="0"/>
    <n v="7.8"/>
    <n v="1.8"/>
    <n v="7.2"/>
    <n v="3.46"/>
    <x v="0"/>
    <n v="1"/>
    <x v="1"/>
    <n v="4"/>
    <n v="7"/>
    <n v="7"/>
    <n v="0"/>
    <x v="11"/>
    <m/>
    <x v="1"/>
  </r>
  <r>
    <n v="17"/>
    <x v="1"/>
    <x v="0"/>
    <n v="7.2"/>
    <x v="0"/>
    <n v="8"/>
    <n v="1.9"/>
    <n v="9.1"/>
    <n v="2.66"/>
    <x v="3"/>
    <n v="1.4"/>
    <x v="2"/>
    <n v="5"/>
    <n v="8"/>
    <n v="6"/>
    <n v="0"/>
    <x v="1"/>
    <m/>
    <x v="1"/>
  </r>
  <r>
    <n v="19"/>
    <x v="1"/>
    <x v="0"/>
    <n v="1.5"/>
    <x v="1"/>
    <n v="6.8"/>
    <n v="2.5"/>
    <n v="4"/>
    <n v="2.13"/>
    <x v="2"/>
    <n v="0.2"/>
    <x v="2"/>
    <n v="9"/>
    <n v="8"/>
    <n v="10"/>
    <n v="0"/>
    <x v="14"/>
    <m/>
    <x v="2"/>
  </r>
  <r>
    <n v="13"/>
    <x v="0"/>
    <x v="0"/>
    <n v="4"/>
    <x v="2"/>
    <n v="4.2"/>
    <n v="0.5"/>
    <n v="4.5"/>
    <n v="2.46"/>
    <x v="2"/>
    <n v="0.6"/>
    <x v="0"/>
    <n v="2"/>
    <n v="9"/>
    <n v="9"/>
    <n v="0"/>
    <x v="8"/>
    <m/>
    <x v="2"/>
  </r>
  <r>
    <n v="15"/>
    <x v="0"/>
    <x v="1"/>
    <n v="4.2"/>
    <x v="2"/>
    <n v="7.1"/>
    <n v="2.1"/>
    <n v="6.3000000000000007"/>
    <n v="2.21"/>
    <x v="2"/>
    <n v="1.8"/>
    <x v="2"/>
    <n v="4"/>
    <n v="1"/>
    <n v="3"/>
    <n v="0"/>
    <x v="2"/>
    <m/>
    <x v="0"/>
  </r>
  <r>
    <n v="19"/>
    <x v="1"/>
    <x v="0"/>
    <n v="1.8"/>
    <x v="1"/>
    <n v="7.7"/>
    <n v="2.2000000000000002"/>
    <n v="4"/>
    <n v="3.77"/>
    <x v="1"/>
    <n v="0.3"/>
    <x v="2"/>
    <n v="4"/>
    <n v="6"/>
    <n v="7"/>
    <n v="0"/>
    <x v="3"/>
    <m/>
    <x v="1"/>
  </r>
  <r>
    <n v="17"/>
    <x v="1"/>
    <x v="1"/>
    <n v="3.3"/>
    <x v="0"/>
    <n v="8.6"/>
    <n v="1.1000000000000001"/>
    <n v="4.4000000000000004"/>
    <n v="2.62"/>
    <x v="3"/>
    <n v="0.4"/>
    <x v="0"/>
    <n v="4"/>
    <n v="7"/>
    <n v="9"/>
    <n v="0"/>
    <x v="8"/>
    <m/>
    <x v="2"/>
  </r>
  <r>
    <n v="14"/>
    <x v="0"/>
    <x v="1"/>
    <n v="1"/>
    <x v="2"/>
    <n v="6.6"/>
    <n v="1.4"/>
    <n v="2.4"/>
    <n v="2.02"/>
    <x v="2"/>
    <n v="1.9"/>
    <x v="0"/>
    <n v="6"/>
    <n v="5"/>
    <n v="5"/>
    <n v="0"/>
    <x v="13"/>
    <m/>
    <x v="1"/>
  </r>
  <r>
    <n v="13"/>
    <x v="0"/>
    <x v="1"/>
    <n v="1.2"/>
    <x v="1"/>
    <n v="8"/>
    <n v="2.8"/>
    <n v="4"/>
    <n v="2.1800000000000002"/>
    <x v="2"/>
    <n v="1.1000000000000001"/>
    <x v="1"/>
    <n v="5"/>
    <n v="8"/>
    <n v="5"/>
    <n v="0"/>
    <x v="11"/>
    <m/>
    <x v="1"/>
  </r>
  <r>
    <n v="19"/>
    <x v="1"/>
    <x v="0"/>
    <n v="2"/>
    <x v="0"/>
    <n v="4.0999999999999996"/>
    <n v="1.3"/>
    <n v="3.3"/>
    <n v="3.71"/>
    <x v="1"/>
    <n v="1.6"/>
    <x v="0"/>
    <n v="7"/>
    <n v="7"/>
    <n v="8"/>
    <n v="0"/>
    <x v="10"/>
    <m/>
    <x v="2"/>
  </r>
  <r>
    <n v="13"/>
    <x v="0"/>
    <x v="1"/>
    <n v="7.1"/>
    <x v="2"/>
    <n v="6.5"/>
    <n v="1.6"/>
    <n v="8.6999999999999993"/>
    <n v="2.0299999999999998"/>
    <x v="2"/>
    <n v="0.3"/>
    <x v="2"/>
    <n v="1"/>
    <n v="10"/>
    <n v="6"/>
    <n v="0"/>
    <x v="3"/>
    <m/>
    <x v="1"/>
  </r>
  <r>
    <n v="15"/>
    <x v="0"/>
    <x v="1"/>
    <n v="5.5"/>
    <x v="1"/>
    <n v="7.8"/>
    <n v="1.5"/>
    <n v="7"/>
    <n v="2.79"/>
    <x v="3"/>
    <n v="0.7"/>
    <x v="1"/>
    <n v="9"/>
    <n v="10"/>
    <n v="7"/>
    <n v="0"/>
    <x v="19"/>
    <m/>
    <x v="2"/>
  </r>
  <r>
    <n v="17"/>
    <x v="1"/>
    <x v="0"/>
    <n v="7.7"/>
    <x v="1"/>
    <n v="4.7"/>
    <n v="2.8"/>
    <n v="10.5"/>
    <n v="3.5"/>
    <x v="0"/>
    <n v="1.5"/>
    <x v="0"/>
    <n v="8"/>
    <n v="4"/>
    <n v="8"/>
    <n v="0"/>
    <x v="8"/>
    <m/>
    <x v="2"/>
  </r>
  <r>
    <n v="17"/>
    <x v="1"/>
    <x v="1"/>
    <n v="7.6"/>
    <x v="0"/>
    <n v="5.9"/>
    <n v="2"/>
    <n v="9.6"/>
    <n v="2.52"/>
    <x v="3"/>
    <n v="1.5"/>
    <x v="2"/>
    <n v="1"/>
    <n v="5"/>
    <n v="1"/>
    <n v="0"/>
    <x v="21"/>
    <m/>
    <x v="0"/>
  </r>
  <r>
    <n v="13"/>
    <x v="0"/>
    <x v="0"/>
    <n v="8"/>
    <x v="0"/>
    <n v="6.9"/>
    <n v="2.5"/>
    <n v="10.5"/>
    <n v="2.4500000000000002"/>
    <x v="2"/>
    <n v="1.7"/>
    <x v="2"/>
    <n v="10"/>
    <n v="1"/>
    <n v="3"/>
    <n v="0"/>
    <x v="15"/>
    <m/>
    <x v="1"/>
  </r>
  <r>
    <n v="16"/>
    <x v="1"/>
    <x v="1"/>
    <n v="4.3"/>
    <x v="0"/>
    <n v="6"/>
    <n v="1.4"/>
    <n v="5.6999999999999993"/>
    <n v="2.98"/>
    <x v="3"/>
    <n v="1.7"/>
    <x v="0"/>
    <n v="8"/>
    <n v="7"/>
    <n v="4"/>
    <n v="0"/>
    <x v="1"/>
    <m/>
    <x v="1"/>
  </r>
  <r>
    <n v="13"/>
    <x v="0"/>
    <x v="0"/>
    <n v="3.8"/>
    <x v="2"/>
    <n v="5.3"/>
    <n v="2.5"/>
    <n v="6.3"/>
    <n v="3.48"/>
    <x v="0"/>
    <n v="1"/>
    <x v="0"/>
    <n v="6"/>
    <n v="7"/>
    <n v="7"/>
    <n v="0"/>
    <x v="8"/>
    <m/>
    <x v="2"/>
  </r>
  <r>
    <n v="16"/>
    <x v="1"/>
    <x v="1"/>
    <n v="2.9"/>
    <x v="1"/>
    <n v="6.3"/>
    <n v="3"/>
    <n v="5.9"/>
    <n v="2.6"/>
    <x v="3"/>
    <n v="0.4"/>
    <x v="2"/>
    <n v="9"/>
    <n v="7"/>
    <n v="3"/>
    <n v="0"/>
    <x v="1"/>
    <m/>
    <x v="1"/>
  </r>
  <r>
    <n v="13"/>
    <x v="0"/>
    <x v="1"/>
    <n v="5.3"/>
    <x v="1"/>
    <n v="6.5"/>
    <n v="1.1000000000000001"/>
    <n v="6.4"/>
    <n v="3.48"/>
    <x v="0"/>
    <n v="1.8"/>
    <x v="0"/>
    <n v="9"/>
    <n v="5"/>
    <n v="4"/>
    <n v="0"/>
    <x v="11"/>
    <m/>
    <x v="1"/>
  </r>
  <r>
    <n v="15"/>
    <x v="0"/>
    <x v="1"/>
    <n v="5.7"/>
    <x v="0"/>
    <n v="7.5"/>
    <n v="2.4"/>
    <n v="8.1"/>
    <n v="2.84"/>
    <x v="3"/>
    <n v="1.3"/>
    <x v="2"/>
    <n v="10"/>
    <n v="10"/>
    <n v="2"/>
    <n v="0"/>
    <x v="10"/>
    <m/>
    <x v="2"/>
  </r>
  <r>
    <n v="18"/>
    <x v="1"/>
    <x v="1"/>
    <n v="2.8"/>
    <x v="0"/>
    <n v="7.4"/>
    <n v="1"/>
    <n v="3.8"/>
    <n v="3.73"/>
    <x v="1"/>
    <n v="1.9"/>
    <x v="0"/>
    <n v="7"/>
    <n v="3"/>
    <n v="6"/>
    <n v="0"/>
    <x v="13"/>
    <m/>
    <x v="1"/>
  </r>
  <r>
    <n v="15"/>
    <x v="0"/>
    <x v="0"/>
    <n v="2.8"/>
    <x v="1"/>
    <n v="6.1"/>
    <n v="2.9"/>
    <n v="5.6999999999999993"/>
    <n v="2.98"/>
    <x v="3"/>
    <n v="1.8"/>
    <x v="2"/>
    <n v="6"/>
    <n v="3"/>
    <n v="7"/>
    <n v="0"/>
    <x v="13"/>
    <m/>
    <x v="1"/>
  </r>
  <r>
    <n v="13"/>
    <x v="0"/>
    <x v="1"/>
    <n v="1.1000000000000001"/>
    <x v="0"/>
    <n v="7"/>
    <n v="1.9"/>
    <n v="3"/>
    <n v="4"/>
    <x v="1"/>
    <n v="0.9"/>
    <x v="2"/>
    <n v="2"/>
    <n v="9"/>
    <n v="6"/>
    <n v="0"/>
    <x v="3"/>
    <m/>
    <x v="1"/>
  </r>
  <r>
    <n v="14"/>
    <x v="0"/>
    <x v="1"/>
    <n v="2"/>
    <x v="2"/>
    <n v="5"/>
    <n v="2.6"/>
    <n v="4.5999999999999996"/>
    <n v="2.71"/>
    <x v="3"/>
    <n v="2"/>
    <x v="0"/>
    <n v="5"/>
    <n v="4"/>
    <n v="3"/>
    <n v="0"/>
    <x v="17"/>
    <m/>
    <x v="1"/>
  </r>
  <r>
    <n v="16"/>
    <x v="1"/>
    <x v="1"/>
    <n v="6.5"/>
    <x v="1"/>
    <n v="5.3"/>
    <n v="1.8"/>
    <n v="8.3000000000000007"/>
    <n v="2.29"/>
    <x v="2"/>
    <n v="0.2"/>
    <x v="1"/>
    <n v="4"/>
    <n v="10"/>
    <n v="2"/>
    <n v="0"/>
    <x v="13"/>
    <m/>
    <x v="1"/>
  </r>
  <r>
    <n v="16"/>
    <x v="1"/>
    <x v="1"/>
    <n v="7.5"/>
    <x v="1"/>
    <n v="7.8"/>
    <n v="1.3"/>
    <n v="8.8000000000000007"/>
    <n v="2.73"/>
    <x v="3"/>
    <n v="1.5"/>
    <x v="2"/>
    <n v="4"/>
    <n v="5"/>
    <n v="8"/>
    <n v="0"/>
    <x v="3"/>
    <m/>
    <x v="1"/>
  </r>
  <r>
    <n v="16"/>
    <x v="1"/>
    <x v="1"/>
    <n v="3.1"/>
    <x v="0"/>
    <n v="7.9"/>
    <n v="1.2"/>
    <n v="4.3"/>
    <n v="2.85"/>
    <x v="3"/>
    <n v="0.7"/>
    <x v="1"/>
    <n v="2"/>
    <n v="2"/>
    <n v="5"/>
    <n v="0"/>
    <x v="6"/>
    <m/>
    <x v="0"/>
  </r>
  <r>
    <n v="19"/>
    <x v="1"/>
    <x v="0"/>
    <n v="5.9"/>
    <x v="2"/>
    <n v="7"/>
    <n v="2.2999999999999998"/>
    <n v="8.1999999999999993"/>
    <n v="3"/>
    <x v="0"/>
    <n v="1.6"/>
    <x v="0"/>
    <n v="3"/>
    <n v="5"/>
    <n v="10"/>
    <n v="0"/>
    <x v="11"/>
    <m/>
    <x v="1"/>
  </r>
  <r>
    <n v="15"/>
    <x v="0"/>
    <x v="0"/>
    <n v="7.9"/>
    <x v="1"/>
    <n v="4.0999999999999996"/>
    <n v="0.7"/>
    <n v="8.6"/>
    <n v="2.33"/>
    <x v="2"/>
    <n v="1.2"/>
    <x v="2"/>
    <n v="3"/>
    <n v="8"/>
    <n v="1"/>
    <n v="0"/>
    <x v="17"/>
    <m/>
    <x v="1"/>
  </r>
  <r>
    <n v="15"/>
    <x v="0"/>
    <x v="0"/>
    <n v="5.0999999999999996"/>
    <x v="0"/>
    <n v="7.4"/>
    <n v="0.7"/>
    <n v="5.8"/>
    <n v="2.64"/>
    <x v="3"/>
    <n v="0.2"/>
    <x v="2"/>
    <n v="5"/>
    <n v="8"/>
    <n v="1"/>
    <n v="0"/>
    <x v="15"/>
    <m/>
    <x v="1"/>
  </r>
  <r>
    <n v="16"/>
    <x v="1"/>
    <x v="0"/>
    <n v="1.9"/>
    <x v="2"/>
    <n v="5.8"/>
    <n v="2.1"/>
    <n v="4"/>
    <n v="2.27"/>
    <x v="2"/>
    <n v="0.6"/>
    <x v="2"/>
    <n v="3"/>
    <n v="3"/>
    <n v="2"/>
    <n v="0"/>
    <x v="2"/>
    <m/>
    <x v="0"/>
  </r>
  <r>
    <n v="17"/>
    <x v="1"/>
    <x v="0"/>
    <n v="8"/>
    <x v="0"/>
    <n v="8.6999999999999993"/>
    <n v="1.5"/>
    <n v="9.5"/>
    <n v="3.7"/>
    <x v="1"/>
    <n v="2"/>
    <x v="1"/>
    <n v="10"/>
    <n v="9"/>
    <n v="5"/>
    <n v="0"/>
    <x v="16"/>
    <m/>
    <x v="2"/>
  </r>
  <r>
    <n v="19"/>
    <x v="1"/>
    <x v="0"/>
    <n v="2.9"/>
    <x v="2"/>
    <n v="4"/>
    <n v="0.5"/>
    <n v="3.4"/>
    <n v="3.16"/>
    <x v="0"/>
    <n v="0.2"/>
    <x v="1"/>
    <n v="7"/>
    <n v="6"/>
    <n v="3"/>
    <n v="0"/>
    <x v="13"/>
    <m/>
    <x v="1"/>
  </r>
  <r>
    <n v="14"/>
    <x v="0"/>
    <x v="0"/>
    <n v="4.3"/>
    <x v="0"/>
    <n v="8.4"/>
    <n v="0.9"/>
    <n v="5.2"/>
    <n v="3.2"/>
    <x v="0"/>
    <n v="1.6"/>
    <x v="1"/>
    <n v="10"/>
    <n v="10"/>
    <n v="1"/>
    <n v="0"/>
    <x v="7"/>
    <m/>
    <x v="2"/>
  </r>
  <r>
    <n v="16"/>
    <x v="1"/>
    <x v="0"/>
    <n v="1.1000000000000001"/>
    <x v="0"/>
    <n v="6.4"/>
    <n v="3"/>
    <n v="4.0999999999999996"/>
    <n v="2.5099999999999998"/>
    <x v="3"/>
    <n v="0.1"/>
    <x v="2"/>
    <n v="8"/>
    <n v="6"/>
    <n v="9"/>
    <n v="0"/>
    <x v="22"/>
    <m/>
    <x v="2"/>
  </r>
  <r>
    <n v="16"/>
    <x v="1"/>
    <x v="0"/>
    <n v="4.9000000000000004"/>
    <x v="0"/>
    <n v="5.7"/>
    <n v="1.2"/>
    <n v="6.1000000000000005"/>
    <n v="2.0699999999999998"/>
    <x v="2"/>
    <n v="0.1"/>
    <x v="2"/>
    <n v="8"/>
    <n v="2"/>
    <n v="1"/>
    <n v="0"/>
    <x v="12"/>
    <m/>
    <x v="1"/>
  </r>
  <r>
    <n v="14"/>
    <x v="0"/>
    <x v="0"/>
    <n v="6.1"/>
    <x v="2"/>
    <n v="7.6"/>
    <n v="1.4"/>
    <n v="7.5"/>
    <n v="2.72"/>
    <x v="3"/>
    <n v="0.9"/>
    <x v="0"/>
    <n v="9"/>
    <n v="3"/>
    <n v="3"/>
    <n v="0"/>
    <x v="5"/>
    <m/>
    <x v="1"/>
  </r>
  <r>
    <n v="15"/>
    <x v="0"/>
    <x v="1"/>
    <n v="2.7"/>
    <x v="2"/>
    <n v="6.5"/>
    <n v="1.6"/>
    <n v="4.3000000000000007"/>
    <n v="2.14"/>
    <x v="2"/>
    <n v="0.4"/>
    <x v="1"/>
    <n v="6"/>
    <n v="6"/>
    <n v="6"/>
    <n v="0"/>
    <x v="11"/>
    <m/>
    <x v="1"/>
  </r>
  <r>
    <n v="16"/>
    <x v="1"/>
    <x v="1"/>
    <n v="7.8"/>
    <x v="2"/>
    <n v="7.4"/>
    <n v="0.7"/>
    <n v="8.5"/>
    <n v="2.54"/>
    <x v="3"/>
    <n v="1.2"/>
    <x v="2"/>
    <n v="10"/>
    <n v="4"/>
    <n v="9"/>
    <n v="0"/>
    <x v="22"/>
    <m/>
    <x v="2"/>
  </r>
  <r>
    <n v="18"/>
    <x v="1"/>
    <x v="0"/>
    <n v="4.2"/>
    <x v="1"/>
    <n v="6.5"/>
    <n v="1.4"/>
    <n v="5.6"/>
    <n v="2.91"/>
    <x v="3"/>
    <n v="1.5"/>
    <x v="0"/>
    <n v="5"/>
    <n v="6"/>
    <n v="4"/>
    <n v="0"/>
    <x v="5"/>
    <m/>
    <x v="1"/>
  </r>
  <r>
    <n v="13"/>
    <x v="0"/>
    <x v="1"/>
    <n v="4.4000000000000004"/>
    <x v="0"/>
    <n v="5.5"/>
    <n v="2.7"/>
    <n v="7.1000000000000005"/>
    <n v="3.17"/>
    <x v="0"/>
    <n v="0.3"/>
    <x v="0"/>
    <n v="5"/>
    <n v="1"/>
    <n v="5"/>
    <n v="0"/>
    <x v="12"/>
    <m/>
    <x v="1"/>
  </r>
  <r>
    <n v="13"/>
    <x v="0"/>
    <x v="1"/>
    <n v="1.4"/>
    <x v="2"/>
    <n v="7.8"/>
    <n v="0.6"/>
    <n v="2"/>
    <n v="3.42"/>
    <x v="0"/>
    <n v="1.6"/>
    <x v="2"/>
    <n v="10"/>
    <n v="4"/>
    <n v="6"/>
    <n v="0"/>
    <x v="8"/>
    <m/>
    <x v="2"/>
  </r>
  <r>
    <n v="17"/>
    <x v="1"/>
    <x v="0"/>
    <n v="3.7"/>
    <x v="1"/>
    <n v="7.2"/>
    <n v="0.6"/>
    <n v="4.3"/>
    <n v="3.34"/>
    <x v="0"/>
    <n v="1.8"/>
    <x v="1"/>
    <n v="2"/>
    <n v="6"/>
    <n v="2"/>
    <n v="0"/>
    <x v="4"/>
    <m/>
    <x v="1"/>
  </r>
  <r>
    <n v="14"/>
    <x v="0"/>
    <x v="0"/>
    <n v="3.8"/>
    <x v="0"/>
    <n v="8.9"/>
    <n v="1.9"/>
    <n v="5.6999999999999993"/>
    <n v="2.77"/>
    <x v="3"/>
    <n v="0.2"/>
    <x v="2"/>
    <n v="6"/>
    <n v="2"/>
    <n v="2"/>
    <n v="0"/>
    <x v="4"/>
    <m/>
    <x v="1"/>
  </r>
  <r>
    <n v="15"/>
    <x v="0"/>
    <x v="1"/>
    <n v="5.4"/>
    <x v="1"/>
    <n v="7"/>
    <n v="1.8"/>
    <n v="7.2"/>
    <n v="2.54"/>
    <x v="3"/>
    <n v="0.1"/>
    <x v="0"/>
    <n v="1"/>
    <n v="4"/>
    <n v="4"/>
    <n v="0"/>
    <x v="6"/>
    <m/>
    <x v="0"/>
  </r>
  <r>
    <n v="17"/>
    <x v="1"/>
    <x v="0"/>
    <n v="4"/>
    <x v="2"/>
    <n v="4.3"/>
    <n v="1.8"/>
    <n v="5.8"/>
    <n v="2.17"/>
    <x v="2"/>
    <n v="0.9"/>
    <x v="1"/>
    <n v="8"/>
    <n v="8"/>
    <n v="3"/>
    <n v="0"/>
    <x v="1"/>
    <m/>
    <x v="1"/>
  </r>
  <r>
    <n v="19"/>
    <x v="1"/>
    <x v="0"/>
    <n v="3.5"/>
    <x v="1"/>
    <n v="5.8"/>
    <n v="1.8"/>
    <n v="5.3"/>
    <n v="3.3"/>
    <x v="0"/>
    <n v="0.9"/>
    <x v="0"/>
    <n v="7"/>
    <n v="6"/>
    <n v="9"/>
    <n v="0"/>
    <x v="10"/>
    <m/>
    <x v="2"/>
  </r>
  <r>
    <n v="17"/>
    <x v="1"/>
    <x v="0"/>
    <n v="1.3"/>
    <x v="2"/>
    <n v="8.3000000000000007"/>
    <n v="1"/>
    <n v="2.2999999999999998"/>
    <n v="3.95"/>
    <x v="1"/>
    <n v="1.2"/>
    <x v="2"/>
    <n v="4"/>
    <n v="1"/>
    <n v="1"/>
    <n v="0"/>
    <x v="9"/>
    <m/>
    <x v="0"/>
  </r>
  <r>
    <n v="14"/>
    <x v="0"/>
    <x v="0"/>
    <n v="5.6"/>
    <x v="0"/>
    <n v="8.8000000000000007"/>
    <n v="0.9"/>
    <n v="6.5"/>
    <n v="3.03"/>
    <x v="0"/>
    <n v="2"/>
    <x v="0"/>
    <n v="8"/>
    <n v="10"/>
    <n v="3"/>
    <n v="0"/>
    <x v="7"/>
    <m/>
    <x v="2"/>
  </r>
  <r>
    <n v="13"/>
    <x v="0"/>
    <x v="1"/>
    <n v="2.4"/>
    <x v="0"/>
    <n v="5.5"/>
    <n v="0.6"/>
    <n v="3"/>
    <n v="3.56"/>
    <x v="0"/>
    <n v="1.6"/>
    <x v="2"/>
    <n v="4"/>
    <n v="8"/>
    <n v="7"/>
    <n v="0"/>
    <x v="1"/>
    <m/>
    <x v="1"/>
  </r>
  <r>
    <n v="16"/>
    <x v="1"/>
    <x v="0"/>
    <n v="2"/>
    <x v="2"/>
    <n v="7.8"/>
    <n v="2.8"/>
    <n v="4.8"/>
    <n v="2.1"/>
    <x v="2"/>
    <n v="0.6"/>
    <x v="2"/>
    <n v="2"/>
    <n v="6"/>
    <n v="8"/>
    <n v="0"/>
    <x v="13"/>
    <m/>
    <x v="1"/>
  </r>
  <r>
    <n v="15"/>
    <x v="0"/>
    <x v="0"/>
    <n v="6.6"/>
    <x v="0"/>
    <n v="8.6"/>
    <n v="1.5"/>
    <n v="8.1"/>
    <n v="2.63"/>
    <x v="3"/>
    <n v="1.1000000000000001"/>
    <x v="0"/>
    <n v="1"/>
    <n v="9"/>
    <n v="9"/>
    <n v="0"/>
    <x v="1"/>
    <m/>
    <x v="1"/>
  </r>
  <r>
    <n v="17"/>
    <x v="1"/>
    <x v="1"/>
    <n v="2.2999999999999998"/>
    <x v="1"/>
    <n v="6.4"/>
    <n v="2.4"/>
    <n v="4.6999999999999993"/>
    <n v="3.61"/>
    <x v="1"/>
    <n v="0.6"/>
    <x v="2"/>
    <n v="2"/>
    <n v="1"/>
    <n v="1"/>
    <n v="0"/>
    <x v="23"/>
    <m/>
    <x v="0"/>
  </r>
  <r>
    <n v="16"/>
    <x v="1"/>
    <x v="0"/>
    <n v="6.4"/>
    <x v="1"/>
    <n v="5.4"/>
    <n v="1.4"/>
    <n v="7.8000000000000007"/>
    <n v="2.42"/>
    <x v="2"/>
    <n v="1.9"/>
    <x v="2"/>
    <n v="4"/>
    <n v="9"/>
    <n v="5"/>
    <n v="0"/>
    <x v="11"/>
    <m/>
    <x v="1"/>
  </r>
  <r>
    <n v="18"/>
    <x v="1"/>
    <x v="1"/>
    <n v="3.5"/>
    <x v="2"/>
    <n v="5.9"/>
    <n v="1.3"/>
    <n v="4.8"/>
    <n v="3.68"/>
    <x v="1"/>
    <n v="2"/>
    <x v="2"/>
    <n v="7"/>
    <n v="4"/>
    <n v="10"/>
    <n v="0"/>
    <x v="7"/>
    <m/>
    <x v="2"/>
  </r>
  <r>
    <n v="18"/>
    <x v="1"/>
    <x v="1"/>
    <n v="1.7"/>
    <x v="0"/>
    <n v="8.5"/>
    <n v="1"/>
    <n v="2.7"/>
    <n v="3.32"/>
    <x v="0"/>
    <n v="1.3"/>
    <x v="2"/>
    <n v="1"/>
    <n v="1"/>
    <n v="7"/>
    <n v="0"/>
    <x v="6"/>
    <m/>
    <x v="0"/>
  </r>
  <r>
    <n v="14"/>
    <x v="0"/>
    <x v="0"/>
    <n v="4.0999999999999996"/>
    <x v="0"/>
    <n v="8.1999999999999993"/>
    <n v="1.7"/>
    <n v="5.8"/>
    <n v="2.3199999999999998"/>
    <x v="2"/>
    <n v="1.4"/>
    <x v="1"/>
    <n v="9"/>
    <n v="2"/>
    <n v="4"/>
    <n v="0"/>
    <x v="5"/>
    <m/>
    <x v="1"/>
  </r>
  <r>
    <n v="14"/>
    <x v="0"/>
    <x v="0"/>
    <n v="3.3"/>
    <x v="0"/>
    <n v="6.5"/>
    <n v="0.8"/>
    <n v="4.0999999999999996"/>
    <n v="2.54"/>
    <x v="3"/>
    <n v="0.8"/>
    <x v="0"/>
    <n v="1"/>
    <n v="2"/>
    <n v="3"/>
    <n v="0"/>
    <x v="9"/>
    <m/>
    <x v="0"/>
  </r>
  <r>
    <n v="14"/>
    <x v="0"/>
    <x v="1"/>
    <n v="5"/>
    <x v="1"/>
    <n v="4.9000000000000004"/>
    <n v="2.6"/>
    <n v="7.6"/>
    <n v="3.82"/>
    <x v="1"/>
    <n v="1.9"/>
    <x v="2"/>
    <n v="3"/>
    <n v="10"/>
    <n v="10"/>
    <n v="0"/>
    <x v="22"/>
    <m/>
    <x v="2"/>
  </r>
  <r>
    <n v="19"/>
    <x v="1"/>
    <x v="1"/>
    <n v="1.5"/>
    <x v="0"/>
    <n v="8.4"/>
    <n v="3"/>
    <n v="4.5"/>
    <n v="2.46"/>
    <x v="2"/>
    <n v="1.5"/>
    <x v="1"/>
    <n v="1"/>
    <n v="7"/>
    <n v="6"/>
    <n v="0"/>
    <x v="15"/>
    <m/>
    <x v="1"/>
  </r>
  <r>
    <n v="17"/>
    <x v="1"/>
    <x v="1"/>
    <n v="3.3"/>
    <x v="1"/>
    <n v="8.4"/>
    <n v="2.1"/>
    <n v="5.4"/>
    <n v="3.4"/>
    <x v="0"/>
    <n v="0.2"/>
    <x v="1"/>
    <n v="1"/>
    <n v="3"/>
    <n v="10"/>
    <n v="0"/>
    <x v="15"/>
    <m/>
    <x v="1"/>
  </r>
  <r>
    <n v="13"/>
    <x v="0"/>
    <x v="0"/>
    <n v="6.4"/>
    <x v="2"/>
    <n v="4.0999999999999996"/>
    <n v="1.3"/>
    <n v="7.7"/>
    <n v="2.77"/>
    <x v="3"/>
    <n v="1.3"/>
    <x v="0"/>
    <n v="10"/>
    <n v="6"/>
    <n v="1"/>
    <n v="0"/>
    <x v="3"/>
    <m/>
    <x v="1"/>
  </r>
  <r>
    <n v="17"/>
    <x v="1"/>
    <x v="1"/>
    <n v="8"/>
    <x v="0"/>
    <n v="8.1"/>
    <n v="1.2"/>
    <n v="9.1999999999999993"/>
    <n v="2.13"/>
    <x v="2"/>
    <n v="1"/>
    <x v="0"/>
    <n v="1"/>
    <n v="8"/>
    <n v="7"/>
    <n v="0"/>
    <x v="13"/>
    <m/>
    <x v="1"/>
  </r>
  <r>
    <n v="16"/>
    <x v="1"/>
    <x v="1"/>
    <n v="1"/>
    <x v="2"/>
    <n v="4.0999999999999996"/>
    <n v="1.3"/>
    <n v="2.2999999999999998"/>
    <n v="2.2200000000000002"/>
    <x v="2"/>
    <n v="0.4"/>
    <x v="0"/>
    <n v="2"/>
    <n v="1"/>
    <n v="8"/>
    <n v="0"/>
    <x v="12"/>
    <m/>
    <x v="1"/>
  </r>
  <r>
    <n v="18"/>
    <x v="1"/>
    <x v="1"/>
    <n v="4.2"/>
    <x v="0"/>
    <n v="5.4"/>
    <n v="1.1000000000000001"/>
    <n v="5.3000000000000007"/>
    <n v="2.31"/>
    <x v="2"/>
    <n v="0.3"/>
    <x v="0"/>
    <n v="4"/>
    <n v="9"/>
    <n v="1"/>
    <n v="0"/>
    <x v="15"/>
    <m/>
    <x v="1"/>
  </r>
  <r>
    <n v="18"/>
    <x v="1"/>
    <x v="1"/>
    <n v="4.5999999999999996"/>
    <x v="1"/>
    <n v="7.3"/>
    <n v="2.8"/>
    <n v="7.3999999999999995"/>
    <n v="3.22"/>
    <x v="0"/>
    <n v="0.6"/>
    <x v="1"/>
    <n v="1"/>
    <n v="3"/>
    <n v="6"/>
    <n v="0"/>
    <x v="4"/>
    <m/>
    <x v="1"/>
  </r>
  <r>
    <n v="17"/>
    <x v="1"/>
    <x v="1"/>
    <n v="2.8"/>
    <x v="2"/>
    <n v="6.2"/>
    <n v="2.4"/>
    <n v="5.1999999999999993"/>
    <n v="2.58"/>
    <x v="3"/>
    <n v="0.4"/>
    <x v="1"/>
    <n v="4"/>
    <n v="10"/>
    <n v="9"/>
    <n v="0"/>
    <x v="22"/>
    <m/>
    <x v="2"/>
  </r>
  <r>
    <n v="16"/>
    <x v="1"/>
    <x v="1"/>
    <n v="6.3"/>
    <x v="0"/>
    <n v="6.9"/>
    <n v="1.3"/>
    <n v="7.6"/>
    <n v="2.15"/>
    <x v="2"/>
    <n v="1.4"/>
    <x v="0"/>
    <n v="9"/>
    <n v="2"/>
    <n v="10"/>
    <n v="0"/>
    <x v="7"/>
    <m/>
    <x v="2"/>
  </r>
  <r>
    <n v="17"/>
    <x v="1"/>
    <x v="1"/>
    <n v="7.2"/>
    <x v="1"/>
    <n v="7"/>
    <n v="1.3"/>
    <n v="8.5"/>
    <n v="3.86"/>
    <x v="1"/>
    <n v="0.9"/>
    <x v="0"/>
    <n v="7"/>
    <n v="8"/>
    <n v="4"/>
    <n v="0"/>
    <x v="1"/>
    <m/>
    <x v="1"/>
  </r>
  <r>
    <n v="13"/>
    <x v="0"/>
    <x v="0"/>
    <n v="4.5"/>
    <x v="2"/>
    <n v="6.7"/>
    <n v="2.2000000000000002"/>
    <n v="6.7"/>
    <n v="3.73"/>
    <x v="1"/>
    <n v="0.3"/>
    <x v="0"/>
    <n v="3"/>
    <n v="5"/>
    <n v="10"/>
    <n v="0"/>
    <x v="11"/>
    <m/>
    <x v="1"/>
  </r>
  <r>
    <n v="18"/>
    <x v="1"/>
    <x v="0"/>
    <n v="5.3"/>
    <x v="2"/>
    <n v="5.0999999999999996"/>
    <n v="1.2"/>
    <n v="6.5"/>
    <n v="3.32"/>
    <x v="0"/>
    <n v="1.8"/>
    <x v="0"/>
    <n v="7"/>
    <n v="3"/>
    <n v="8"/>
    <n v="0"/>
    <x v="11"/>
    <m/>
    <x v="1"/>
  </r>
  <r>
    <n v="13"/>
    <x v="0"/>
    <x v="0"/>
    <n v="5.2"/>
    <x v="1"/>
    <n v="6.7"/>
    <n v="2.5"/>
    <n v="7.7"/>
    <n v="3.82"/>
    <x v="1"/>
    <n v="0.9"/>
    <x v="2"/>
    <n v="8"/>
    <n v="8"/>
    <n v="6"/>
    <n v="0"/>
    <x v="10"/>
    <m/>
    <x v="2"/>
  </r>
  <r>
    <n v="13"/>
    <x v="0"/>
    <x v="0"/>
    <n v="7.9"/>
    <x v="1"/>
    <n v="6"/>
    <n v="2.7"/>
    <n v="10.600000000000001"/>
    <n v="2.85"/>
    <x v="3"/>
    <n v="0.3"/>
    <x v="0"/>
    <n v="9"/>
    <n v="10"/>
    <n v="3"/>
    <n v="0"/>
    <x v="10"/>
    <m/>
    <x v="2"/>
  </r>
  <r>
    <n v="19"/>
    <x v="1"/>
    <x v="0"/>
    <n v="6.9"/>
    <x v="1"/>
    <n v="8.5"/>
    <n v="1.5"/>
    <n v="8.4"/>
    <n v="3.55"/>
    <x v="0"/>
    <n v="1.3"/>
    <x v="0"/>
    <n v="5"/>
    <n v="6"/>
    <n v="1"/>
    <n v="0"/>
    <x v="17"/>
    <m/>
    <x v="1"/>
  </r>
  <r>
    <n v="17"/>
    <x v="1"/>
    <x v="1"/>
    <n v="5.8"/>
    <x v="0"/>
    <n v="4.0999999999999996"/>
    <n v="2.9"/>
    <n v="8.6999999999999993"/>
    <n v="2.33"/>
    <x v="2"/>
    <n v="0.4"/>
    <x v="1"/>
    <n v="9"/>
    <n v="6"/>
    <n v="8"/>
    <n v="0"/>
    <x v="22"/>
    <m/>
    <x v="2"/>
  </r>
  <r>
    <n v="19"/>
    <x v="1"/>
    <x v="0"/>
    <n v="7"/>
    <x v="0"/>
    <n v="8.3000000000000007"/>
    <n v="2.1"/>
    <n v="9.1"/>
    <n v="3.09"/>
    <x v="0"/>
    <n v="1.5"/>
    <x v="0"/>
    <n v="9"/>
    <n v="7"/>
    <n v="3"/>
    <n v="0"/>
    <x v="1"/>
    <m/>
    <x v="1"/>
  </r>
  <r>
    <n v="14"/>
    <x v="0"/>
    <x v="1"/>
    <n v="3"/>
    <x v="1"/>
    <n v="8.3000000000000007"/>
    <n v="2.7"/>
    <n v="5.7"/>
    <n v="3.9"/>
    <x v="1"/>
    <n v="0.7"/>
    <x v="1"/>
    <n v="3"/>
    <n v="1"/>
    <n v="5"/>
    <n v="0"/>
    <x v="6"/>
    <m/>
    <x v="0"/>
  </r>
  <r>
    <n v="18"/>
    <x v="1"/>
    <x v="0"/>
    <n v="6.3"/>
    <x v="2"/>
    <n v="7.9"/>
    <n v="1.7"/>
    <n v="8"/>
    <n v="2.85"/>
    <x v="3"/>
    <n v="0.3"/>
    <x v="2"/>
    <n v="1"/>
    <n v="1"/>
    <n v="2"/>
    <n v="0"/>
    <x v="23"/>
    <m/>
    <x v="0"/>
  </r>
  <r>
    <n v="17"/>
    <x v="1"/>
    <x v="1"/>
    <n v="5.5"/>
    <x v="0"/>
    <n v="4.9000000000000004"/>
    <n v="2.6"/>
    <n v="8.1"/>
    <n v="3.64"/>
    <x v="1"/>
    <n v="0.8"/>
    <x v="2"/>
    <n v="6"/>
    <n v="8"/>
    <n v="3"/>
    <n v="0"/>
    <x v="3"/>
    <m/>
    <x v="1"/>
  </r>
  <r>
    <n v="17"/>
    <x v="1"/>
    <x v="1"/>
    <n v="2.2000000000000002"/>
    <x v="2"/>
    <n v="7.5"/>
    <n v="2.2000000000000002"/>
    <n v="4.4000000000000004"/>
    <n v="2.95"/>
    <x v="3"/>
    <n v="1.6"/>
    <x v="0"/>
    <n v="9"/>
    <n v="7"/>
    <n v="4"/>
    <n v="0"/>
    <x v="8"/>
    <m/>
    <x v="2"/>
  </r>
  <r>
    <n v="14"/>
    <x v="0"/>
    <x v="0"/>
    <n v="1.4"/>
    <x v="2"/>
    <n v="4.5"/>
    <n v="1.4"/>
    <n v="2.8"/>
    <n v="3.17"/>
    <x v="0"/>
    <n v="1.7"/>
    <x v="1"/>
    <n v="9"/>
    <n v="10"/>
    <n v="9"/>
    <n v="0"/>
    <x v="24"/>
    <m/>
    <x v="2"/>
  </r>
  <r>
    <n v="18"/>
    <x v="1"/>
    <x v="0"/>
    <n v="4.5"/>
    <x v="0"/>
    <n v="4.4000000000000004"/>
    <n v="1.9"/>
    <n v="6.4"/>
    <n v="2.2599999999999998"/>
    <x v="2"/>
    <n v="0"/>
    <x v="0"/>
    <n v="7"/>
    <n v="8"/>
    <n v="10"/>
    <n v="0"/>
    <x v="20"/>
    <m/>
    <x v="2"/>
  </r>
  <r>
    <n v="14"/>
    <x v="0"/>
    <x v="1"/>
    <n v="6.1"/>
    <x v="0"/>
    <n v="5.7"/>
    <n v="2"/>
    <n v="8.1"/>
    <n v="3.9"/>
    <x v="1"/>
    <n v="1"/>
    <x v="0"/>
    <n v="8"/>
    <n v="4"/>
    <n v="6"/>
    <n v="0"/>
    <x v="11"/>
    <m/>
    <x v="1"/>
  </r>
  <r>
    <n v="17"/>
    <x v="1"/>
    <x v="0"/>
    <n v="3.3"/>
    <x v="1"/>
    <n v="5.7"/>
    <n v="2"/>
    <n v="5.3"/>
    <n v="3.71"/>
    <x v="1"/>
    <n v="0.1"/>
    <x v="0"/>
    <n v="6"/>
    <n v="6"/>
    <n v="8"/>
    <n v="0"/>
    <x v="8"/>
    <m/>
    <x v="2"/>
  </r>
  <r>
    <n v="15"/>
    <x v="0"/>
    <x v="0"/>
    <n v="5.2"/>
    <x v="2"/>
    <n v="5.6"/>
    <n v="1.1000000000000001"/>
    <n v="6.3000000000000007"/>
    <n v="2.88"/>
    <x v="3"/>
    <n v="0.1"/>
    <x v="2"/>
    <n v="4"/>
    <n v="8"/>
    <n v="7"/>
    <n v="0"/>
    <x v="1"/>
    <m/>
    <x v="1"/>
  </r>
  <r>
    <n v="18"/>
    <x v="1"/>
    <x v="0"/>
    <n v="5"/>
    <x v="2"/>
    <n v="5.8"/>
    <n v="1.3"/>
    <n v="6.3"/>
    <n v="2.12"/>
    <x v="2"/>
    <n v="0.1"/>
    <x v="0"/>
    <n v="1"/>
    <n v="9"/>
    <n v="2"/>
    <n v="0"/>
    <x v="17"/>
    <m/>
    <x v="1"/>
  </r>
  <r>
    <n v="17"/>
    <x v="1"/>
    <x v="1"/>
    <n v="1.8"/>
    <x v="1"/>
    <n v="5.9"/>
    <n v="1.9"/>
    <n v="3.7"/>
    <n v="2.89"/>
    <x v="3"/>
    <n v="0.6"/>
    <x v="0"/>
    <n v="8"/>
    <n v="8"/>
    <n v="5"/>
    <n v="0"/>
    <x v="7"/>
    <m/>
    <x v="2"/>
  </r>
  <r>
    <n v="13"/>
    <x v="0"/>
    <x v="0"/>
    <n v="2.2999999999999998"/>
    <x v="1"/>
    <n v="4.5"/>
    <n v="0.7"/>
    <n v="3"/>
    <n v="2.71"/>
    <x v="3"/>
    <n v="0.2"/>
    <x v="0"/>
    <n v="6"/>
    <n v="3"/>
    <n v="7"/>
    <n v="0"/>
    <x v="13"/>
    <m/>
    <x v="1"/>
  </r>
  <r>
    <n v="14"/>
    <x v="0"/>
    <x v="0"/>
    <n v="2.7"/>
    <x v="2"/>
    <n v="6.3"/>
    <n v="0.6"/>
    <n v="3.3000000000000003"/>
    <n v="3.88"/>
    <x v="1"/>
    <n v="0.3"/>
    <x v="2"/>
    <n v="6"/>
    <n v="6"/>
    <n v="6"/>
    <n v="0"/>
    <x v="11"/>
    <m/>
    <x v="1"/>
  </r>
  <r>
    <n v="16"/>
    <x v="1"/>
    <x v="0"/>
    <n v="7.4"/>
    <x v="1"/>
    <n v="7.5"/>
    <n v="1.7"/>
    <n v="9.1"/>
    <n v="3.16"/>
    <x v="0"/>
    <n v="1.8"/>
    <x v="2"/>
    <n v="2"/>
    <n v="3"/>
    <n v="2"/>
    <n v="0"/>
    <x v="21"/>
    <m/>
    <x v="0"/>
  </r>
  <r>
    <n v="15"/>
    <x v="0"/>
    <x v="0"/>
    <n v="6.2"/>
    <x v="1"/>
    <n v="4.5999999999999996"/>
    <n v="1.1000000000000001"/>
    <n v="7.3000000000000007"/>
    <n v="2.94"/>
    <x v="3"/>
    <n v="1.8"/>
    <x v="1"/>
    <n v="4"/>
    <n v="2"/>
    <n v="3"/>
    <n v="0"/>
    <x v="6"/>
    <m/>
    <x v="0"/>
  </r>
  <r>
    <n v="16"/>
    <x v="1"/>
    <x v="0"/>
    <n v="2.2999999999999998"/>
    <x v="1"/>
    <n v="8.8000000000000007"/>
    <n v="1"/>
    <n v="3.3"/>
    <n v="2.5099999999999998"/>
    <x v="3"/>
    <n v="2"/>
    <x v="2"/>
    <n v="6"/>
    <n v="10"/>
    <n v="10"/>
    <n v="0"/>
    <x v="19"/>
    <m/>
    <x v="2"/>
  </r>
  <r>
    <n v="18"/>
    <x v="1"/>
    <x v="0"/>
    <n v="1.8"/>
    <x v="1"/>
    <n v="5.2"/>
    <n v="1.4"/>
    <n v="3.2"/>
    <n v="2.68"/>
    <x v="3"/>
    <n v="0.1"/>
    <x v="1"/>
    <n v="6"/>
    <n v="2"/>
    <n v="10"/>
    <n v="0"/>
    <x v="11"/>
    <m/>
    <x v="1"/>
  </r>
  <r>
    <n v="16"/>
    <x v="1"/>
    <x v="1"/>
    <n v="1.3"/>
    <x v="0"/>
    <n v="4.9000000000000004"/>
    <n v="2.6"/>
    <n v="3.9000000000000004"/>
    <n v="2.89"/>
    <x v="3"/>
    <n v="0.2"/>
    <x v="0"/>
    <n v="2"/>
    <n v="5"/>
    <n v="2"/>
    <n v="0"/>
    <x v="6"/>
    <m/>
    <x v="0"/>
  </r>
  <r>
    <n v="15"/>
    <x v="0"/>
    <x v="0"/>
    <n v="2.1"/>
    <x v="0"/>
    <n v="4.4000000000000004"/>
    <n v="2.1"/>
    <n v="4.2"/>
    <n v="3.43"/>
    <x v="0"/>
    <n v="1.9"/>
    <x v="0"/>
    <n v="6"/>
    <n v="6"/>
    <n v="7"/>
    <n v="0"/>
    <x v="1"/>
    <m/>
    <x v="1"/>
  </r>
  <r>
    <n v="14"/>
    <x v="0"/>
    <x v="0"/>
    <n v="3.9"/>
    <x v="0"/>
    <n v="7.7"/>
    <n v="1.4"/>
    <n v="5.3"/>
    <n v="2.86"/>
    <x v="3"/>
    <n v="1.7"/>
    <x v="1"/>
    <n v="3"/>
    <n v="5"/>
    <n v="1"/>
    <n v="0"/>
    <x v="6"/>
    <m/>
    <x v="0"/>
  </r>
  <r>
    <n v="18"/>
    <x v="1"/>
    <x v="1"/>
    <n v="3.8"/>
    <x v="2"/>
    <n v="4.5"/>
    <n v="1.3"/>
    <n v="5.0999999999999996"/>
    <n v="3.06"/>
    <x v="0"/>
    <n v="0.3"/>
    <x v="2"/>
    <n v="7"/>
    <n v="8"/>
    <n v="1"/>
    <n v="0"/>
    <x v="13"/>
    <m/>
    <x v="1"/>
  </r>
  <r>
    <n v="15"/>
    <x v="0"/>
    <x v="0"/>
    <n v="6.4"/>
    <x v="0"/>
    <n v="7.8"/>
    <n v="0.7"/>
    <n v="7.1000000000000005"/>
    <n v="2.6"/>
    <x v="3"/>
    <n v="0.7"/>
    <x v="1"/>
    <n v="4"/>
    <n v="4"/>
    <n v="2"/>
    <n v="0"/>
    <x v="4"/>
    <m/>
    <x v="1"/>
  </r>
  <r>
    <n v="19"/>
    <x v="1"/>
    <x v="0"/>
    <n v="3.2"/>
    <x v="0"/>
    <n v="6.2"/>
    <n v="2.6"/>
    <n v="5.8000000000000007"/>
    <n v="3.72"/>
    <x v="1"/>
    <n v="1.9"/>
    <x v="1"/>
    <n v="9"/>
    <n v="5"/>
    <n v="7"/>
    <n v="0"/>
    <x v="7"/>
    <m/>
    <x v="2"/>
  </r>
  <r>
    <n v="13"/>
    <x v="0"/>
    <x v="0"/>
    <n v="4.4000000000000004"/>
    <x v="2"/>
    <n v="8.1999999999999993"/>
    <n v="1.5"/>
    <n v="5.9"/>
    <n v="3.98"/>
    <x v="1"/>
    <n v="1.4"/>
    <x v="1"/>
    <n v="9"/>
    <n v="6"/>
    <n v="6"/>
    <n v="0"/>
    <x v="7"/>
    <m/>
    <x v="2"/>
  </r>
  <r>
    <n v="15"/>
    <x v="0"/>
    <x v="0"/>
    <n v="1.3"/>
    <x v="1"/>
    <n v="7.5"/>
    <n v="1.3"/>
    <n v="2.6"/>
    <n v="2.99"/>
    <x v="3"/>
    <n v="1.4"/>
    <x v="0"/>
    <n v="1"/>
    <n v="5"/>
    <n v="2"/>
    <n v="0"/>
    <x v="2"/>
    <m/>
    <x v="0"/>
  </r>
  <r>
    <n v="18"/>
    <x v="1"/>
    <x v="1"/>
    <n v="5.7"/>
    <x v="1"/>
    <n v="6.2"/>
    <n v="0.5"/>
    <n v="6.2"/>
    <n v="3.98"/>
    <x v="1"/>
    <n v="1.7"/>
    <x v="2"/>
    <n v="7"/>
    <n v="6"/>
    <n v="3"/>
    <n v="0"/>
    <x v="13"/>
    <m/>
    <x v="1"/>
  </r>
  <r>
    <n v="13"/>
    <x v="0"/>
    <x v="0"/>
    <n v="4"/>
    <x v="1"/>
    <n v="5"/>
    <n v="2.9"/>
    <n v="6.9"/>
    <n v="3.84"/>
    <x v="1"/>
    <n v="0.1"/>
    <x v="0"/>
    <n v="7"/>
    <n v="8"/>
    <n v="10"/>
    <n v="0"/>
    <x v="20"/>
    <m/>
    <x v="2"/>
  </r>
  <r>
    <n v="16"/>
    <x v="1"/>
    <x v="1"/>
    <n v="4.8"/>
    <x v="0"/>
    <n v="6.7"/>
    <n v="1.4"/>
    <n v="6.1999999999999993"/>
    <n v="2.44"/>
    <x v="2"/>
    <n v="0.3"/>
    <x v="0"/>
    <n v="1"/>
    <n v="3"/>
    <n v="1"/>
    <n v="0"/>
    <x v="0"/>
    <m/>
    <x v="0"/>
  </r>
  <r>
    <n v="19"/>
    <x v="1"/>
    <x v="0"/>
    <n v="5.8"/>
    <x v="2"/>
    <n v="7.5"/>
    <n v="1.9"/>
    <n v="7.6999999999999993"/>
    <n v="2.08"/>
    <x v="2"/>
    <n v="0.1"/>
    <x v="1"/>
    <n v="2"/>
    <n v="1"/>
    <n v="3"/>
    <n v="0"/>
    <x v="9"/>
    <m/>
    <x v="0"/>
  </r>
  <r>
    <n v="16"/>
    <x v="1"/>
    <x v="0"/>
    <n v="5.8"/>
    <x v="2"/>
    <n v="8.9"/>
    <n v="1.1000000000000001"/>
    <n v="6.9"/>
    <n v="2.08"/>
    <x v="2"/>
    <n v="1.9"/>
    <x v="2"/>
    <n v="8"/>
    <n v="5"/>
    <n v="9"/>
    <n v="0"/>
    <x v="10"/>
    <m/>
    <x v="2"/>
  </r>
  <r>
    <n v="13"/>
    <x v="0"/>
    <x v="0"/>
    <n v="3.2"/>
    <x v="1"/>
    <n v="5.0999999999999996"/>
    <n v="1.6"/>
    <n v="4.8000000000000007"/>
    <n v="2.87"/>
    <x v="3"/>
    <n v="1.8"/>
    <x v="2"/>
    <n v="4"/>
    <n v="9"/>
    <n v="8"/>
    <n v="0"/>
    <x v="7"/>
    <m/>
    <x v="2"/>
  </r>
  <r>
    <n v="16"/>
    <x v="1"/>
    <x v="1"/>
    <n v="5.2"/>
    <x v="2"/>
    <n v="4"/>
    <n v="2.4"/>
    <n v="7.6"/>
    <n v="2.35"/>
    <x v="2"/>
    <n v="1.6"/>
    <x v="0"/>
    <n v="10"/>
    <n v="5"/>
    <n v="2"/>
    <n v="0"/>
    <x v="3"/>
    <m/>
    <x v="1"/>
  </r>
  <r>
    <n v="17"/>
    <x v="1"/>
    <x v="0"/>
    <n v="2.4"/>
    <x v="1"/>
    <n v="6"/>
    <n v="0.7"/>
    <n v="3.0999999999999996"/>
    <n v="3.67"/>
    <x v="1"/>
    <n v="1.5"/>
    <x v="0"/>
    <n v="7"/>
    <n v="9"/>
    <n v="2"/>
    <n v="0"/>
    <x v="11"/>
    <m/>
    <x v="1"/>
  </r>
  <r>
    <n v="15"/>
    <x v="0"/>
    <x v="0"/>
    <n v="7.4"/>
    <x v="2"/>
    <n v="5.9"/>
    <n v="2.6"/>
    <n v="10"/>
    <n v="2.89"/>
    <x v="3"/>
    <n v="1.9"/>
    <x v="2"/>
    <n v="7"/>
    <n v="3"/>
    <n v="8"/>
    <n v="0"/>
    <x v="11"/>
    <m/>
    <x v="1"/>
  </r>
  <r>
    <n v="18"/>
    <x v="1"/>
    <x v="1"/>
    <n v="7.1"/>
    <x v="0"/>
    <n v="4.8"/>
    <n v="2.1"/>
    <n v="9.1999999999999993"/>
    <n v="2.5099999999999998"/>
    <x v="3"/>
    <n v="0.9"/>
    <x v="1"/>
    <n v="1"/>
    <n v="1"/>
    <n v="10"/>
    <n v="0"/>
    <x v="17"/>
    <m/>
    <x v="1"/>
  </r>
  <r>
    <n v="16"/>
    <x v="1"/>
    <x v="0"/>
    <n v="6.5"/>
    <x v="1"/>
    <n v="7.4"/>
    <n v="1.9"/>
    <n v="8.4"/>
    <n v="2.2200000000000002"/>
    <x v="2"/>
    <n v="1.1000000000000001"/>
    <x v="2"/>
    <n v="10"/>
    <n v="10"/>
    <n v="2"/>
    <n v="0"/>
    <x v="10"/>
    <m/>
    <x v="2"/>
  </r>
  <r>
    <n v="13"/>
    <x v="0"/>
    <x v="0"/>
    <n v="7.4"/>
    <x v="2"/>
    <n v="7"/>
    <n v="1.8"/>
    <n v="9.2000000000000011"/>
    <n v="2.17"/>
    <x v="2"/>
    <n v="1.4"/>
    <x v="2"/>
    <n v="9"/>
    <n v="10"/>
    <n v="5"/>
    <n v="0"/>
    <x v="16"/>
    <m/>
    <x v="2"/>
  </r>
  <r>
    <n v="15"/>
    <x v="0"/>
    <x v="1"/>
    <n v="3.9"/>
    <x v="0"/>
    <n v="6.4"/>
    <n v="1.7"/>
    <n v="5.6"/>
    <n v="2.87"/>
    <x v="3"/>
    <n v="1.8"/>
    <x v="1"/>
    <n v="6"/>
    <n v="6"/>
    <n v="6"/>
    <n v="0"/>
    <x v="11"/>
    <m/>
    <x v="1"/>
  </r>
  <r>
    <n v="15"/>
    <x v="0"/>
    <x v="1"/>
    <n v="4.5999999999999996"/>
    <x v="2"/>
    <n v="8.6"/>
    <n v="2"/>
    <n v="6.6"/>
    <n v="3.01"/>
    <x v="0"/>
    <n v="0"/>
    <x v="0"/>
    <n v="1"/>
    <n v="8"/>
    <n v="3"/>
    <n v="0"/>
    <x v="17"/>
    <m/>
    <x v="1"/>
  </r>
  <r>
    <n v="19"/>
    <x v="1"/>
    <x v="0"/>
    <n v="1.5"/>
    <x v="1"/>
    <n v="6.7"/>
    <n v="1"/>
    <n v="2.5"/>
    <n v="3.9"/>
    <x v="1"/>
    <n v="0.4"/>
    <x v="0"/>
    <n v="4"/>
    <n v="3"/>
    <n v="3"/>
    <n v="0"/>
    <x v="4"/>
    <m/>
    <x v="1"/>
  </r>
  <r>
    <n v="15"/>
    <x v="0"/>
    <x v="1"/>
    <n v="5.8"/>
    <x v="0"/>
    <n v="7.1"/>
    <n v="1.1000000000000001"/>
    <n v="6.9"/>
    <n v="3.72"/>
    <x v="1"/>
    <n v="1.5"/>
    <x v="0"/>
    <n v="9"/>
    <n v="6"/>
    <n v="6"/>
    <n v="0"/>
    <x v="7"/>
    <m/>
    <x v="2"/>
  </r>
  <r>
    <n v="17"/>
    <x v="1"/>
    <x v="1"/>
    <n v="6.4"/>
    <x v="1"/>
    <n v="4.9000000000000004"/>
    <n v="2.1"/>
    <n v="8.5"/>
    <n v="2.78"/>
    <x v="3"/>
    <n v="1"/>
    <x v="1"/>
    <n v="2"/>
    <n v="2"/>
    <n v="6"/>
    <n v="0"/>
    <x v="4"/>
    <m/>
    <x v="1"/>
  </r>
  <r>
    <n v="16"/>
    <x v="1"/>
    <x v="1"/>
    <n v="2.1"/>
    <x v="1"/>
    <n v="8.1999999999999993"/>
    <n v="2.4"/>
    <n v="4.5"/>
    <n v="3.25"/>
    <x v="0"/>
    <n v="0.1"/>
    <x v="1"/>
    <n v="1"/>
    <n v="1"/>
    <n v="8"/>
    <n v="0"/>
    <x v="4"/>
    <m/>
    <x v="1"/>
  </r>
  <r>
    <n v="17"/>
    <x v="1"/>
    <x v="1"/>
    <n v="2.2000000000000002"/>
    <x v="1"/>
    <n v="6.5"/>
    <n v="3"/>
    <n v="5.2"/>
    <n v="2.4900000000000002"/>
    <x v="2"/>
    <n v="0.2"/>
    <x v="2"/>
    <n v="5"/>
    <n v="8"/>
    <n v="4"/>
    <n v="0"/>
    <x v="3"/>
    <m/>
    <x v="1"/>
  </r>
  <r>
    <n v="14"/>
    <x v="0"/>
    <x v="0"/>
    <n v="5.5"/>
    <x v="1"/>
    <n v="7.4"/>
    <n v="2.9"/>
    <n v="8.4"/>
    <n v="3.54"/>
    <x v="0"/>
    <n v="1.1000000000000001"/>
    <x v="1"/>
    <n v="8"/>
    <n v="4"/>
    <n v="10"/>
    <n v="0"/>
    <x v="10"/>
    <m/>
    <x v="2"/>
  </r>
  <r>
    <n v="17"/>
    <x v="1"/>
    <x v="1"/>
    <n v="6.6"/>
    <x v="2"/>
    <n v="7.4"/>
    <n v="2.2000000000000002"/>
    <n v="8.8000000000000007"/>
    <n v="2.63"/>
    <x v="3"/>
    <n v="0.6"/>
    <x v="1"/>
    <n v="7"/>
    <n v="4"/>
    <n v="9"/>
    <n v="0"/>
    <x v="8"/>
    <m/>
    <x v="2"/>
  </r>
  <r>
    <n v="19"/>
    <x v="1"/>
    <x v="1"/>
    <n v="5.2"/>
    <x v="0"/>
    <n v="6.6"/>
    <n v="1.6"/>
    <n v="6.8000000000000007"/>
    <n v="2.36"/>
    <x v="2"/>
    <n v="1.4"/>
    <x v="0"/>
    <n v="2"/>
    <n v="6"/>
    <n v="10"/>
    <n v="0"/>
    <x v="11"/>
    <m/>
    <x v="1"/>
  </r>
  <r>
    <n v="17"/>
    <x v="1"/>
    <x v="0"/>
    <n v="4.7"/>
    <x v="1"/>
    <n v="5.0999999999999996"/>
    <n v="2"/>
    <n v="6.7"/>
    <n v="2.35"/>
    <x v="2"/>
    <n v="1.8"/>
    <x v="0"/>
    <n v="8"/>
    <n v="9"/>
    <n v="1"/>
    <n v="0"/>
    <x v="11"/>
    <m/>
    <x v="1"/>
  </r>
  <r>
    <n v="19"/>
    <x v="1"/>
    <x v="1"/>
    <n v="7.1"/>
    <x v="2"/>
    <n v="6.3"/>
    <n v="2.2000000000000002"/>
    <n v="9.3000000000000007"/>
    <n v="3.88"/>
    <x v="1"/>
    <n v="0.8"/>
    <x v="1"/>
    <n v="10"/>
    <n v="4"/>
    <n v="9"/>
    <n v="0"/>
    <x v="22"/>
    <m/>
    <x v="2"/>
  </r>
  <r>
    <n v="19"/>
    <x v="1"/>
    <x v="1"/>
    <n v="4.2"/>
    <x v="2"/>
    <n v="8.1"/>
    <n v="1.4"/>
    <n v="5.6"/>
    <n v="2.66"/>
    <x v="3"/>
    <n v="1.9"/>
    <x v="0"/>
    <n v="9"/>
    <n v="4"/>
    <n v="2"/>
    <n v="0"/>
    <x v="5"/>
    <m/>
    <x v="1"/>
  </r>
  <r>
    <n v="17"/>
    <x v="1"/>
    <x v="1"/>
    <n v="1.3"/>
    <x v="0"/>
    <n v="5.0999999999999996"/>
    <n v="2.2000000000000002"/>
    <n v="3.5"/>
    <n v="3.44"/>
    <x v="0"/>
    <n v="0.6"/>
    <x v="1"/>
    <n v="7"/>
    <n v="8"/>
    <n v="6"/>
    <n v="0"/>
    <x v="7"/>
    <m/>
    <x v="2"/>
  </r>
  <r>
    <n v="18"/>
    <x v="1"/>
    <x v="0"/>
    <n v="2.6"/>
    <x v="2"/>
    <n v="7.8"/>
    <n v="1.9"/>
    <n v="4.5"/>
    <n v="3.15"/>
    <x v="0"/>
    <n v="0.4"/>
    <x v="2"/>
    <n v="8"/>
    <n v="3"/>
    <n v="2"/>
    <n v="0"/>
    <x v="18"/>
    <m/>
    <x v="1"/>
  </r>
  <r>
    <n v="15"/>
    <x v="0"/>
    <x v="0"/>
    <n v="6.2"/>
    <x v="0"/>
    <n v="8.1"/>
    <n v="2.2999999999999998"/>
    <n v="8.5"/>
    <n v="3.46"/>
    <x v="0"/>
    <n v="1.3"/>
    <x v="0"/>
    <n v="5"/>
    <n v="4"/>
    <n v="9"/>
    <n v="0"/>
    <x v="11"/>
    <m/>
    <x v="1"/>
  </r>
  <r>
    <n v="14"/>
    <x v="0"/>
    <x v="1"/>
    <n v="6.2"/>
    <x v="1"/>
    <n v="5.0999999999999996"/>
    <n v="1.5"/>
    <n v="7.7"/>
    <n v="3.85"/>
    <x v="1"/>
    <n v="0.2"/>
    <x v="1"/>
    <n v="3"/>
    <n v="4"/>
    <n v="10"/>
    <n v="0"/>
    <x v="3"/>
    <m/>
    <x v="1"/>
  </r>
  <r>
    <n v="18"/>
    <x v="1"/>
    <x v="0"/>
    <n v="4.8"/>
    <x v="1"/>
    <n v="8.5"/>
    <n v="2.8"/>
    <n v="7.6"/>
    <n v="3.77"/>
    <x v="1"/>
    <n v="1.3"/>
    <x v="0"/>
    <n v="5"/>
    <n v="4"/>
    <n v="3"/>
    <n v="0"/>
    <x v="17"/>
    <m/>
    <x v="1"/>
  </r>
  <r>
    <n v="18"/>
    <x v="1"/>
    <x v="1"/>
    <n v="3"/>
    <x v="2"/>
    <n v="4.5999999999999996"/>
    <n v="2"/>
    <n v="5"/>
    <n v="2.2400000000000002"/>
    <x v="2"/>
    <n v="1.5"/>
    <x v="2"/>
    <n v="10"/>
    <n v="2"/>
    <n v="5"/>
    <n v="0"/>
    <x v="3"/>
    <m/>
    <x v="1"/>
  </r>
  <r>
    <n v="16"/>
    <x v="1"/>
    <x v="0"/>
    <n v="4.7"/>
    <x v="0"/>
    <n v="8.1999999999999993"/>
    <n v="2.7"/>
    <n v="7.4"/>
    <n v="3.04"/>
    <x v="0"/>
    <n v="0.3"/>
    <x v="1"/>
    <n v="1"/>
    <n v="3"/>
    <n v="4"/>
    <n v="0"/>
    <x v="2"/>
    <m/>
    <x v="0"/>
  </r>
  <r>
    <n v="18"/>
    <x v="1"/>
    <x v="1"/>
    <n v="4.4000000000000004"/>
    <x v="2"/>
    <n v="5.0999999999999996"/>
    <n v="1.4"/>
    <n v="5.8000000000000007"/>
    <n v="2.33"/>
    <x v="2"/>
    <n v="0.6"/>
    <x v="0"/>
    <n v="2"/>
    <n v="7"/>
    <n v="4"/>
    <n v="0"/>
    <x v="18"/>
    <m/>
    <x v="1"/>
  </r>
  <r>
    <n v="14"/>
    <x v="0"/>
    <x v="1"/>
    <n v="2.2999999999999998"/>
    <x v="1"/>
    <n v="7.3"/>
    <n v="2.2999999999999998"/>
    <n v="4.5999999999999996"/>
    <n v="2.8"/>
    <x v="3"/>
    <n v="1.5"/>
    <x v="2"/>
    <n v="4"/>
    <n v="6"/>
    <n v="5"/>
    <n v="0"/>
    <x v="5"/>
    <m/>
    <x v="1"/>
  </r>
  <r>
    <n v="14"/>
    <x v="0"/>
    <x v="1"/>
    <n v="3.1"/>
    <x v="0"/>
    <n v="6.9"/>
    <n v="1.9"/>
    <n v="5"/>
    <n v="2.2000000000000002"/>
    <x v="2"/>
    <n v="1.2"/>
    <x v="2"/>
    <n v="3"/>
    <n v="4"/>
    <n v="2"/>
    <n v="0"/>
    <x v="6"/>
    <m/>
    <x v="0"/>
  </r>
  <r>
    <n v="18"/>
    <x v="1"/>
    <x v="0"/>
    <n v="2.9"/>
    <x v="1"/>
    <n v="7.5"/>
    <n v="0.6"/>
    <n v="3.5"/>
    <n v="2.25"/>
    <x v="2"/>
    <n v="1"/>
    <x v="1"/>
    <n v="4"/>
    <n v="7"/>
    <n v="4"/>
    <n v="0"/>
    <x v="5"/>
    <m/>
    <x v="1"/>
  </r>
  <r>
    <n v="13"/>
    <x v="0"/>
    <x v="0"/>
    <n v="1.8"/>
    <x v="0"/>
    <n v="4.4000000000000004"/>
    <n v="0.6"/>
    <n v="2.4"/>
    <n v="3.48"/>
    <x v="0"/>
    <n v="1.7"/>
    <x v="2"/>
    <n v="3"/>
    <n v="1"/>
    <n v="10"/>
    <n v="0"/>
    <x v="15"/>
    <m/>
    <x v="1"/>
  </r>
  <r>
    <n v="15"/>
    <x v="0"/>
    <x v="1"/>
    <n v="2"/>
    <x v="0"/>
    <n v="4.7"/>
    <n v="1.3"/>
    <n v="3.3"/>
    <n v="3.55"/>
    <x v="0"/>
    <n v="1.3"/>
    <x v="0"/>
    <n v="2"/>
    <n v="6"/>
    <n v="5"/>
    <n v="0"/>
    <x v="18"/>
    <m/>
    <x v="1"/>
  </r>
  <r>
    <n v="13"/>
    <x v="0"/>
    <x v="1"/>
    <n v="4.2"/>
    <x v="0"/>
    <n v="7.9"/>
    <n v="2.7"/>
    <n v="6.9"/>
    <n v="3.76"/>
    <x v="1"/>
    <n v="0.1"/>
    <x v="2"/>
    <n v="10"/>
    <n v="7"/>
    <n v="2"/>
    <n v="0"/>
    <x v="1"/>
    <m/>
    <x v="1"/>
  </r>
  <r>
    <n v="17"/>
    <x v="1"/>
    <x v="1"/>
    <n v="6.7"/>
    <x v="2"/>
    <n v="7.9"/>
    <n v="1.4"/>
    <n v="8.1"/>
    <n v="3.91"/>
    <x v="1"/>
    <n v="0.4"/>
    <x v="1"/>
    <n v="3"/>
    <n v="3"/>
    <n v="1"/>
    <n v="0"/>
    <x v="21"/>
    <m/>
    <x v="0"/>
  </r>
  <r>
    <n v="17"/>
    <x v="1"/>
    <x v="1"/>
    <n v="2.2000000000000002"/>
    <x v="2"/>
    <n v="7.2"/>
    <n v="0.5"/>
    <n v="2.7"/>
    <n v="2.38"/>
    <x v="2"/>
    <n v="1.2"/>
    <x v="2"/>
    <n v="10"/>
    <n v="4"/>
    <n v="8"/>
    <n v="0"/>
    <x v="10"/>
    <m/>
    <x v="2"/>
  </r>
  <r>
    <n v="17"/>
    <x v="1"/>
    <x v="1"/>
    <n v="1.1000000000000001"/>
    <x v="1"/>
    <n v="6.8"/>
    <n v="0.6"/>
    <n v="1.7000000000000002"/>
    <n v="2.2799999999999998"/>
    <x v="2"/>
    <n v="1.6"/>
    <x v="2"/>
    <n v="9"/>
    <n v="3"/>
    <n v="7"/>
    <n v="0"/>
    <x v="1"/>
    <m/>
    <x v="1"/>
  </r>
  <r>
    <n v="16"/>
    <x v="1"/>
    <x v="1"/>
    <n v="6.4"/>
    <x v="1"/>
    <n v="5.9"/>
    <n v="2.8"/>
    <n v="9.1999999999999993"/>
    <n v="3.81"/>
    <x v="1"/>
    <n v="1.3"/>
    <x v="1"/>
    <n v="1"/>
    <n v="3"/>
    <n v="7"/>
    <n v="0"/>
    <x v="12"/>
    <m/>
    <x v="1"/>
  </r>
  <r>
    <n v="19"/>
    <x v="1"/>
    <x v="1"/>
    <n v="2.8"/>
    <x v="0"/>
    <n v="5.9"/>
    <n v="1.5"/>
    <n v="4.3"/>
    <n v="2.85"/>
    <x v="3"/>
    <n v="0.6"/>
    <x v="1"/>
    <n v="10"/>
    <n v="9"/>
    <n v="4"/>
    <n v="0"/>
    <x v="22"/>
    <m/>
    <x v="2"/>
  </r>
  <r>
    <n v="13"/>
    <x v="0"/>
    <x v="0"/>
    <n v="2.2000000000000002"/>
    <x v="2"/>
    <n v="5.8"/>
    <n v="2"/>
    <n v="4.2"/>
    <n v="3.63"/>
    <x v="1"/>
    <n v="1.9"/>
    <x v="0"/>
    <n v="4"/>
    <n v="4"/>
    <n v="10"/>
    <n v="0"/>
    <x v="11"/>
    <m/>
    <x v="1"/>
  </r>
  <r>
    <n v="19"/>
    <x v="1"/>
    <x v="0"/>
    <n v="5.7"/>
    <x v="0"/>
    <n v="4.8"/>
    <n v="2.2000000000000002"/>
    <n v="7.9"/>
    <n v="3.66"/>
    <x v="1"/>
    <n v="0.9"/>
    <x v="0"/>
    <n v="3"/>
    <n v="7"/>
    <n v="5"/>
    <n v="0"/>
    <x v="5"/>
    <m/>
    <x v="1"/>
  </r>
  <r>
    <n v="15"/>
    <x v="0"/>
    <x v="0"/>
    <n v="5.3"/>
    <x v="2"/>
    <n v="7.3"/>
    <n v="1.9"/>
    <n v="7.1999999999999993"/>
    <n v="2.5099999999999998"/>
    <x v="3"/>
    <n v="1.4"/>
    <x v="1"/>
    <n v="10"/>
    <n v="4"/>
    <n v="2"/>
    <n v="0"/>
    <x v="13"/>
    <m/>
    <x v="1"/>
  </r>
  <r>
    <n v="14"/>
    <x v="0"/>
    <x v="0"/>
    <n v="3.1"/>
    <x v="1"/>
    <n v="8.8000000000000007"/>
    <n v="1.5"/>
    <n v="4.5999999999999996"/>
    <n v="3.91"/>
    <x v="1"/>
    <n v="0.6"/>
    <x v="2"/>
    <n v="4"/>
    <n v="9"/>
    <n v="6"/>
    <n v="0"/>
    <x v="1"/>
    <m/>
    <x v="1"/>
  </r>
  <r>
    <n v="16"/>
    <x v="1"/>
    <x v="0"/>
    <n v="1.7"/>
    <x v="1"/>
    <n v="4.9000000000000004"/>
    <n v="0.6"/>
    <n v="2.2999999999999998"/>
    <n v="3.38"/>
    <x v="0"/>
    <n v="1.1000000000000001"/>
    <x v="2"/>
    <n v="10"/>
    <n v="4"/>
    <n v="6"/>
    <n v="0"/>
    <x v="8"/>
    <m/>
    <x v="2"/>
  </r>
  <r>
    <n v="19"/>
    <x v="1"/>
    <x v="1"/>
    <n v="6.7"/>
    <x v="0"/>
    <n v="7.3"/>
    <n v="2.8"/>
    <n v="9.5"/>
    <n v="2.2599999999999998"/>
    <x v="2"/>
    <n v="1.4"/>
    <x v="1"/>
    <n v="7"/>
    <n v="6"/>
    <n v="8"/>
    <n v="0"/>
    <x v="7"/>
    <m/>
    <x v="2"/>
  </r>
  <r>
    <n v="13"/>
    <x v="0"/>
    <x v="1"/>
    <n v="7.8"/>
    <x v="0"/>
    <n v="7.4"/>
    <n v="1.7"/>
    <n v="9.5"/>
    <n v="2.76"/>
    <x v="3"/>
    <n v="1.1000000000000001"/>
    <x v="0"/>
    <n v="10"/>
    <n v="1"/>
    <n v="4"/>
    <n v="0"/>
    <x v="5"/>
    <m/>
    <x v="1"/>
  </r>
  <r>
    <n v="18"/>
    <x v="1"/>
    <x v="1"/>
    <n v="2.1"/>
    <x v="2"/>
    <n v="6.7"/>
    <n v="0.9"/>
    <n v="3"/>
    <n v="3.73"/>
    <x v="1"/>
    <n v="0.7"/>
    <x v="0"/>
    <n v="3"/>
    <n v="5"/>
    <n v="7"/>
    <n v="0"/>
    <x v="5"/>
    <m/>
    <x v="1"/>
  </r>
  <r>
    <n v="17"/>
    <x v="1"/>
    <x v="1"/>
    <n v="5.0999999999999996"/>
    <x v="1"/>
    <n v="8.6"/>
    <n v="1.9"/>
    <n v="7"/>
    <n v="3.33"/>
    <x v="0"/>
    <n v="1.1000000000000001"/>
    <x v="0"/>
    <n v="1"/>
    <n v="7"/>
    <n v="8"/>
    <n v="0"/>
    <x v="13"/>
    <m/>
    <x v="1"/>
  </r>
  <r>
    <n v="18"/>
    <x v="1"/>
    <x v="1"/>
    <n v="3.6"/>
    <x v="0"/>
    <n v="5.4"/>
    <n v="0.9"/>
    <n v="4.5"/>
    <n v="3.45"/>
    <x v="0"/>
    <n v="0.5"/>
    <x v="2"/>
    <n v="1"/>
    <n v="10"/>
    <n v="2"/>
    <n v="0"/>
    <x v="18"/>
    <m/>
    <x v="1"/>
  </r>
  <r>
    <n v="18"/>
    <x v="1"/>
    <x v="0"/>
    <n v="5"/>
    <x v="2"/>
    <n v="7.6"/>
    <n v="2"/>
    <n v="7"/>
    <n v="3.94"/>
    <x v="1"/>
    <n v="0.5"/>
    <x v="0"/>
    <n v="4"/>
    <n v="3"/>
    <n v="3"/>
    <n v="0"/>
    <x v="4"/>
    <m/>
    <x v="1"/>
  </r>
  <r>
    <n v="17"/>
    <x v="1"/>
    <x v="0"/>
    <n v="1.7"/>
    <x v="2"/>
    <n v="8.6"/>
    <n v="0.9"/>
    <n v="2.6"/>
    <n v="2.36"/>
    <x v="2"/>
    <n v="1.7"/>
    <x v="0"/>
    <n v="9"/>
    <n v="1"/>
    <n v="3"/>
    <n v="0"/>
    <x v="18"/>
    <m/>
    <x v="1"/>
  </r>
  <r>
    <n v="17"/>
    <x v="1"/>
    <x v="0"/>
    <n v="6.8"/>
    <x v="0"/>
    <n v="4.7"/>
    <n v="0.6"/>
    <n v="7.3999999999999995"/>
    <n v="3.4"/>
    <x v="0"/>
    <n v="0.9"/>
    <x v="0"/>
    <n v="3"/>
    <n v="9"/>
    <n v="7"/>
    <n v="0"/>
    <x v="1"/>
    <m/>
    <x v="1"/>
  </r>
  <r>
    <n v="14"/>
    <x v="0"/>
    <x v="0"/>
    <n v="3.8"/>
    <x v="2"/>
    <n v="7.5"/>
    <n v="0.5"/>
    <n v="4.3"/>
    <n v="2.1800000000000002"/>
    <x v="2"/>
    <n v="1"/>
    <x v="2"/>
    <n v="5"/>
    <n v="2"/>
    <n v="2"/>
    <n v="0"/>
    <x v="6"/>
    <m/>
    <x v="0"/>
  </r>
  <r>
    <n v="16"/>
    <x v="1"/>
    <x v="0"/>
    <n v="2.1"/>
    <x v="0"/>
    <n v="7.7"/>
    <n v="1.1000000000000001"/>
    <n v="3.2"/>
    <n v="2.27"/>
    <x v="2"/>
    <n v="1.1000000000000001"/>
    <x v="2"/>
    <n v="3"/>
    <n v="2"/>
    <n v="4"/>
    <n v="0"/>
    <x v="6"/>
    <m/>
    <x v="0"/>
  </r>
  <r>
    <n v="15"/>
    <x v="0"/>
    <x v="1"/>
    <n v="3.2"/>
    <x v="0"/>
    <n v="4"/>
    <n v="2"/>
    <n v="5.2"/>
    <n v="3.25"/>
    <x v="0"/>
    <n v="0.7"/>
    <x v="0"/>
    <n v="8"/>
    <n v="4"/>
    <n v="8"/>
    <n v="0"/>
    <x v="8"/>
    <m/>
    <x v="2"/>
  </r>
  <r>
    <n v="18"/>
    <x v="1"/>
    <x v="0"/>
    <n v="1.9"/>
    <x v="0"/>
    <n v="5.6"/>
    <n v="2.2999999999999998"/>
    <n v="4.1999999999999993"/>
    <n v="2.8"/>
    <x v="3"/>
    <n v="1.9"/>
    <x v="2"/>
    <n v="8"/>
    <n v="1"/>
    <n v="8"/>
    <n v="0"/>
    <x v="3"/>
    <m/>
    <x v="1"/>
  </r>
  <r>
    <n v="13"/>
    <x v="0"/>
    <x v="1"/>
    <n v="3.5"/>
    <x v="0"/>
    <n v="6.8"/>
    <n v="1.5"/>
    <n v="5"/>
    <n v="2.35"/>
    <x v="2"/>
    <n v="1.8"/>
    <x v="2"/>
    <n v="7"/>
    <n v="3"/>
    <n v="2"/>
    <n v="0"/>
    <x v="17"/>
    <m/>
    <x v="1"/>
  </r>
  <r>
    <n v="15"/>
    <x v="0"/>
    <x v="1"/>
    <n v="4.5"/>
    <x v="0"/>
    <n v="7.7"/>
    <n v="0.9"/>
    <n v="5.4"/>
    <n v="2.61"/>
    <x v="3"/>
    <n v="1.1000000000000001"/>
    <x v="2"/>
    <n v="9"/>
    <n v="10"/>
    <n v="4"/>
    <n v="0"/>
    <x v="22"/>
    <m/>
    <x v="2"/>
  </r>
  <r>
    <n v="13"/>
    <x v="0"/>
    <x v="1"/>
    <n v="6"/>
    <x v="1"/>
    <n v="5"/>
    <n v="2.5"/>
    <n v="8.5"/>
    <n v="2.5499999999999998"/>
    <x v="3"/>
    <n v="1.8"/>
    <x v="1"/>
    <n v="4"/>
    <n v="9"/>
    <n v="2"/>
    <n v="0"/>
    <x v="5"/>
    <m/>
    <x v="1"/>
  </r>
  <r>
    <n v="13"/>
    <x v="0"/>
    <x v="1"/>
    <n v="3.6"/>
    <x v="1"/>
    <n v="4.8"/>
    <n v="2.2000000000000002"/>
    <n v="5.8000000000000007"/>
    <n v="3.58"/>
    <x v="0"/>
    <n v="1.2"/>
    <x v="2"/>
    <n v="4"/>
    <n v="4"/>
    <n v="7"/>
    <n v="0"/>
    <x v="5"/>
    <m/>
    <x v="1"/>
  </r>
  <r>
    <n v="19"/>
    <x v="1"/>
    <x v="0"/>
    <n v="5.2"/>
    <x v="1"/>
    <n v="6.9"/>
    <n v="2.2999999999999998"/>
    <n v="7.5"/>
    <n v="2.09"/>
    <x v="2"/>
    <n v="0.2"/>
    <x v="1"/>
    <n v="6"/>
    <n v="4"/>
    <n v="8"/>
    <n v="0"/>
    <x v="11"/>
    <m/>
    <x v="1"/>
  </r>
  <r>
    <n v="13"/>
    <x v="0"/>
    <x v="0"/>
    <n v="2.7"/>
    <x v="2"/>
    <n v="6.9"/>
    <n v="1.4"/>
    <n v="4.0999999999999996"/>
    <n v="2.87"/>
    <x v="3"/>
    <n v="1.5"/>
    <x v="0"/>
    <n v="2"/>
    <n v="6"/>
    <n v="3"/>
    <n v="0"/>
    <x v="12"/>
    <m/>
    <x v="1"/>
  </r>
  <r>
    <n v="16"/>
    <x v="1"/>
    <x v="1"/>
    <n v="2.8"/>
    <x v="1"/>
    <n v="7.1"/>
    <n v="1.4"/>
    <n v="4.1999999999999993"/>
    <n v="3.85"/>
    <x v="1"/>
    <n v="0.4"/>
    <x v="1"/>
    <n v="7"/>
    <n v="9"/>
    <n v="8"/>
    <n v="0"/>
    <x v="16"/>
    <m/>
    <x v="2"/>
  </r>
  <r>
    <n v="14"/>
    <x v="0"/>
    <x v="0"/>
    <n v="5.6"/>
    <x v="0"/>
    <n v="7"/>
    <n v="1.9"/>
    <n v="7.5"/>
    <n v="2.58"/>
    <x v="3"/>
    <n v="0.4"/>
    <x v="0"/>
    <n v="5"/>
    <n v="7"/>
    <n v="3"/>
    <n v="0"/>
    <x v="5"/>
    <m/>
    <x v="1"/>
  </r>
  <r>
    <n v="16"/>
    <x v="1"/>
    <x v="0"/>
    <n v="2.7"/>
    <x v="2"/>
    <n v="7.2"/>
    <n v="0.6"/>
    <n v="3.3000000000000003"/>
    <n v="3.98"/>
    <x v="1"/>
    <n v="1.7"/>
    <x v="0"/>
    <n v="6"/>
    <n v="1"/>
    <n v="5"/>
    <n v="0"/>
    <x v="17"/>
    <m/>
    <x v="1"/>
  </r>
  <r>
    <n v="14"/>
    <x v="0"/>
    <x v="0"/>
    <n v="4.2"/>
    <x v="2"/>
    <n v="7"/>
    <n v="1.1000000000000001"/>
    <n v="5.3000000000000007"/>
    <n v="2.12"/>
    <x v="2"/>
    <n v="0.9"/>
    <x v="1"/>
    <n v="4"/>
    <n v="8"/>
    <n v="1"/>
    <n v="0"/>
    <x v="18"/>
    <m/>
    <x v="1"/>
  </r>
  <r>
    <n v="18"/>
    <x v="1"/>
    <x v="1"/>
    <n v="5.0999999999999996"/>
    <x v="1"/>
    <n v="8.1999999999999993"/>
    <n v="2.8"/>
    <n v="7.8999999999999995"/>
    <n v="2.1800000000000002"/>
    <x v="2"/>
    <n v="0.5"/>
    <x v="1"/>
    <n v="8"/>
    <n v="8"/>
    <n v="8"/>
    <n v="0"/>
    <x v="16"/>
    <m/>
    <x v="2"/>
  </r>
  <r>
    <n v="15"/>
    <x v="0"/>
    <x v="1"/>
    <n v="5.7"/>
    <x v="0"/>
    <n v="6.1"/>
    <n v="0.7"/>
    <n v="6.4"/>
    <n v="3.08"/>
    <x v="0"/>
    <n v="0.6"/>
    <x v="2"/>
    <n v="5"/>
    <n v="9"/>
    <n v="7"/>
    <n v="0"/>
    <x v="7"/>
    <m/>
    <x v="2"/>
  </r>
  <r>
    <n v="13"/>
    <x v="0"/>
    <x v="1"/>
    <n v="1.5"/>
    <x v="2"/>
    <n v="7.9"/>
    <n v="1.8"/>
    <n v="3.3"/>
    <n v="2.85"/>
    <x v="3"/>
    <n v="1.1000000000000001"/>
    <x v="2"/>
    <n v="5"/>
    <n v="7"/>
    <n v="1"/>
    <n v="0"/>
    <x v="18"/>
    <m/>
    <x v="1"/>
  </r>
  <r>
    <n v="15"/>
    <x v="0"/>
    <x v="1"/>
    <n v="6.9"/>
    <x v="1"/>
    <n v="8.3000000000000007"/>
    <n v="2.4"/>
    <n v="9.3000000000000007"/>
    <n v="3.34"/>
    <x v="0"/>
    <n v="1.2"/>
    <x v="1"/>
    <n v="2"/>
    <n v="4"/>
    <n v="9"/>
    <n v="0"/>
    <x v="5"/>
    <m/>
    <x v="1"/>
  </r>
  <r>
    <n v="14"/>
    <x v="0"/>
    <x v="0"/>
    <n v="4.7"/>
    <x v="1"/>
    <n v="7.9"/>
    <n v="2.9"/>
    <n v="7.6"/>
    <n v="2.54"/>
    <x v="3"/>
    <n v="0.7"/>
    <x v="1"/>
    <n v="5"/>
    <n v="8"/>
    <n v="7"/>
    <n v="0"/>
    <x v="8"/>
    <m/>
    <x v="2"/>
  </r>
  <r>
    <n v="15"/>
    <x v="0"/>
    <x v="1"/>
    <n v="2.7"/>
    <x v="2"/>
    <n v="8.5"/>
    <n v="0.8"/>
    <n v="3.5"/>
    <n v="2.91"/>
    <x v="3"/>
    <n v="1.3"/>
    <x v="0"/>
    <n v="6"/>
    <n v="3"/>
    <n v="1"/>
    <n v="0"/>
    <x v="4"/>
    <m/>
    <x v="1"/>
  </r>
  <r>
    <n v="13"/>
    <x v="0"/>
    <x v="1"/>
    <n v="6.1"/>
    <x v="2"/>
    <n v="6.4"/>
    <n v="2.8"/>
    <n v="8.8999999999999986"/>
    <n v="2.5099999999999998"/>
    <x v="3"/>
    <n v="1.9"/>
    <x v="0"/>
    <n v="6"/>
    <n v="1"/>
    <n v="9"/>
    <n v="0"/>
    <x v="13"/>
    <m/>
    <x v="1"/>
  </r>
  <r>
    <n v="17"/>
    <x v="1"/>
    <x v="1"/>
    <n v="5"/>
    <x v="1"/>
    <n v="7.3"/>
    <n v="1.9"/>
    <n v="6.9"/>
    <n v="3.83"/>
    <x v="1"/>
    <n v="0.4"/>
    <x v="1"/>
    <n v="8"/>
    <n v="9"/>
    <n v="9"/>
    <n v="0"/>
    <x v="19"/>
    <m/>
    <x v="2"/>
  </r>
  <r>
    <n v="17"/>
    <x v="1"/>
    <x v="1"/>
    <n v="5.3"/>
    <x v="2"/>
    <n v="6.8"/>
    <n v="1.9"/>
    <n v="7.1999999999999993"/>
    <n v="3.39"/>
    <x v="0"/>
    <n v="1.6"/>
    <x v="0"/>
    <n v="10"/>
    <n v="6"/>
    <n v="8"/>
    <n v="0"/>
    <x v="16"/>
    <m/>
    <x v="2"/>
  </r>
  <r>
    <n v="19"/>
    <x v="1"/>
    <x v="0"/>
    <n v="7.2"/>
    <x v="1"/>
    <n v="6.6"/>
    <n v="2.9"/>
    <n v="10.1"/>
    <n v="2.74"/>
    <x v="3"/>
    <n v="0.3"/>
    <x v="2"/>
    <n v="1"/>
    <n v="10"/>
    <n v="9"/>
    <n v="0"/>
    <x v="8"/>
    <m/>
    <x v="2"/>
  </r>
  <r>
    <n v="15"/>
    <x v="0"/>
    <x v="0"/>
    <n v="2.2999999999999998"/>
    <x v="2"/>
    <n v="5.7"/>
    <n v="2.8"/>
    <n v="5.0999999999999996"/>
    <n v="2.79"/>
    <x v="3"/>
    <n v="1.9"/>
    <x v="2"/>
    <n v="4"/>
    <n v="1"/>
    <n v="4"/>
    <n v="0"/>
    <x v="6"/>
    <m/>
    <x v="0"/>
  </r>
  <r>
    <n v="17"/>
    <x v="1"/>
    <x v="1"/>
    <n v="7.3"/>
    <x v="2"/>
    <n v="7.8"/>
    <n v="1.1000000000000001"/>
    <n v="8.4"/>
    <n v="2.0299999999999998"/>
    <x v="2"/>
    <n v="1.1000000000000001"/>
    <x v="0"/>
    <n v="3"/>
    <n v="10"/>
    <n v="6"/>
    <n v="0"/>
    <x v="1"/>
    <m/>
    <x v="1"/>
  </r>
  <r>
    <n v="16"/>
    <x v="1"/>
    <x v="1"/>
    <n v="1.5"/>
    <x v="0"/>
    <n v="8"/>
    <n v="0.7"/>
    <n v="2.2000000000000002"/>
    <n v="2.1800000000000002"/>
    <x v="2"/>
    <n v="0.6"/>
    <x v="2"/>
    <n v="4"/>
    <n v="7"/>
    <n v="5"/>
    <n v="0"/>
    <x v="13"/>
    <m/>
    <x v="1"/>
  </r>
  <r>
    <n v="18"/>
    <x v="1"/>
    <x v="1"/>
    <n v="2.2000000000000002"/>
    <x v="0"/>
    <n v="6.5"/>
    <n v="1.9"/>
    <n v="4.0999999999999996"/>
    <n v="3.79"/>
    <x v="1"/>
    <n v="0.2"/>
    <x v="0"/>
    <n v="1"/>
    <n v="6"/>
    <n v="2"/>
    <n v="0"/>
    <x v="6"/>
    <m/>
    <x v="0"/>
  </r>
  <r>
    <n v="13"/>
    <x v="0"/>
    <x v="1"/>
    <n v="5.5"/>
    <x v="2"/>
    <n v="6.7"/>
    <n v="1.6"/>
    <n v="7.1"/>
    <n v="3.09"/>
    <x v="0"/>
    <n v="1.7"/>
    <x v="1"/>
    <n v="10"/>
    <n v="1"/>
    <n v="6"/>
    <n v="0"/>
    <x v="3"/>
    <m/>
    <x v="1"/>
  </r>
  <r>
    <n v="19"/>
    <x v="1"/>
    <x v="0"/>
    <n v="2.1"/>
    <x v="1"/>
    <n v="5.2"/>
    <n v="2.5"/>
    <n v="4.5999999999999996"/>
    <n v="3.1"/>
    <x v="0"/>
    <n v="0.3"/>
    <x v="0"/>
    <n v="9"/>
    <n v="9"/>
    <n v="3"/>
    <n v="0"/>
    <x v="7"/>
    <m/>
    <x v="2"/>
  </r>
  <r>
    <n v="15"/>
    <x v="0"/>
    <x v="1"/>
    <n v="4.5"/>
    <x v="2"/>
    <n v="5.4"/>
    <n v="1.2"/>
    <n v="5.7"/>
    <n v="3.76"/>
    <x v="1"/>
    <n v="1.7"/>
    <x v="1"/>
    <n v="1"/>
    <n v="8"/>
    <n v="7"/>
    <n v="0"/>
    <x v="13"/>
    <m/>
    <x v="1"/>
  </r>
  <r>
    <n v="13"/>
    <x v="0"/>
    <x v="0"/>
    <n v="3.9"/>
    <x v="2"/>
    <n v="5.8"/>
    <n v="0.7"/>
    <n v="4.5999999999999996"/>
    <n v="2.77"/>
    <x v="3"/>
    <n v="1.3"/>
    <x v="2"/>
    <n v="10"/>
    <n v="3"/>
    <n v="1"/>
    <n v="0"/>
    <x v="15"/>
    <m/>
    <x v="1"/>
  </r>
  <r>
    <n v="14"/>
    <x v="0"/>
    <x v="0"/>
    <n v="5.8"/>
    <x v="0"/>
    <n v="5.0999999999999996"/>
    <n v="2.6"/>
    <n v="8.4"/>
    <n v="2.06"/>
    <x v="2"/>
    <n v="1.5"/>
    <x v="2"/>
    <n v="7"/>
    <n v="5"/>
    <n v="2"/>
    <n v="0"/>
    <x v="15"/>
    <m/>
    <x v="1"/>
  </r>
  <r>
    <n v="13"/>
    <x v="0"/>
    <x v="1"/>
    <n v="7.2"/>
    <x v="2"/>
    <n v="4.2"/>
    <n v="2.5"/>
    <n v="9.6999999999999993"/>
    <n v="2.65"/>
    <x v="3"/>
    <n v="1.6"/>
    <x v="0"/>
    <n v="10"/>
    <n v="9"/>
    <n v="3"/>
    <n v="1"/>
    <x v="22"/>
    <m/>
    <x v="2"/>
  </r>
  <r>
    <n v="17"/>
    <x v="1"/>
    <x v="1"/>
    <n v="2.9"/>
    <x v="2"/>
    <n v="7.5"/>
    <n v="1.4"/>
    <n v="4.3"/>
    <n v="3.42"/>
    <x v="0"/>
    <n v="1.7"/>
    <x v="0"/>
    <n v="5"/>
    <n v="6"/>
    <n v="3"/>
    <n v="0"/>
    <x v="15"/>
    <m/>
    <x v="1"/>
  </r>
  <r>
    <n v="17"/>
    <x v="1"/>
    <x v="0"/>
    <n v="6.2"/>
    <x v="0"/>
    <n v="7.4"/>
    <n v="0.6"/>
    <n v="6.8"/>
    <n v="3.38"/>
    <x v="0"/>
    <n v="1.5"/>
    <x v="0"/>
    <n v="4"/>
    <n v="7"/>
    <n v="9"/>
    <n v="0"/>
    <x v="8"/>
    <m/>
    <x v="2"/>
  </r>
  <r>
    <n v="18"/>
    <x v="1"/>
    <x v="1"/>
    <n v="1.1000000000000001"/>
    <x v="2"/>
    <n v="4.9000000000000004"/>
    <n v="2.6"/>
    <n v="3.7"/>
    <n v="2.4300000000000002"/>
    <x v="2"/>
    <n v="1.3"/>
    <x v="1"/>
    <n v="9"/>
    <n v="7"/>
    <n v="6"/>
    <n v="0"/>
    <x v="10"/>
    <m/>
    <x v="2"/>
  </r>
  <r>
    <n v="19"/>
    <x v="1"/>
    <x v="0"/>
    <n v="5.2"/>
    <x v="0"/>
    <n v="4.3"/>
    <n v="1.3"/>
    <n v="6.5"/>
    <n v="2.29"/>
    <x v="2"/>
    <n v="1.3"/>
    <x v="2"/>
    <n v="10"/>
    <n v="8"/>
    <n v="10"/>
    <n v="1"/>
    <x v="25"/>
    <m/>
    <x v="2"/>
  </r>
  <r>
    <n v="15"/>
    <x v="0"/>
    <x v="1"/>
    <n v="5"/>
    <x v="0"/>
    <n v="7.6"/>
    <n v="1.8"/>
    <n v="6.8"/>
    <n v="2.52"/>
    <x v="3"/>
    <n v="1.4"/>
    <x v="1"/>
    <n v="1"/>
    <n v="4"/>
    <n v="3"/>
    <n v="0"/>
    <x v="2"/>
    <m/>
    <x v="0"/>
  </r>
  <r>
    <n v="13"/>
    <x v="0"/>
    <x v="1"/>
    <n v="2.2999999999999998"/>
    <x v="1"/>
    <n v="8.6999999999999993"/>
    <n v="1.2"/>
    <n v="3.5"/>
    <n v="3.25"/>
    <x v="0"/>
    <n v="1.5"/>
    <x v="1"/>
    <n v="9"/>
    <n v="9"/>
    <n v="1"/>
    <n v="0"/>
    <x v="1"/>
    <m/>
    <x v="1"/>
  </r>
  <r>
    <n v="15"/>
    <x v="0"/>
    <x v="1"/>
    <n v="5.2"/>
    <x v="1"/>
    <n v="5.6"/>
    <n v="1.5"/>
    <n v="6.7"/>
    <n v="3.13"/>
    <x v="0"/>
    <n v="0.1"/>
    <x v="0"/>
    <n v="7"/>
    <n v="9"/>
    <n v="4"/>
    <n v="1"/>
    <x v="7"/>
    <m/>
    <x v="2"/>
  </r>
  <r>
    <n v="13"/>
    <x v="0"/>
    <x v="1"/>
    <n v="3.5"/>
    <x v="2"/>
    <n v="8.6999999999999993"/>
    <n v="1.4"/>
    <n v="4.9000000000000004"/>
    <n v="3.5"/>
    <x v="0"/>
    <n v="1.3"/>
    <x v="1"/>
    <n v="9"/>
    <n v="4"/>
    <n v="5"/>
    <n v="0"/>
    <x v="11"/>
    <m/>
    <x v="1"/>
  </r>
  <r>
    <n v="16"/>
    <x v="1"/>
    <x v="1"/>
    <n v="3.5"/>
    <x v="2"/>
    <n v="4.2"/>
    <n v="1.5"/>
    <n v="5"/>
    <n v="3.98"/>
    <x v="1"/>
    <n v="0.4"/>
    <x v="2"/>
    <n v="1"/>
    <n v="7"/>
    <n v="2"/>
    <n v="0"/>
    <x v="4"/>
    <m/>
    <x v="1"/>
  </r>
  <r>
    <n v="19"/>
    <x v="1"/>
    <x v="0"/>
    <n v="7.7"/>
    <x v="0"/>
    <n v="4.2"/>
    <n v="2.6"/>
    <n v="10.3"/>
    <n v="2.2000000000000002"/>
    <x v="2"/>
    <n v="1.8"/>
    <x v="0"/>
    <n v="8"/>
    <n v="9"/>
    <n v="4"/>
    <n v="1"/>
    <x v="10"/>
    <m/>
    <x v="2"/>
  </r>
  <r>
    <n v="18"/>
    <x v="1"/>
    <x v="1"/>
    <n v="2"/>
    <x v="2"/>
    <n v="8.6"/>
    <n v="2.2000000000000002"/>
    <n v="4.2"/>
    <n v="3.53"/>
    <x v="0"/>
    <n v="1.9"/>
    <x v="0"/>
    <n v="2"/>
    <n v="5"/>
    <n v="8"/>
    <n v="0"/>
    <x v="5"/>
    <m/>
    <x v="1"/>
  </r>
  <r>
    <n v="13"/>
    <x v="0"/>
    <x v="1"/>
    <n v="5.0999999999999996"/>
    <x v="1"/>
    <n v="4.5"/>
    <n v="2.7"/>
    <n v="7.8"/>
    <n v="2.54"/>
    <x v="3"/>
    <n v="1.4"/>
    <x v="1"/>
    <n v="2"/>
    <n v="3"/>
    <n v="10"/>
    <n v="0"/>
    <x v="5"/>
    <m/>
    <x v="1"/>
  </r>
  <r>
    <n v="16"/>
    <x v="1"/>
    <x v="0"/>
    <n v="2"/>
    <x v="0"/>
    <n v="7.9"/>
    <n v="2.4"/>
    <n v="4.4000000000000004"/>
    <n v="2.81"/>
    <x v="3"/>
    <n v="1.9"/>
    <x v="0"/>
    <n v="10"/>
    <n v="6"/>
    <n v="6"/>
    <n v="0"/>
    <x v="10"/>
    <m/>
    <x v="2"/>
  </r>
  <r>
    <n v="15"/>
    <x v="0"/>
    <x v="0"/>
    <n v="4.7"/>
    <x v="0"/>
    <n v="8.4"/>
    <n v="1.9"/>
    <n v="6.6"/>
    <n v="3.9"/>
    <x v="1"/>
    <n v="1"/>
    <x v="1"/>
    <n v="4"/>
    <n v="10"/>
    <n v="6"/>
    <n v="0"/>
    <x v="8"/>
    <m/>
    <x v="2"/>
  </r>
  <r>
    <n v="17"/>
    <x v="1"/>
    <x v="1"/>
    <n v="6.9"/>
    <x v="1"/>
    <n v="6.1"/>
    <n v="2.4"/>
    <n v="9.3000000000000007"/>
    <n v="3.77"/>
    <x v="1"/>
    <n v="1.1000000000000001"/>
    <x v="2"/>
    <n v="9"/>
    <n v="4"/>
    <n v="9"/>
    <n v="0"/>
    <x v="10"/>
    <m/>
    <x v="2"/>
  </r>
  <r>
    <n v="18"/>
    <x v="1"/>
    <x v="0"/>
    <n v="5.9"/>
    <x v="0"/>
    <n v="4.4000000000000004"/>
    <n v="2.7"/>
    <n v="8.6000000000000014"/>
    <n v="2.09"/>
    <x v="2"/>
    <n v="1.8"/>
    <x v="1"/>
    <n v="1"/>
    <n v="6"/>
    <n v="6"/>
    <n v="0"/>
    <x v="18"/>
    <m/>
    <x v="1"/>
  </r>
  <r>
    <n v="19"/>
    <x v="1"/>
    <x v="0"/>
    <n v="2.7"/>
    <x v="0"/>
    <n v="6.3"/>
    <n v="1.3"/>
    <n v="4"/>
    <n v="3.91"/>
    <x v="1"/>
    <n v="1.2"/>
    <x v="1"/>
    <n v="7"/>
    <n v="5"/>
    <n v="7"/>
    <n v="0"/>
    <x v="1"/>
    <m/>
    <x v="1"/>
  </r>
  <r>
    <n v="16"/>
    <x v="1"/>
    <x v="0"/>
    <n v="7.9"/>
    <x v="1"/>
    <n v="8"/>
    <n v="1.6"/>
    <n v="9.5"/>
    <n v="3.47"/>
    <x v="0"/>
    <n v="1.5"/>
    <x v="1"/>
    <n v="3"/>
    <n v="5"/>
    <n v="6"/>
    <n v="0"/>
    <x v="15"/>
    <m/>
    <x v="1"/>
  </r>
  <r>
    <n v="16"/>
    <x v="1"/>
    <x v="1"/>
    <n v="7.4"/>
    <x v="1"/>
    <n v="5.5"/>
    <n v="1.8"/>
    <n v="9.2000000000000011"/>
    <n v="2.13"/>
    <x v="2"/>
    <n v="0.3"/>
    <x v="1"/>
    <n v="7"/>
    <n v="9"/>
    <n v="9"/>
    <n v="1"/>
    <x v="19"/>
    <m/>
    <x v="2"/>
  </r>
  <r>
    <n v="17"/>
    <x v="1"/>
    <x v="1"/>
    <n v="2.2999999999999998"/>
    <x v="0"/>
    <n v="4.9000000000000004"/>
    <n v="1.7"/>
    <n v="4"/>
    <n v="2.0699999999999998"/>
    <x v="2"/>
    <n v="0.3"/>
    <x v="2"/>
    <n v="3"/>
    <n v="7"/>
    <n v="7"/>
    <n v="0"/>
    <x v="3"/>
    <m/>
    <x v="1"/>
  </r>
  <r>
    <n v="13"/>
    <x v="0"/>
    <x v="0"/>
    <n v="7.1"/>
    <x v="2"/>
    <n v="5.7"/>
    <n v="2.1"/>
    <n v="9.1999999999999993"/>
    <n v="3.52"/>
    <x v="0"/>
    <n v="1.7"/>
    <x v="0"/>
    <n v="1"/>
    <n v="1"/>
    <n v="3"/>
    <n v="0"/>
    <x v="0"/>
    <m/>
    <x v="0"/>
  </r>
  <r>
    <n v="16"/>
    <x v="1"/>
    <x v="0"/>
    <n v="6.9"/>
    <x v="0"/>
    <n v="6.8"/>
    <n v="1.1000000000000001"/>
    <n v="8"/>
    <n v="3.33"/>
    <x v="0"/>
    <n v="1"/>
    <x v="2"/>
    <n v="7"/>
    <n v="9"/>
    <n v="4"/>
    <n v="0"/>
    <x v="8"/>
    <m/>
    <x v="2"/>
  </r>
  <r>
    <n v="16"/>
    <x v="1"/>
    <x v="1"/>
    <n v="5.6"/>
    <x v="1"/>
    <n v="7.9"/>
    <n v="2"/>
    <n v="7.6"/>
    <n v="3.91"/>
    <x v="1"/>
    <n v="0.6"/>
    <x v="2"/>
    <n v="7"/>
    <n v="3"/>
    <n v="10"/>
    <n v="0"/>
    <x v="8"/>
    <m/>
    <x v="2"/>
  </r>
  <r>
    <n v="16"/>
    <x v="1"/>
    <x v="1"/>
    <n v="5.2"/>
    <x v="1"/>
    <n v="8.1"/>
    <n v="2.1"/>
    <n v="7.3000000000000007"/>
    <n v="2.67"/>
    <x v="3"/>
    <n v="1.7"/>
    <x v="2"/>
    <n v="9"/>
    <n v="10"/>
    <n v="10"/>
    <n v="0"/>
    <x v="25"/>
    <m/>
    <x v="2"/>
  </r>
  <r>
    <n v="17"/>
    <x v="1"/>
    <x v="0"/>
    <n v="4.5"/>
    <x v="2"/>
    <n v="4.9000000000000004"/>
    <n v="0.5"/>
    <n v="5"/>
    <n v="3.44"/>
    <x v="0"/>
    <n v="1.2"/>
    <x v="2"/>
    <n v="5"/>
    <n v="3"/>
    <n v="1"/>
    <n v="0"/>
    <x v="6"/>
    <m/>
    <x v="0"/>
  </r>
  <r>
    <n v="14"/>
    <x v="0"/>
    <x v="0"/>
    <n v="3.6"/>
    <x v="1"/>
    <n v="4"/>
    <n v="1.4"/>
    <n v="5"/>
    <n v="3.83"/>
    <x v="1"/>
    <n v="0.5"/>
    <x v="2"/>
    <n v="1"/>
    <n v="5"/>
    <n v="2"/>
    <n v="0"/>
    <x v="2"/>
    <m/>
    <x v="0"/>
  </r>
  <r>
    <n v="19"/>
    <x v="1"/>
    <x v="0"/>
    <n v="7.2"/>
    <x v="0"/>
    <n v="5"/>
    <n v="2.2000000000000002"/>
    <n v="9.4"/>
    <n v="2.5"/>
    <x v="3"/>
    <n v="0.7"/>
    <x v="1"/>
    <n v="6"/>
    <n v="9"/>
    <n v="2"/>
    <n v="0"/>
    <x v="3"/>
    <m/>
    <x v="1"/>
  </r>
  <r>
    <n v="17"/>
    <x v="1"/>
    <x v="0"/>
    <n v="6.4"/>
    <x v="1"/>
    <n v="8.6"/>
    <n v="2.2999999999999998"/>
    <n v="8.6999999999999993"/>
    <n v="2.57"/>
    <x v="3"/>
    <n v="1.3"/>
    <x v="0"/>
    <n v="9"/>
    <n v="10"/>
    <n v="5"/>
    <n v="0"/>
    <x v="16"/>
    <m/>
    <x v="2"/>
  </r>
  <r>
    <n v="15"/>
    <x v="0"/>
    <x v="0"/>
    <n v="7.1"/>
    <x v="2"/>
    <n v="6.5"/>
    <n v="0.7"/>
    <n v="7.8"/>
    <n v="3.94"/>
    <x v="1"/>
    <n v="0.2"/>
    <x v="2"/>
    <n v="4"/>
    <n v="7"/>
    <n v="1"/>
    <n v="0"/>
    <x v="17"/>
    <m/>
    <x v="1"/>
  </r>
  <r>
    <n v="18"/>
    <x v="1"/>
    <x v="0"/>
    <n v="1.2"/>
    <x v="2"/>
    <n v="4.0999999999999996"/>
    <n v="1.1000000000000001"/>
    <n v="2.2999999999999998"/>
    <n v="3.04"/>
    <x v="0"/>
    <n v="1.6"/>
    <x v="0"/>
    <n v="1"/>
    <n v="3"/>
    <n v="6"/>
    <n v="0"/>
    <x v="4"/>
    <m/>
    <x v="1"/>
  </r>
  <r>
    <n v="19"/>
    <x v="1"/>
    <x v="0"/>
    <n v="6.6"/>
    <x v="1"/>
    <n v="8.8000000000000007"/>
    <n v="0.9"/>
    <n v="7.5"/>
    <n v="3.84"/>
    <x v="1"/>
    <n v="0.3"/>
    <x v="1"/>
    <n v="10"/>
    <n v="10"/>
    <n v="6"/>
    <n v="0"/>
    <x v="19"/>
    <m/>
    <x v="2"/>
  </r>
  <r>
    <n v="19"/>
    <x v="1"/>
    <x v="1"/>
    <n v="6.5"/>
    <x v="1"/>
    <n v="6.4"/>
    <n v="1.1000000000000001"/>
    <n v="7.6"/>
    <n v="3.71"/>
    <x v="1"/>
    <n v="1.2"/>
    <x v="0"/>
    <n v="8"/>
    <n v="9"/>
    <n v="8"/>
    <n v="0"/>
    <x v="20"/>
    <m/>
    <x v="2"/>
  </r>
  <r>
    <n v="16"/>
    <x v="1"/>
    <x v="0"/>
    <n v="2"/>
    <x v="1"/>
    <n v="4.4000000000000004"/>
    <n v="0.7"/>
    <n v="2.7"/>
    <n v="2.68"/>
    <x v="3"/>
    <n v="0.8"/>
    <x v="2"/>
    <n v="1"/>
    <n v="4"/>
    <n v="10"/>
    <n v="0"/>
    <x v="5"/>
    <m/>
    <x v="1"/>
  </r>
  <r>
    <n v="13"/>
    <x v="0"/>
    <x v="0"/>
    <n v="2.5"/>
    <x v="0"/>
    <n v="5.3"/>
    <n v="0.8"/>
    <n v="3.3"/>
    <n v="3.12"/>
    <x v="0"/>
    <n v="0.4"/>
    <x v="1"/>
    <n v="3"/>
    <n v="5"/>
    <n v="3"/>
    <n v="0"/>
    <x v="12"/>
    <m/>
    <x v="1"/>
  </r>
  <r>
    <n v="19"/>
    <x v="1"/>
    <x v="0"/>
    <n v="2.1"/>
    <x v="0"/>
    <n v="8.8000000000000007"/>
    <n v="2.2999999999999998"/>
    <n v="4.4000000000000004"/>
    <n v="2.2200000000000002"/>
    <x v="2"/>
    <n v="1.2"/>
    <x v="1"/>
    <n v="5"/>
    <n v="5"/>
    <n v="3"/>
    <n v="0"/>
    <x v="18"/>
    <m/>
    <x v="1"/>
  </r>
  <r>
    <n v="16"/>
    <x v="1"/>
    <x v="1"/>
    <n v="7.1"/>
    <x v="1"/>
    <n v="8.8000000000000007"/>
    <n v="1.8"/>
    <n v="8.9"/>
    <n v="3.99"/>
    <x v="1"/>
    <n v="0.8"/>
    <x v="0"/>
    <n v="6"/>
    <n v="10"/>
    <n v="8"/>
    <n v="0"/>
    <x v="16"/>
    <m/>
    <x v="2"/>
  </r>
  <r>
    <n v="19"/>
    <x v="1"/>
    <x v="1"/>
    <n v="6.8"/>
    <x v="2"/>
    <n v="4.4000000000000004"/>
    <n v="2.1"/>
    <n v="8.9"/>
    <n v="3.69"/>
    <x v="1"/>
    <n v="0.4"/>
    <x v="1"/>
    <n v="3"/>
    <n v="2"/>
    <n v="8"/>
    <n v="0"/>
    <x v="18"/>
    <m/>
    <x v="1"/>
  </r>
  <r>
    <n v="13"/>
    <x v="0"/>
    <x v="0"/>
    <n v="5.2"/>
    <x v="2"/>
    <n v="5.4"/>
    <n v="0.8"/>
    <n v="6"/>
    <n v="2.39"/>
    <x v="2"/>
    <n v="2"/>
    <x v="0"/>
    <n v="8"/>
    <n v="3"/>
    <n v="10"/>
    <n v="0"/>
    <x v="7"/>
    <m/>
    <x v="2"/>
  </r>
  <r>
    <n v="19"/>
    <x v="1"/>
    <x v="0"/>
    <n v="7"/>
    <x v="1"/>
    <n v="4.5"/>
    <n v="2.2999999999999998"/>
    <n v="9.3000000000000007"/>
    <n v="3.26"/>
    <x v="0"/>
    <n v="1.7"/>
    <x v="1"/>
    <n v="9"/>
    <n v="10"/>
    <n v="3"/>
    <n v="1"/>
    <x v="22"/>
    <m/>
    <x v="2"/>
  </r>
  <r>
    <n v="19"/>
    <x v="1"/>
    <x v="0"/>
    <n v="6.8"/>
    <x v="1"/>
    <n v="8.4"/>
    <n v="2"/>
    <n v="8.8000000000000007"/>
    <n v="2.6"/>
    <x v="3"/>
    <n v="1.5"/>
    <x v="0"/>
    <n v="7"/>
    <n v="2"/>
    <n v="2"/>
    <n v="0"/>
    <x v="12"/>
    <m/>
    <x v="1"/>
  </r>
  <r>
    <n v="16"/>
    <x v="1"/>
    <x v="1"/>
    <n v="3.8"/>
    <x v="1"/>
    <n v="5.3"/>
    <n v="1.5"/>
    <n v="5.3"/>
    <n v="2.04"/>
    <x v="2"/>
    <n v="1.5"/>
    <x v="1"/>
    <n v="5"/>
    <n v="10"/>
    <n v="5"/>
    <n v="0"/>
    <x v="8"/>
    <m/>
    <x v="2"/>
  </r>
  <r>
    <n v="14"/>
    <x v="0"/>
    <x v="0"/>
    <n v="2.9"/>
    <x v="0"/>
    <n v="7.2"/>
    <n v="2"/>
    <n v="4.9000000000000004"/>
    <n v="3.96"/>
    <x v="1"/>
    <n v="1.5"/>
    <x v="2"/>
    <n v="9"/>
    <n v="10"/>
    <n v="4"/>
    <n v="0"/>
    <x v="22"/>
    <m/>
    <x v="2"/>
  </r>
  <r>
    <n v="16"/>
    <x v="1"/>
    <x v="0"/>
    <n v="3.6"/>
    <x v="0"/>
    <n v="6.6"/>
    <n v="0.7"/>
    <n v="4.3"/>
    <n v="2.25"/>
    <x v="2"/>
    <n v="1.9"/>
    <x v="0"/>
    <n v="4"/>
    <n v="1"/>
    <n v="8"/>
    <n v="0"/>
    <x v="18"/>
    <m/>
    <x v="1"/>
  </r>
  <r>
    <n v="13"/>
    <x v="0"/>
    <x v="0"/>
    <n v="4"/>
    <x v="2"/>
    <n v="8.3000000000000007"/>
    <n v="0.6"/>
    <n v="4.5999999999999996"/>
    <n v="3.71"/>
    <x v="1"/>
    <n v="0.1"/>
    <x v="0"/>
    <n v="2"/>
    <n v="6"/>
    <n v="1"/>
    <n v="0"/>
    <x v="6"/>
    <m/>
    <x v="0"/>
  </r>
  <r>
    <n v="17"/>
    <x v="1"/>
    <x v="1"/>
    <n v="7.5"/>
    <x v="2"/>
    <n v="4.7"/>
    <n v="2.1"/>
    <n v="9.6"/>
    <n v="2.5499999999999998"/>
    <x v="3"/>
    <n v="0.1"/>
    <x v="1"/>
    <n v="3"/>
    <n v="9"/>
    <n v="1"/>
    <n v="0"/>
    <x v="18"/>
    <m/>
    <x v="1"/>
  </r>
  <r>
    <n v="16"/>
    <x v="1"/>
    <x v="1"/>
    <n v="6"/>
    <x v="2"/>
    <n v="8.6999999999999993"/>
    <n v="1.5"/>
    <n v="7.5"/>
    <n v="3.76"/>
    <x v="1"/>
    <n v="0.1"/>
    <x v="2"/>
    <n v="2"/>
    <n v="5"/>
    <n v="4"/>
    <n v="0"/>
    <x v="12"/>
    <m/>
    <x v="1"/>
  </r>
  <r>
    <n v="16"/>
    <x v="1"/>
    <x v="1"/>
    <n v="3.6"/>
    <x v="0"/>
    <n v="6.1"/>
    <n v="2.8"/>
    <n v="6.4"/>
    <n v="3.8"/>
    <x v="1"/>
    <n v="0.1"/>
    <x v="1"/>
    <n v="2"/>
    <n v="1"/>
    <n v="7"/>
    <n v="0"/>
    <x v="4"/>
    <m/>
    <x v="1"/>
  </r>
  <r>
    <n v="19"/>
    <x v="1"/>
    <x v="0"/>
    <n v="4.7"/>
    <x v="2"/>
    <n v="8.1999999999999993"/>
    <n v="1.2"/>
    <n v="5.9"/>
    <n v="2.83"/>
    <x v="3"/>
    <n v="1.2"/>
    <x v="1"/>
    <n v="5"/>
    <n v="9"/>
    <n v="9"/>
    <n v="0"/>
    <x v="22"/>
    <m/>
    <x v="2"/>
  </r>
  <r>
    <n v="13"/>
    <x v="0"/>
    <x v="0"/>
    <n v="2"/>
    <x v="0"/>
    <n v="6.6"/>
    <n v="0.9"/>
    <n v="2.9"/>
    <n v="3.34"/>
    <x v="0"/>
    <n v="1.5"/>
    <x v="1"/>
    <n v="5"/>
    <n v="9"/>
    <n v="4"/>
    <n v="0"/>
    <x v="11"/>
    <m/>
    <x v="1"/>
  </r>
  <r>
    <n v="13"/>
    <x v="0"/>
    <x v="0"/>
    <n v="7.8"/>
    <x v="1"/>
    <n v="7.2"/>
    <n v="1.3"/>
    <n v="9.1"/>
    <n v="3.31"/>
    <x v="0"/>
    <n v="0.8"/>
    <x v="1"/>
    <n v="9"/>
    <n v="2"/>
    <n v="4"/>
    <n v="0"/>
    <x v="5"/>
    <m/>
    <x v="1"/>
  </r>
  <r>
    <n v="19"/>
    <x v="1"/>
    <x v="0"/>
    <n v="5.9"/>
    <x v="1"/>
    <n v="7.4"/>
    <n v="0.7"/>
    <n v="6.6000000000000005"/>
    <n v="3.27"/>
    <x v="0"/>
    <n v="1.7"/>
    <x v="1"/>
    <n v="1"/>
    <n v="9"/>
    <n v="9"/>
    <n v="0"/>
    <x v="1"/>
    <m/>
    <x v="1"/>
  </r>
  <r>
    <n v="19"/>
    <x v="1"/>
    <x v="0"/>
    <n v="7.7"/>
    <x v="1"/>
    <n v="8.4"/>
    <n v="2.8"/>
    <n v="10.5"/>
    <n v="3.43"/>
    <x v="0"/>
    <n v="0.2"/>
    <x v="2"/>
    <n v="7"/>
    <n v="6"/>
    <n v="6"/>
    <n v="0"/>
    <x v="1"/>
    <m/>
    <x v="1"/>
  </r>
  <r>
    <n v="13"/>
    <x v="0"/>
    <x v="0"/>
    <n v="2.2000000000000002"/>
    <x v="1"/>
    <n v="5.4"/>
    <n v="1.2"/>
    <n v="3.4000000000000004"/>
    <n v="2.33"/>
    <x v="2"/>
    <n v="0.8"/>
    <x v="2"/>
    <n v="10"/>
    <n v="3"/>
    <n v="4"/>
    <n v="0"/>
    <x v="3"/>
    <m/>
    <x v="1"/>
  </r>
  <r>
    <n v="18"/>
    <x v="1"/>
    <x v="1"/>
    <n v="7.7"/>
    <x v="1"/>
    <n v="7.6"/>
    <n v="2.9"/>
    <n v="10.6"/>
    <n v="3.81"/>
    <x v="1"/>
    <n v="0.5"/>
    <x v="1"/>
    <n v="10"/>
    <n v="3"/>
    <n v="6"/>
    <n v="0"/>
    <x v="1"/>
    <m/>
    <x v="1"/>
  </r>
  <r>
    <n v="18"/>
    <x v="1"/>
    <x v="0"/>
    <n v="3.2"/>
    <x v="0"/>
    <n v="6"/>
    <n v="1.5"/>
    <n v="4.7"/>
    <n v="3.36"/>
    <x v="0"/>
    <n v="1.5"/>
    <x v="1"/>
    <n v="9"/>
    <n v="7"/>
    <n v="10"/>
    <n v="0"/>
    <x v="19"/>
    <m/>
    <x v="2"/>
  </r>
  <r>
    <n v="16"/>
    <x v="1"/>
    <x v="0"/>
    <n v="2"/>
    <x v="1"/>
    <n v="7.8"/>
    <n v="0.5"/>
    <n v="2.5"/>
    <n v="2.81"/>
    <x v="3"/>
    <n v="1.4"/>
    <x v="1"/>
    <n v="10"/>
    <n v="2"/>
    <n v="4"/>
    <n v="0"/>
    <x v="13"/>
    <m/>
    <x v="1"/>
  </r>
  <r>
    <n v="15"/>
    <x v="0"/>
    <x v="1"/>
    <n v="6.2"/>
    <x v="2"/>
    <n v="5.2"/>
    <n v="1"/>
    <n v="7.2"/>
    <n v="3.94"/>
    <x v="1"/>
    <n v="1.4"/>
    <x v="0"/>
    <n v="5"/>
    <n v="2"/>
    <n v="7"/>
    <n v="0"/>
    <x v="15"/>
    <m/>
    <x v="1"/>
  </r>
  <r>
    <n v="19"/>
    <x v="1"/>
    <x v="1"/>
    <n v="2.4"/>
    <x v="0"/>
    <n v="8.6999999999999993"/>
    <n v="1.6"/>
    <n v="4"/>
    <n v="2.4"/>
    <x v="2"/>
    <n v="0.1"/>
    <x v="2"/>
    <n v="2"/>
    <n v="9"/>
    <n v="7"/>
    <n v="0"/>
    <x v="11"/>
    <m/>
    <x v="1"/>
  </r>
  <r>
    <n v="15"/>
    <x v="0"/>
    <x v="0"/>
    <n v="3.4"/>
    <x v="2"/>
    <n v="8"/>
    <n v="1"/>
    <n v="4.4000000000000004"/>
    <n v="2.31"/>
    <x v="2"/>
    <n v="1"/>
    <x v="1"/>
    <n v="4"/>
    <n v="7"/>
    <n v="6"/>
    <n v="0"/>
    <x v="3"/>
    <m/>
    <x v="1"/>
  </r>
  <r>
    <n v="19"/>
    <x v="1"/>
    <x v="0"/>
    <n v="6"/>
    <x v="0"/>
    <n v="4.2"/>
    <n v="0.9"/>
    <n v="6.9"/>
    <n v="2.41"/>
    <x v="2"/>
    <n v="0.8"/>
    <x v="2"/>
    <n v="7"/>
    <n v="9"/>
    <n v="9"/>
    <n v="1"/>
    <x v="19"/>
    <m/>
    <x v="2"/>
  </r>
  <r>
    <n v="16"/>
    <x v="1"/>
    <x v="1"/>
    <n v="5.3"/>
    <x v="2"/>
    <n v="5.6"/>
    <n v="2.5"/>
    <n v="7.8"/>
    <n v="2.73"/>
    <x v="3"/>
    <n v="1.3"/>
    <x v="2"/>
    <n v="7"/>
    <n v="10"/>
    <n v="4"/>
    <n v="1"/>
    <x v="10"/>
    <m/>
    <x v="2"/>
  </r>
  <r>
    <n v="17"/>
    <x v="1"/>
    <x v="1"/>
    <n v="5.5"/>
    <x v="0"/>
    <n v="6.3"/>
    <n v="0.8"/>
    <n v="6.3"/>
    <n v="2.59"/>
    <x v="3"/>
    <n v="1.6"/>
    <x v="1"/>
    <n v="6"/>
    <n v="8"/>
    <n v="7"/>
    <n v="0"/>
    <x v="7"/>
    <m/>
    <x v="2"/>
  </r>
  <r>
    <n v="17"/>
    <x v="1"/>
    <x v="0"/>
    <n v="3.6"/>
    <x v="2"/>
    <n v="6.1"/>
    <n v="2.8"/>
    <n v="6.4"/>
    <n v="2.39"/>
    <x v="2"/>
    <n v="0.6"/>
    <x v="0"/>
    <n v="6"/>
    <n v="8"/>
    <n v="5"/>
    <n v="0"/>
    <x v="1"/>
    <m/>
    <x v="1"/>
  </r>
  <r>
    <n v="17"/>
    <x v="1"/>
    <x v="1"/>
    <n v="3.7"/>
    <x v="0"/>
    <n v="6.3"/>
    <n v="1.3"/>
    <n v="5"/>
    <n v="2.7"/>
    <x v="3"/>
    <n v="1.1000000000000001"/>
    <x v="2"/>
    <n v="2"/>
    <n v="6"/>
    <n v="9"/>
    <n v="0"/>
    <x v="3"/>
    <m/>
    <x v="1"/>
  </r>
  <r>
    <n v="16"/>
    <x v="1"/>
    <x v="1"/>
    <n v="7.4"/>
    <x v="0"/>
    <n v="7.4"/>
    <n v="0.9"/>
    <n v="8.3000000000000007"/>
    <n v="3.7"/>
    <x v="1"/>
    <n v="1.3"/>
    <x v="2"/>
    <n v="10"/>
    <n v="6"/>
    <n v="2"/>
    <n v="0"/>
    <x v="11"/>
    <m/>
    <x v="1"/>
  </r>
  <r>
    <n v="13"/>
    <x v="0"/>
    <x v="0"/>
    <n v="5.3"/>
    <x v="0"/>
    <n v="6"/>
    <n v="1"/>
    <n v="6.3"/>
    <n v="2.92"/>
    <x v="3"/>
    <n v="0.7"/>
    <x v="1"/>
    <n v="3"/>
    <n v="8"/>
    <n v="5"/>
    <n v="0"/>
    <x v="13"/>
    <m/>
    <x v="1"/>
  </r>
  <r>
    <n v="18"/>
    <x v="1"/>
    <x v="1"/>
    <n v="4.8"/>
    <x v="0"/>
    <n v="5.5"/>
    <n v="1.8"/>
    <n v="6.6"/>
    <n v="2.9"/>
    <x v="3"/>
    <n v="0.6"/>
    <x v="0"/>
    <n v="6"/>
    <n v="2"/>
    <n v="5"/>
    <n v="0"/>
    <x v="18"/>
    <m/>
    <x v="1"/>
  </r>
  <r>
    <n v="13"/>
    <x v="0"/>
    <x v="0"/>
    <n v="3.4"/>
    <x v="1"/>
    <n v="4.5"/>
    <n v="0.5"/>
    <n v="3.9"/>
    <n v="3.71"/>
    <x v="1"/>
    <n v="1"/>
    <x v="2"/>
    <n v="1"/>
    <n v="10"/>
    <n v="1"/>
    <n v="0"/>
    <x v="17"/>
    <m/>
    <x v="1"/>
  </r>
  <r>
    <n v="17"/>
    <x v="1"/>
    <x v="1"/>
    <n v="7"/>
    <x v="1"/>
    <n v="8.9"/>
    <n v="0.6"/>
    <n v="7.6"/>
    <n v="3.67"/>
    <x v="1"/>
    <n v="0.2"/>
    <x v="2"/>
    <n v="9"/>
    <n v="2"/>
    <n v="4"/>
    <n v="0"/>
    <x v="5"/>
    <m/>
    <x v="1"/>
  </r>
  <r>
    <n v="15"/>
    <x v="0"/>
    <x v="0"/>
    <n v="5.4"/>
    <x v="0"/>
    <n v="7.2"/>
    <n v="1.2"/>
    <n v="6.6000000000000005"/>
    <n v="3.32"/>
    <x v="0"/>
    <n v="1.3"/>
    <x v="1"/>
    <n v="7"/>
    <n v="8"/>
    <n v="1"/>
    <n v="0"/>
    <x v="13"/>
    <m/>
    <x v="1"/>
  </r>
  <r>
    <n v="17"/>
    <x v="1"/>
    <x v="0"/>
    <n v="5.3"/>
    <x v="0"/>
    <n v="6.4"/>
    <n v="2.9"/>
    <n v="8.1999999999999993"/>
    <n v="2.42"/>
    <x v="2"/>
    <n v="1.1000000000000001"/>
    <x v="0"/>
    <n v="3"/>
    <n v="8"/>
    <n v="3"/>
    <n v="0"/>
    <x v="15"/>
    <m/>
    <x v="1"/>
  </r>
  <r>
    <n v="14"/>
    <x v="0"/>
    <x v="0"/>
    <n v="1.8"/>
    <x v="2"/>
    <n v="5.0999999999999996"/>
    <n v="2.7"/>
    <n v="4.5"/>
    <n v="3.47"/>
    <x v="0"/>
    <n v="0.2"/>
    <x v="0"/>
    <n v="8"/>
    <n v="4"/>
    <n v="6"/>
    <n v="0"/>
    <x v="11"/>
    <m/>
    <x v="1"/>
  </r>
  <r>
    <n v="15"/>
    <x v="0"/>
    <x v="0"/>
    <n v="4.5"/>
    <x v="1"/>
    <n v="6.2"/>
    <n v="2.8"/>
    <n v="7.3"/>
    <n v="2.74"/>
    <x v="3"/>
    <n v="0.1"/>
    <x v="1"/>
    <n v="2"/>
    <n v="3"/>
    <n v="5"/>
    <n v="0"/>
    <x v="4"/>
    <m/>
    <x v="1"/>
  </r>
  <r>
    <n v="17"/>
    <x v="1"/>
    <x v="1"/>
    <n v="5.4"/>
    <x v="1"/>
    <n v="7.1"/>
    <n v="2.5"/>
    <n v="7.9"/>
    <n v="2.68"/>
    <x v="3"/>
    <n v="1.6"/>
    <x v="0"/>
    <n v="3"/>
    <n v="5"/>
    <n v="7"/>
    <n v="0"/>
    <x v="5"/>
    <m/>
    <x v="1"/>
  </r>
  <r>
    <n v="13"/>
    <x v="0"/>
    <x v="0"/>
    <n v="3.6"/>
    <x v="0"/>
    <n v="8.6"/>
    <n v="0.7"/>
    <n v="4.3"/>
    <n v="2.42"/>
    <x v="2"/>
    <n v="0.2"/>
    <x v="2"/>
    <n v="2"/>
    <n v="6"/>
    <n v="8"/>
    <n v="0"/>
    <x v="13"/>
    <m/>
    <x v="1"/>
  </r>
  <r>
    <n v="14"/>
    <x v="0"/>
    <x v="1"/>
    <n v="5.7"/>
    <x v="0"/>
    <n v="8.9"/>
    <n v="0.7"/>
    <n v="6.4"/>
    <n v="2.17"/>
    <x v="2"/>
    <n v="1.3"/>
    <x v="1"/>
    <n v="10"/>
    <n v="4"/>
    <n v="3"/>
    <n v="0"/>
    <x v="3"/>
    <m/>
    <x v="1"/>
  </r>
  <r>
    <n v="15"/>
    <x v="0"/>
    <x v="1"/>
    <n v="5.5"/>
    <x v="2"/>
    <n v="7.3"/>
    <n v="2.5"/>
    <n v="8"/>
    <n v="3.67"/>
    <x v="1"/>
    <n v="0.5"/>
    <x v="0"/>
    <n v="4"/>
    <n v="3"/>
    <n v="6"/>
    <n v="0"/>
    <x v="18"/>
    <m/>
    <x v="1"/>
  </r>
  <r>
    <n v="14"/>
    <x v="0"/>
    <x v="1"/>
    <n v="5.3"/>
    <x v="2"/>
    <n v="4.7"/>
    <n v="1.1000000000000001"/>
    <n v="6.4"/>
    <n v="3.68"/>
    <x v="1"/>
    <n v="1.8"/>
    <x v="1"/>
    <n v="10"/>
    <n v="8"/>
    <n v="10"/>
    <n v="1"/>
    <x v="25"/>
    <m/>
    <x v="2"/>
  </r>
  <r>
    <n v="15"/>
    <x v="0"/>
    <x v="0"/>
    <n v="2.7"/>
    <x v="0"/>
    <n v="5.4"/>
    <n v="1.6"/>
    <n v="4.3000000000000007"/>
    <n v="2.34"/>
    <x v="2"/>
    <n v="0.3"/>
    <x v="1"/>
    <n v="2"/>
    <n v="6"/>
    <n v="8"/>
    <n v="0"/>
    <x v="13"/>
    <m/>
    <x v="1"/>
  </r>
  <r>
    <n v="14"/>
    <x v="0"/>
    <x v="0"/>
    <n v="6.4"/>
    <x v="0"/>
    <n v="5.6"/>
    <n v="0.8"/>
    <n v="7.2"/>
    <n v="4"/>
    <x v="1"/>
    <n v="1.9"/>
    <x v="2"/>
    <n v="5"/>
    <n v="1"/>
    <n v="3"/>
    <n v="0"/>
    <x v="6"/>
    <m/>
    <x v="0"/>
  </r>
  <r>
    <n v="16"/>
    <x v="1"/>
    <x v="0"/>
    <n v="5"/>
    <x v="1"/>
    <n v="6.3"/>
    <n v="3"/>
    <n v="8"/>
    <n v="3.72"/>
    <x v="1"/>
    <n v="1.6"/>
    <x v="2"/>
    <n v="5"/>
    <n v="10"/>
    <n v="3"/>
    <n v="0"/>
    <x v="11"/>
    <m/>
    <x v="1"/>
  </r>
  <r>
    <n v="13"/>
    <x v="0"/>
    <x v="1"/>
    <n v="2.5"/>
    <x v="0"/>
    <n v="4.5999999999999996"/>
    <n v="1.6"/>
    <n v="4.0999999999999996"/>
    <n v="3.22"/>
    <x v="0"/>
    <n v="0.9"/>
    <x v="2"/>
    <n v="6"/>
    <n v="4"/>
    <n v="3"/>
    <n v="0"/>
    <x v="18"/>
    <m/>
    <x v="1"/>
  </r>
  <r>
    <n v="18"/>
    <x v="1"/>
    <x v="0"/>
    <n v="2.2000000000000002"/>
    <x v="2"/>
    <n v="4.5"/>
    <n v="2"/>
    <n v="4.2"/>
    <n v="2.4900000000000002"/>
    <x v="2"/>
    <n v="0.8"/>
    <x v="1"/>
    <n v="1"/>
    <n v="7"/>
    <n v="6"/>
    <n v="0"/>
    <x v="15"/>
    <m/>
    <x v="1"/>
  </r>
  <r>
    <n v="16"/>
    <x v="1"/>
    <x v="0"/>
    <n v="4.0999999999999996"/>
    <x v="2"/>
    <n v="5.5"/>
    <n v="1.9"/>
    <n v="6"/>
    <n v="2.65"/>
    <x v="3"/>
    <n v="1.5"/>
    <x v="0"/>
    <n v="5"/>
    <n v="7"/>
    <n v="9"/>
    <n v="0"/>
    <x v="7"/>
    <m/>
    <x v="2"/>
  </r>
  <r>
    <n v="16"/>
    <x v="1"/>
    <x v="1"/>
    <n v="2.8"/>
    <x v="1"/>
    <n v="7.4"/>
    <n v="2"/>
    <n v="4.8"/>
    <n v="3.4"/>
    <x v="0"/>
    <n v="1.6"/>
    <x v="0"/>
    <n v="4"/>
    <n v="1"/>
    <n v="1"/>
    <n v="0"/>
    <x v="9"/>
    <m/>
    <x v="0"/>
  </r>
  <r>
    <n v="17"/>
    <x v="1"/>
    <x v="1"/>
    <n v="1.1000000000000001"/>
    <x v="1"/>
    <n v="8.1999999999999993"/>
    <n v="2.7"/>
    <n v="3.8000000000000003"/>
    <n v="2.84"/>
    <x v="3"/>
    <n v="0.2"/>
    <x v="1"/>
    <n v="2"/>
    <n v="4"/>
    <n v="1"/>
    <n v="0"/>
    <x v="21"/>
    <m/>
    <x v="0"/>
  </r>
  <r>
    <n v="13"/>
    <x v="0"/>
    <x v="0"/>
    <n v="7"/>
    <x v="2"/>
    <n v="5.7"/>
    <n v="1.6"/>
    <n v="8.6"/>
    <n v="3.45"/>
    <x v="0"/>
    <n v="1.2"/>
    <x v="2"/>
    <n v="7"/>
    <n v="1"/>
    <n v="10"/>
    <n v="0"/>
    <x v="11"/>
    <m/>
    <x v="1"/>
  </r>
  <r>
    <n v="18"/>
    <x v="1"/>
    <x v="0"/>
    <n v="2.6"/>
    <x v="1"/>
    <n v="7.9"/>
    <n v="2.2999999999999998"/>
    <n v="4.9000000000000004"/>
    <n v="2.4300000000000002"/>
    <x v="2"/>
    <n v="0.1"/>
    <x v="1"/>
    <n v="5"/>
    <n v="1"/>
    <n v="6"/>
    <n v="0"/>
    <x v="17"/>
    <m/>
    <x v="1"/>
  </r>
  <r>
    <n v="13"/>
    <x v="0"/>
    <x v="1"/>
    <n v="2.6"/>
    <x v="1"/>
    <n v="6.1"/>
    <n v="1.4"/>
    <n v="4"/>
    <n v="2.11"/>
    <x v="2"/>
    <n v="0.4"/>
    <x v="1"/>
    <n v="7"/>
    <n v="5"/>
    <n v="10"/>
    <n v="0"/>
    <x v="10"/>
    <m/>
    <x v="2"/>
  </r>
  <r>
    <n v="14"/>
    <x v="0"/>
    <x v="0"/>
    <n v="3.4"/>
    <x v="0"/>
    <n v="4.5999999999999996"/>
    <n v="2"/>
    <n v="5.4"/>
    <n v="2.27"/>
    <x v="2"/>
    <n v="1.9"/>
    <x v="1"/>
    <n v="7"/>
    <n v="10"/>
    <n v="6"/>
    <n v="0"/>
    <x v="22"/>
    <m/>
    <x v="2"/>
  </r>
  <r>
    <n v="14"/>
    <x v="0"/>
    <x v="0"/>
    <n v="7.9"/>
    <x v="0"/>
    <n v="5.7"/>
    <n v="1.6"/>
    <n v="9.5"/>
    <n v="3.67"/>
    <x v="1"/>
    <n v="0.6"/>
    <x v="2"/>
    <n v="4"/>
    <n v="3"/>
    <n v="4"/>
    <n v="0"/>
    <x v="12"/>
    <m/>
    <x v="1"/>
  </r>
  <r>
    <n v="13"/>
    <x v="0"/>
    <x v="0"/>
    <n v="5.0999999999999996"/>
    <x v="1"/>
    <n v="5.3"/>
    <n v="2.6"/>
    <n v="7.6999999999999993"/>
    <n v="2.95"/>
    <x v="3"/>
    <n v="1.2"/>
    <x v="2"/>
    <n v="2"/>
    <n v="6"/>
    <n v="10"/>
    <n v="0"/>
    <x v="11"/>
    <m/>
    <x v="1"/>
  </r>
  <r>
    <n v="13"/>
    <x v="0"/>
    <x v="1"/>
    <n v="2.8"/>
    <x v="2"/>
    <n v="6.4"/>
    <n v="1.4"/>
    <n v="4.1999999999999993"/>
    <n v="2.38"/>
    <x v="2"/>
    <n v="1.4"/>
    <x v="2"/>
    <n v="4"/>
    <n v="8"/>
    <n v="10"/>
    <n v="0"/>
    <x v="10"/>
    <m/>
    <x v="2"/>
  </r>
  <r>
    <n v="19"/>
    <x v="1"/>
    <x v="1"/>
    <n v="3.4"/>
    <x v="1"/>
    <n v="4.3"/>
    <n v="0.7"/>
    <n v="4.0999999999999996"/>
    <n v="2.17"/>
    <x v="2"/>
    <n v="0.7"/>
    <x v="1"/>
    <n v="3"/>
    <n v="1"/>
    <n v="4"/>
    <n v="0"/>
    <x v="2"/>
    <m/>
    <x v="0"/>
  </r>
  <r>
    <n v="18"/>
    <x v="1"/>
    <x v="0"/>
    <n v="6.3"/>
    <x v="2"/>
    <n v="6.9"/>
    <n v="1"/>
    <n v="7.3"/>
    <n v="3.22"/>
    <x v="0"/>
    <n v="0.8"/>
    <x v="2"/>
    <n v="4"/>
    <n v="6"/>
    <n v="1"/>
    <n v="0"/>
    <x v="12"/>
    <m/>
    <x v="1"/>
  </r>
  <r>
    <n v="17"/>
    <x v="1"/>
    <x v="1"/>
    <n v="1.1000000000000001"/>
    <x v="1"/>
    <n v="4.5999999999999996"/>
    <n v="2.5"/>
    <n v="3.6"/>
    <n v="3.93"/>
    <x v="1"/>
    <n v="0.3"/>
    <x v="1"/>
    <n v="10"/>
    <n v="6"/>
    <n v="2"/>
    <n v="0"/>
    <x v="11"/>
    <m/>
    <x v="1"/>
  </r>
  <r>
    <n v="19"/>
    <x v="1"/>
    <x v="0"/>
    <n v="3.8"/>
    <x v="0"/>
    <n v="7.1"/>
    <n v="2.5"/>
    <n v="6.3"/>
    <n v="3.81"/>
    <x v="1"/>
    <n v="0.9"/>
    <x v="0"/>
    <n v="6"/>
    <n v="9"/>
    <n v="4"/>
    <n v="0"/>
    <x v="1"/>
    <m/>
    <x v="1"/>
  </r>
  <r>
    <n v="13"/>
    <x v="0"/>
    <x v="0"/>
    <n v="2.1"/>
    <x v="0"/>
    <n v="4.0999999999999996"/>
    <n v="1.6"/>
    <n v="3.7"/>
    <n v="2.12"/>
    <x v="2"/>
    <n v="1.8"/>
    <x v="1"/>
    <n v="10"/>
    <n v="9"/>
    <n v="6"/>
    <n v="0"/>
    <x v="20"/>
    <m/>
    <x v="2"/>
  </r>
  <r>
    <n v="17"/>
    <x v="1"/>
    <x v="1"/>
    <n v="6.2"/>
    <x v="2"/>
    <n v="6.1"/>
    <n v="2.4"/>
    <n v="8.6"/>
    <n v="3.05"/>
    <x v="0"/>
    <n v="1.8"/>
    <x v="1"/>
    <n v="3"/>
    <n v="6"/>
    <n v="8"/>
    <n v="0"/>
    <x v="3"/>
    <m/>
    <x v="1"/>
  </r>
  <r>
    <n v="19"/>
    <x v="1"/>
    <x v="0"/>
    <n v="6.8"/>
    <x v="0"/>
    <n v="8.4"/>
    <n v="2.1"/>
    <n v="8.9"/>
    <n v="3.15"/>
    <x v="0"/>
    <n v="2"/>
    <x v="2"/>
    <n v="4"/>
    <n v="10"/>
    <n v="1"/>
    <n v="0"/>
    <x v="5"/>
    <m/>
    <x v="1"/>
  </r>
  <r>
    <n v="14"/>
    <x v="0"/>
    <x v="0"/>
    <n v="5.2"/>
    <x v="0"/>
    <n v="5.5"/>
    <n v="1.6"/>
    <n v="6.8000000000000007"/>
    <n v="3.08"/>
    <x v="0"/>
    <n v="0.5"/>
    <x v="2"/>
    <n v="3"/>
    <n v="8"/>
    <n v="1"/>
    <n v="0"/>
    <x v="17"/>
    <m/>
    <x v="1"/>
  </r>
  <r>
    <n v="15"/>
    <x v="0"/>
    <x v="0"/>
    <n v="3.7"/>
    <x v="2"/>
    <n v="4"/>
    <n v="0.9"/>
    <n v="4.6000000000000005"/>
    <n v="3"/>
    <x v="0"/>
    <n v="1.4"/>
    <x v="2"/>
    <n v="1"/>
    <n v="8"/>
    <n v="10"/>
    <n v="0"/>
    <x v="1"/>
    <m/>
    <x v="1"/>
  </r>
  <r>
    <n v="19"/>
    <x v="1"/>
    <x v="0"/>
    <n v="2.4"/>
    <x v="2"/>
    <n v="7.5"/>
    <n v="1.8"/>
    <n v="4.2"/>
    <n v="2.35"/>
    <x v="2"/>
    <n v="1.4"/>
    <x v="0"/>
    <n v="3"/>
    <n v="8"/>
    <n v="6"/>
    <n v="0"/>
    <x v="3"/>
    <m/>
    <x v="1"/>
  </r>
  <r>
    <n v="13"/>
    <x v="0"/>
    <x v="0"/>
    <n v="2.1"/>
    <x v="1"/>
    <n v="5.8"/>
    <n v="2.7"/>
    <n v="4.8000000000000007"/>
    <n v="3.83"/>
    <x v="1"/>
    <n v="1.9"/>
    <x v="0"/>
    <n v="4"/>
    <n v="6"/>
    <n v="6"/>
    <n v="0"/>
    <x v="13"/>
    <m/>
    <x v="1"/>
  </r>
  <r>
    <n v="17"/>
    <x v="1"/>
    <x v="1"/>
    <n v="2.6"/>
    <x v="1"/>
    <n v="4.2"/>
    <n v="0.7"/>
    <n v="3.3"/>
    <n v="3.02"/>
    <x v="0"/>
    <n v="1.6"/>
    <x v="0"/>
    <n v="7"/>
    <n v="4"/>
    <n v="7"/>
    <n v="0"/>
    <x v="11"/>
    <m/>
    <x v="1"/>
  </r>
  <r>
    <n v="19"/>
    <x v="1"/>
    <x v="0"/>
    <n v="6.5"/>
    <x v="0"/>
    <n v="6"/>
    <n v="1.5"/>
    <n v="8"/>
    <n v="2.12"/>
    <x v="2"/>
    <n v="1.7"/>
    <x v="2"/>
    <n v="8"/>
    <n v="5"/>
    <n v="7"/>
    <n v="0"/>
    <x v="8"/>
    <m/>
    <x v="2"/>
  </r>
  <r>
    <n v="16"/>
    <x v="1"/>
    <x v="1"/>
    <n v="3.4"/>
    <x v="0"/>
    <n v="5.3"/>
    <n v="1.8"/>
    <n v="5.2"/>
    <n v="3.33"/>
    <x v="0"/>
    <n v="0.3"/>
    <x v="0"/>
    <n v="9"/>
    <n v="2"/>
    <n v="4"/>
    <n v="0"/>
    <x v="5"/>
    <m/>
    <x v="1"/>
  </r>
  <r>
    <n v="16"/>
    <x v="1"/>
    <x v="0"/>
    <n v="1.7"/>
    <x v="2"/>
    <n v="4.3"/>
    <n v="1.4"/>
    <n v="3.0999999999999996"/>
    <n v="3.27"/>
    <x v="0"/>
    <n v="1.2"/>
    <x v="2"/>
    <n v="10"/>
    <n v="4"/>
    <n v="10"/>
    <n v="0"/>
    <x v="16"/>
    <m/>
    <x v="2"/>
  </r>
  <r>
    <n v="13"/>
    <x v="0"/>
    <x v="0"/>
    <n v="5.6"/>
    <x v="2"/>
    <n v="4.4000000000000004"/>
    <n v="2.9"/>
    <n v="8.5"/>
    <n v="3.19"/>
    <x v="0"/>
    <n v="0.9"/>
    <x v="2"/>
    <n v="6"/>
    <n v="3"/>
    <n v="4"/>
    <n v="0"/>
    <x v="18"/>
    <m/>
    <x v="1"/>
  </r>
  <r>
    <n v="15"/>
    <x v="0"/>
    <x v="1"/>
    <n v="8"/>
    <x v="2"/>
    <n v="5.7"/>
    <n v="1.3"/>
    <n v="9.3000000000000007"/>
    <n v="3.54"/>
    <x v="0"/>
    <n v="0.1"/>
    <x v="1"/>
    <n v="9"/>
    <n v="7"/>
    <n v="5"/>
    <n v="1"/>
    <x v="10"/>
    <m/>
    <x v="2"/>
  </r>
  <r>
    <n v="15"/>
    <x v="0"/>
    <x v="1"/>
    <n v="5.7"/>
    <x v="0"/>
    <n v="8.4"/>
    <n v="1.3"/>
    <n v="7"/>
    <n v="2.48"/>
    <x v="2"/>
    <n v="0.9"/>
    <x v="1"/>
    <n v="5"/>
    <n v="2"/>
    <n v="4"/>
    <n v="0"/>
    <x v="12"/>
    <m/>
    <x v="1"/>
  </r>
  <r>
    <n v="16"/>
    <x v="1"/>
    <x v="1"/>
    <n v="4"/>
    <x v="1"/>
    <n v="5.4"/>
    <n v="2.7"/>
    <n v="6.7"/>
    <n v="2.88"/>
    <x v="3"/>
    <n v="1.2"/>
    <x v="2"/>
    <n v="4"/>
    <n v="10"/>
    <n v="1"/>
    <n v="0"/>
    <x v="5"/>
    <m/>
    <x v="1"/>
  </r>
  <r>
    <n v="13"/>
    <x v="0"/>
    <x v="1"/>
    <n v="3.5"/>
    <x v="0"/>
    <n v="5.3"/>
    <n v="1.7"/>
    <n v="5.2"/>
    <n v="2.2000000000000002"/>
    <x v="2"/>
    <n v="0.8"/>
    <x v="1"/>
    <n v="6"/>
    <n v="10"/>
    <n v="8"/>
    <n v="0"/>
    <x v="16"/>
    <m/>
    <x v="2"/>
  </r>
  <r>
    <n v="15"/>
    <x v="0"/>
    <x v="1"/>
    <n v="4.2"/>
    <x v="1"/>
    <n v="5.5"/>
    <n v="1.3"/>
    <n v="5.5"/>
    <n v="3.49"/>
    <x v="0"/>
    <n v="0.5"/>
    <x v="0"/>
    <n v="2"/>
    <n v="5"/>
    <n v="2"/>
    <n v="0"/>
    <x v="6"/>
    <m/>
    <x v="0"/>
  </r>
  <r>
    <n v="19"/>
    <x v="1"/>
    <x v="1"/>
    <n v="3.9"/>
    <x v="1"/>
    <n v="7.4"/>
    <n v="2.5"/>
    <n v="6.4"/>
    <n v="3.74"/>
    <x v="1"/>
    <n v="0.3"/>
    <x v="2"/>
    <n v="5"/>
    <n v="8"/>
    <n v="3"/>
    <n v="0"/>
    <x v="13"/>
    <m/>
    <x v="1"/>
  </r>
  <r>
    <n v="17"/>
    <x v="1"/>
    <x v="1"/>
    <n v="6.7"/>
    <x v="0"/>
    <n v="4.3"/>
    <n v="0.6"/>
    <n v="7.3"/>
    <n v="3.76"/>
    <x v="1"/>
    <n v="0"/>
    <x v="0"/>
    <n v="2"/>
    <n v="1"/>
    <n v="7"/>
    <n v="0"/>
    <x v="4"/>
    <m/>
    <x v="1"/>
  </r>
  <r>
    <n v="15"/>
    <x v="0"/>
    <x v="0"/>
    <n v="6.7"/>
    <x v="2"/>
    <n v="4.3"/>
    <n v="1.8"/>
    <n v="8.5"/>
    <n v="3.69"/>
    <x v="1"/>
    <n v="0.7"/>
    <x v="1"/>
    <n v="2"/>
    <n v="8"/>
    <n v="7"/>
    <n v="0"/>
    <x v="3"/>
    <m/>
    <x v="1"/>
  </r>
  <r>
    <n v="14"/>
    <x v="0"/>
    <x v="1"/>
    <n v="3.4"/>
    <x v="0"/>
    <n v="5.6"/>
    <n v="1.7"/>
    <n v="5.0999999999999996"/>
    <n v="3.38"/>
    <x v="0"/>
    <n v="0.3"/>
    <x v="1"/>
    <n v="9"/>
    <n v="3"/>
    <n v="1"/>
    <n v="0"/>
    <x v="18"/>
    <m/>
    <x v="1"/>
  </r>
  <r>
    <n v="16"/>
    <x v="1"/>
    <x v="0"/>
    <n v="5"/>
    <x v="1"/>
    <n v="4.3"/>
    <n v="0.7"/>
    <n v="5.7"/>
    <n v="3.68"/>
    <x v="1"/>
    <n v="1.2"/>
    <x v="0"/>
    <n v="6"/>
    <n v="2"/>
    <n v="4"/>
    <n v="0"/>
    <x v="17"/>
    <m/>
    <x v="1"/>
  </r>
  <r>
    <n v="18"/>
    <x v="1"/>
    <x v="1"/>
    <n v="3.8"/>
    <x v="0"/>
    <n v="5.9"/>
    <n v="1"/>
    <n v="4.8"/>
    <n v="2.2200000000000002"/>
    <x v="2"/>
    <n v="0.6"/>
    <x v="0"/>
    <n v="9"/>
    <n v="10"/>
    <n v="9"/>
    <n v="0"/>
    <x v="24"/>
    <m/>
    <x v="2"/>
  </r>
  <r>
    <n v="15"/>
    <x v="0"/>
    <x v="1"/>
    <n v="7.3"/>
    <x v="1"/>
    <n v="7.3"/>
    <n v="2.8"/>
    <n v="10.1"/>
    <n v="2.46"/>
    <x v="2"/>
    <n v="0.3"/>
    <x v="0"/>
    <n v="2"/>
    <n v="7"/>
    <n v="5"/>
    <n v="0"/>
    <x v="15"/>
    <m/>
    <x v="1"/>
  </r>
  <r>
    <n v="18"/>
    <x v="1"/>
    <x v="1"/>
    <n v="7.2"/>
    <x v="1"/>
    <n v="5"/>
    <n v="1.4"/>
    <n v="8.6"/>
    <n v="3.65"/>
    <x v="1"/>
    <n v="1.1000000000000001"/>
    <x v="0"/>
    <n v="8"/>
    <n v="8"/>
    <n v="4"/>
    <n v="1"/>
    <x v="7"/>
    <m/>
    <x v="2"/>
  </r>
  <r>
    <n v="15"/>
    <x v="0"/>
    <x v="1"/>
    <n v="3.1"/>
    <x v="2"/>
    <n v="4.2"/>
    <n v="2.1"/>
    <n v="5.2"/>
    <n v="3.21"/>
    <x v="0"/>
    <n v="1.1000000000000001"/>
    <x v="2"/>
    <n v="8"/>
    <n v="2"/>
    <n v="10"/>
    <n v="0"/>
    <x v="8"/>
    <m/>
    <x v="2"/>
  </r>
  <r>
    <n v="15"/>
    <x v="0"/>
    <x v="1"/>
    <n v="8"/>
    <x v="0"/>
    <n v="4.4000000000000004"/>
    <n v="0.7"/>
    <n v="8.6999999999999993"/>
    <n v="2.62"/>
    <x v="3"/>
    <n v="1.6"/>
    <x v="1"/>
    <n v="6"/>
    <n v="7"/>
    <n v="2"/>
    <n v="0"/>
    <x v="5"/>
    <m/>
    <x v="1"/>
  </r>
  <r>
    <n v="15"/>
    <x v="0"/>
    <x v="0"/>
    <n v="4.3"/>
    <x v="0"/>
    <n v="7.5"/>
    <n v="1.1000000000000001"/>
    <n v="5.4"/>
    <n v="2.06"/>
    <x v="2"/>
    <n v="1.8"/>
    <x v="2"/>
    <n v="5"/>
    <n v="7"/>
    <n v="2"/>
    <n v="0"/>
    <x v="15"/>
    <m/>
    <x v="1"/>
  </r>
  <r>
    <n v="14"/>
    <x v="0"/>
    <x v="1"/>
    <n v="4"/>
    <x v="1"/>
    <n v="5.0999999999999996"/>
    <n v="1.1000000000000001"/>
    <n v="5.0999999999999996"/>
    <n v="3.98"/>
    <x v="1"/>
    <n v="1.3"/>
    <x v="2"/>
    <n v="5"/>
    <n v="4"/>
    <n v="9"/>
    <n v="0"/>
    <x v="11"/>
    <m/>
    <x v="1"/>
  </r>
  <r>
    <n v="15"/>
    <x v="0"/>
    <x v="0"/>
    <n v="6.9"/>
    <x v="1"/>
    <n v="5.6"/>
    <n v="1.4"/>
    <n v="8.3000000000000007"/>
    <n v="2.09"/>
    <x v="2"/>
    <n v="0.7"/>
    <x v="0"/>
    <n v="9"/>
    <n v="5"/>
    <n v="9"/>
    <n v="0"/>
    <x v="22"/>
    <m/>
    <x v="2"/>
  </r>
  <r>
    <n v="13"/>
    <x v="0"/>
    <x v="0"/>
    <n v="7"/>
    <x v="1"/>
    <n v="4.4000000000000004"/>
    <n v="0.9"/>
    <n v="7.9"/>
    <n v="3.67"/>
    <x v="1"/>
    <n v="0.4"/>
    <x v="0"/>
    <n v="5"/>
    <n v="3"/>
    <n v="6"/>
    <n v="0"/>
    <x v="15"/>
    <m/>
    <x v="1"/>
  </r>
  <r>
    <n v="13"/>
    <x v="0"/>
    <x v="0"/>
    <n v="6.2"/>
    <x v="0"/>
    <n v="8.6"/>
    <n v="1.8"/>
    <n v="8"/>
    <n v="2.19"/>
    <x v="2"/>
    <n v="0.7"/>
    <x v="1"/>
    <n v="8"/>
    <n v="4"/>
    <n v="7"/>
    <n v="0"/>
    <x v="1"/>
    <m/>
    <x v="1"/>
  </r>
  <r>
    <n v="15"/>
    <x v="0"/>
    <x v="0"/>
    <n v="7.7"/>
    <x v="0"/>
    <n v="8"/>
    <n v="1.3"/>
    <n v="9"/>
    <n v="3.78"/>
    <x v="1"/>
    <n v="1.1000000000000001"/>
    <x v="2"/>
    <n v="1"/>
    <n v="6"/>
    <n v="5"/>
    <n v="0"/>
    <x v="17"/>
    <m/>
    <x v="1"/>
  </r>
  <r>
    <n v="19"/>
    <x v="1"/>
    <x v="1"/>
    <n v="5.0999999999999996"/>
    <x v="2"/>
    <n v="6.3"/>
    <n v="2.2999999999999998"/>
    <n v="7.3999999999999995"/>
    <n v="2.5499999999999998"/>
    <x v="3"/>
    <n v="2"/>
    <x v="2"/>
    <n v="6"/>
    <n v="9"/>
    <n v="7"/>
    <n v="0"/>
    <x v="10"/>
    <m/>
    <x v="2"/>
  </r>
  <r>
    <n v="15"/>
    <x v="0"/>
    <x v="0"/>
    <n v="1"/>
    <x v="1"/>
    <n v="8.5"/>
    <n v="2"/>
    <n v="3"/>
    <n v="3.77"/>
    <x v="1"/>
    <n v="1.9"/>
    <x v="1"/>
    <n v="4"/>
    <n v="1"/>
    <n v="7"/>
    <n v="0"/>
    <x v="17"/>
    <m/>
    <x v="1"/>
  </r>
  <r>
    <n v="15"/>
    <x v="0"/>
    <x v="1"/>
    <n v="1.1000000000000001"/>
    <x v="0"/>
    <n v="4.5999999999999996"/>
    <n v="1.8"/>
    <n v="2.9000000000000004"/>
    <n v="2.35"/>
    <x v="2"/>
    <n v="1.1000000000000001"/>
    <x v="2"/>
    <n v="10"/>
    <n v="6"/>
    <n v="6"/>
    <n v="0"/>
    <x v="10"/>
    <m/>
    <x v="2"/>
  </r>
  <r>
    <n v="13"/>
    <x v="0"/>
    <x v="1"/>
    <n v="7"/>
    <x v="0"/>
    <n v="4.9000000000000004"/>
    <n v="1.2"/>
    <n v="8.1999999999999993"/>
    <n v="3.61"/>
    <x v="1"/>
    <n v="0.2"/>
    <x v="2"/>
    <n v="2"/>
    <n v="3"/>
    <n v="5"/>
    <n v="0"/>
    <x v="4"/>
    <m/>
    <x v="1"/>
  </r>
  <r>
    <n v="15"/>
    <x v="0"/>
    <x v="1"/>
    <n v="2.7"/>
    <x v="2"/>
    <n v="7.8"/>
    <n v="1.8"/>
    <n v="4.5"/>
    <n v="3.9"/>
    <x v="1"/>
    <n v="1.4"/>
    <x v="0"/>
    <n v="5"/>
    <n v="8"/>
    <n v="9"/>
    <n v="0"/>
    <x v="10"/>
    <m/>
    <x v="2"/>
  </r>
  <r>
    <n v="18"/>
    <x v="1"/>
    <x v="0"/>
    <n v="2.5"/>
    <x v="0"/>
    <n v="4.2"/>
    <n v="1.4"/>
    <n v="3.9"/>
    <n v="3.9"/>
    <x v="1"/>
    <n v="0.7"/>
    <x v="1"/>
    <n v="5"/>
    <n v="2"/>
    <n v="3"/>
    <n v="0"/>
    <x v="4"/>
    <m/>
    <x v="1"/>
  </r>
  <r>
    <n v="18"/>
    <x v="1"/>
    <x v="1"/>
    <n v="2.2999999999999998"/>
    <x v="1"/>
    <n v="4.3"/>
    <n v="0.9"/>
    <n v="3.1999999999999997"/>
    <n v="3.27"/>
    <x v="0"/>
    <n v="0.1"/>
    <x v="1"/>
    <n v="5"/>
    <n v="9"/>
    <n v="10"/>
    <n v="0"/>
    <x v="16"/>
    <m/>
    <x v="2"/>
  </r>
  <r>
    <n v="17"/>
    <x v="1"/>
    <x v="1"/>
    <n v="2.7"/>
    <x v="1"/>
    <n v="6.6"/>
    <n v="1.6"/>
    <n v="4.3000000000000007"/>
    <n v="3.36"/>
    <x v="0"/>
    <n v="1.6"/>
    <x v="1"/>
    <n v="3"/>
    <n v="1"/>
    <n v="2"/>
    <n v="0"/>
    <x v="9"/>
    <m/>
    <x v="0"/>
  </r>
  <r>
    <n v="14"/>
    <x v="0"/>
    <x v="0"/>
    <n v="3.2"/>
    <x v="0"/>
    <n v="5.4"/>
    <n v="2.6"/>
    <n v="5.8000000000000007"/>
    <n v="3.18"/>
    <x v="0"/>
    <n v="0.9"/>
    <x v="0"/>
    <n v="9"/>
    <n v="1"/>
    <n v="7"/>
    <n v="0"/>
    <x v="3"/>
    <m/>
    <x v="1"/>
  </r>
  <r>
    <n v="18"/>
    <x v="1"/>
    <x v="1"/>
    <n v="3.8"/>
    <x v="2"/>
    <n v="5.3"/>
    <n v="2.2999999999999998"/>
    <n v="6.1"/>
    <n v="3.42"/>
    <x v="0"/>
    <n v="0.4"/>
    <x v="0"/>
    <n v="4"/>
    <n v="8"/>
    <n v="2"/>
    <n v="0"/>
    <x v="15"/>
    <m/>
    <x v="1"/>
  </r>
  <r>
    <n v="14"/>
    <x v="0"/>
    <x v="1"/>
    <n v="4.0999999999999996"/>
    <x v="1"/>
    <n v="5.4"/>
    <n v="2.4"/>
    <n v="6.5"/>
    <n v="2.71"/>
    <x v="3"/>
    <n v="1.3"/>
    <x v="0"/>
    <n v="9"/>
    <n v="5"/>
    <n v="10"/>
    <n v="0"/>
    <x v="16"/>
    <m/>
    <x v="2"/>
  </r>
  <r>
    <n v="13"/>
    <x v="0"/>
    <x v="1"/>
    <n v="2.2999999999999998"/>
    <x v="1"/>
    <n v="6.6"/>
    <n v="1.4"/>
    <n v="3.6999999999999997"/>
    <n v="3.74"/>
    <x v="1"/>
    <n v="1.5"/>
    <x v="2"/>
    <n v="6"/>
    <n v="10"/>
    <n v="1"/>
    <n v="0"/>
    <x v="3"/>
    <m/>
    <x v="1"/>
  </r>
  <r>
    <n v="15"/>
    <x v="0"/>
    <x v="0"/>
    <n v="8"/>
    <x v="0"/>
    <n v="4.7"/>
    <n v="0.6"/>
    <n v="8.6"/>
    <n v="3.01"/>
    <x v="0"/>
    <n v="1.8"/>
    <x v="2"/>
    <n v="2"/>
    <n v="9"/>
    <n v="10"/>
    <n v="0"/>
    <x v="7"/>
    <m/>
    <x v="2"/>
  </r>
  <r>
    <n v="15"/>
    <x v="0"/>
    <x v="1"/>
    <n v="2.9"/>
    <x v="1"/>
    <n v="6.4"/>
    <n v="0.7"/>
    <n v="3.5999999999999996"/>
    <n v="3.41"/>
    <x v="0"/>
    <n v="1.6"/>
    <x v="0"/>
    <n v="3"/>
    <n v="10"/>
    <n v="7"/>
    <n v="0"/>
    <x v="8"/>
    <m/>
    <x v="2"/>
  </r>
  <r>
    <n v="19"/>
    <x v="1"/>
    <x v="1"/>
    <n v="4.4000000000000004"/>
    <x v="2"/>
    <n v="5"/>
    <n v="2.8"/>
    <n v="7.2"/>
    <n v="2.69"/>
    <x v="3"/>
    <n v="0.4"/>
    <x v="1"/>
    <n v="3"/>
    <n v="8"/>
    <n v="8"/>
    <n v="0"/>
    <x v="1"/>
    <m/>
    <x v="1"/>
  </r>
  <r>
    <n v="18"/>
    <x v="1"/>
    <x v="1"/>
    <n v="3.1"/>
    <x v="2"/>
    <n v="6.8"/>
    <n v="2"/>
    <n v="5.0999999999999996"/>
    <n v="3.77"/>
    <x v="1"/>
    <n v="1.4"/>
    <x v="0"/>
    <n v="1"/>
    <n v="3"/>
    <n v="4"/>
    <n v="0"/>
    <x v="2"/>
    <m/>
    <x v="0"/>
  </r>
  <r>
    <n v="18"/>
    <x v="1"/>
    <x v="0"/>
    <n v="7.9"/>
    <x v="1"/>
    <n v="7.5"/>
    <n v="2"/>
    <n v="9.9"/>
    <n v="2.77"/>
    <x v="3"/>
    <n v="0.9"/>
    <x v="0"/>
    <n v="10"/>
    <n v="4"/>
    <n v="4"/>
    <n v="0"/>
    <x v="11"/>
    <m/>
    <x v="1"/>
  </r>
  <r>
    <n v="14"/>
    <x v="0"/>
    <x v="1"/>
    <n v="1.2"/>
    <x v="2"/>
    <n v="7"/>
    <n v="2.2000000000000002"/>
    <n v="3.4000000000000004"/>
    <n v="3.83"/>
    <x v="1"/>
    <n v="0.8"/>
    <x v="0"/>
    <n v="6"/>
    <n v="10"/>
    <n v="5"/>
    <n v="0"/>
    <x v="7"/>
    <m/>
    <x v="2"/>
  </r>
  <r>
    <n v="19"/>
    <x v="1"/>
    <x v="1"/>
    <n v="4"/>
    <x v="2"/>
    <n v="7.4"/>
    <n v="2.7"/>
    <n v="6.7"/>
    <n v="3.41"/>
    <x v="0"/>
    <n v="1.4"/>
    <x v="2"/>
    <n v="9"/>
    <n v="4"/>
    <n v="7"/>
    <n v="0"/>
    <x v="8"/>
    <m/>
    <x v="2"/>
  </r>
  <r>
    <n v="18"/>
    <x v="1"/>
    <x v="0"/>
    <n v="1"/>
    <x v="0"/>
    <n v="7.1"/>
    <n v="0.8"/>
    <n v="1.8"/>
    <n v="2.4700000000000002"/>
    <x v="2"/>
    <n v="1.9"/>
    <x v="1"/>
    <n v="4"/>
    <n v="2"/>
    <n v="4"/>
    <n v="0"/>
    <x v="4"/>
    <m/>
    <x v="1"/>
  </r>
  <r>
    <n v="19"/>
    <x v="1"/>
    <x v="1"/>
    <n v="7.9"/>
    <x v="0"/>
    <n v="5.7"/>
    <n v="2.4"/>
    <n v="10.3"/>
    <n v="3.59"/>
    <x v="0"/>
    <n v="1.9"/>
    <x v="1"/>
    <n v="1"/>
    <n v="9"/>
    <n v="9"/>
    <n v="0"/>
    <x v="1"/>
    <m/>
    <x v="1"/>
  </r>
  <r>
    <n v="14"/>
    <x v="0"/>
    <x v="0"/>
    <n v="6.2"/>
    <x v="1"/>
    <n v="4.4000000000000004"/>
    <n v="0.7"/>
    <n v="6.9"/>
    <n v="3.45"/>
    <x v="0"/>
    <n v="0.5"/>
    <x v="2"/>
    <n v="9"/>
    <n v="10"/>
    <n v="3"/>
    <n v="1"/>
    <x v="22"/>
    <m/>
    <x v="2"/>
  </r>
  <r>
    <n v="16"/>
    <x v="1"/>
    <x v="1"/>
    <n v="2.5"/>
    <x v="0"/>
    <n v="5.4"/>
    <n v="2.2999999999999998"/>
    <n v="4.8"/>
    <n v="3.43"/>
    <x v="0"/>
    <n v="0.5"/>
    <x v="1"/>
    <n v="9"/>
    <n v="1"/>
    <n v="2"/>
    <n v="0"/>
    <x v="17"/>
    <m/>
    <x v="1"/>
  </r>
  <r>
    <n v="16"/>
    <x v="1"/>
    <x v="0"/>
    <n v="4.7"/>
    <x v="2"/>
    <n v="8.1999999999999993"/>
    <n v="2.6"/>
    <n v="7.3000000000000007"/>
    <n v="3.05"/>
    <x v="0"/>
    <n v="1"/>
    <x v="2"/>
    <n v="4"/>
    <n v="7"/>
    <n v="2"/>
    <n v="0"/>
    <x v="18"/>
    <m/>
    <x v="1"/>
  </r>
  <r>
    <n v="16"/>
    <x v="1"/>
    <x v="0"/>
    <n v="6.3"/>
    <x v="0"/>
    <n v="6.5"/>
    <n v="1"/>
    <n v="7.3"/>
    <n v="2.52"/>
    <x v="3"/>
    <n v="0.4"/>
    <x v="0"/>
    <n v="1"/>
    <n v="10"/>
    <n v="6"/>
    <n v="0"/>
    <x v="3"/>
    <m/>
    <x v="1"/>
  </r>
  <r>
    <n v="17"/>
    <x v="1"/>
    <x v="1"/>
    <n v="7.5"/>
    <x v="1"/>
    <n v="5.4"/>
    <n v="2.2999999999999998"/>
    <n v="9.8000000000000007"/>
    <n v="3.44"/>
    <x v="0"/>
    <n v="0.4"/>
    <x v="2"/>
    <n v="7"/>
    <n v="9"/>
    <n v="7"/>
    <n v="1"/>
    <x v="16"/>
    <m/>
    <x v="2"/>
  </r>
  <r>
    <n v="18"/>
    <x v="1"/>
    <x v="0"/>
    <n v="2"/>
    <x v="1"/>
    <n v="8.4"/>
    <n v="1.5"/>
    <n v="3.5"/>
    <n v="2.83"/>
    <x v="3"/>
    <n v="1.2"/>
    <x v="0"/>
    <n v="9"/>
    <n v="4"/>
    <n v="5"/>
    <n v="0"/>
    <x v="11"/>
    <m/>
    <x v="1"/>
  </r>
  <r>
    <n v="13"/>
    <x v="0"/>
    <x v="1"/>
    <n v="6.3"/>
    <x v="0"/>
    <n v="8.4"/>
    <n v="1.6"/>
    <n v="7.9"/>
    <n v="2.0299999999999998"/>
    <x v="2"/>
    <n v="1.5"/>
    <x v="2"/>
    <n v="5"/>
    <n v="3"/>
    <n v="9"/>
    <n v="0"/>
    <x v="3"/>
    <m/>
    <x v="1"/>
  </r>
  <r>
    <n v="16"/>
    <x v="1"/>
    <x v="0"/>
    <n v="6.6"/>
    <x v="2"/>
    <n v="8.9"/>
    <n v="2"/>
    <n v="8.6"/>
    <n v="3.44"/>
    <x v="0"/>
    <n v="1.7"/>
    <x v="0"/>
    <n v="10"/>
    <n v="9"/>
    <n v="3"/>
    <n v="0"/>
    <x v="10"/>
    <m/>
    <x v="2"/>
  </r>
  <r>
    <n v="19"/>
    <x v="1"/>
    <x v="1"/>
    <n v="3.6"/>
    <x v="2"/>
    <n v="5.6"/>
    <n v="1.7"/>
    <n v="5.3"/>
    <n v="3.57"/>
    <x v="0"/>
    <n v="1.5"/>
    <x v="0"/>
    <n v="10"/>
    <n v="4"/>
    <n v="3"/>
    <n v="0"/>
    <x v="3"/>
    <m/>
    <x v="1"/>
  </r>
  <r>
    <n v="16"/>
    <x v="1"/>
    <x v="1"/>
    <n v="3.2"/>
    <x v="2"/>
    <n v="4.5999999999999996"/>
    <n v="2.5"/>
    <n v="5.7"/>
    <n v="2.62"/>
    <x v="3"/>
    <n v="1.8"/>
    <x v="0"/>
    <n v="9"/>
    <n v="5"/>
    <n v="1"/>
    <n v="0"/>
    <x v="5"/>
    <m/>
    <x v="1"/>
  </r>
  <r>
    <n v="13"/>
    <x v="0"/>
    <x v="1"/>
    <n v="3.1"/>
    <x v="0"/>
    <n v="6.4"/>
    <n v="1.6"/>
    <n v="4.7"/>
    <n v="3.69"/>
    <x v="1"/>
    <n v="0.9"/>
    <x v="2"/>
    <n v="1"/>
    <n v="2"/>
    <n v="1"/>
    <n v="0"/>
    <x v="23"/>
    <m/>
    <x v="0"/>
  </r>
  <r>
    <n v="18"/>
    <x v="1"/>
    <x v="0"/>
    <n v="6.7"/>
    <x v="0"/>
    <n v="8.8000000000000007"/>
    <n v="1.9"/>
    <n v="8.6"/>
    <n v="2.5499999999999998"/>
    <x v="3"/>
    <n v="1"/>
    <x v="0"/>
    <n v="5"/>
    <n v="8"/>
    <n v="3"/>
    <n v="0"/>
    <x v="13"/>
    <m/>
    <x v="1"/>
  </r>
  <r>
    <n v="17"/>
    <x v="1"/>
    <x v="0"/>
    <n v="6.6"/>
    <x v="1"/>
    <n v="8.1999999999999993"/>
    <n v="0.7"/>
    <n v="7.3"/>
    <n v="2.88"/>
    <x v="3"/>
    <n v="0.8"/>
    <x v="0"/>
    <n v="1"/>
    <n v="7"/>
    <n v="7"/>
    <n v="0"/>
    <x v="5"/>
    <m/>
    <x v="1"/>
  </r>
  <r>
    <n v="14"/>
    <x v="0"/>
    <x v="1"/>
    <n v="7"/>
    <x v="0"/>
    <n v="4.5"/>
    <n v="1.6"/>
    <n v="8.6"/>
    <n v="2.83"/>
    <x v="3"/>
    <n v="0.4"/>
    <x v="2"/>
    <n v="8"/>
    <n v="1"/>
    <n v="7"/>
    <n v="0"/>
    <x v="13"/>
    <m/>
    <x v="1"/>
  </r>
  <r>
    <n v="16"/>
    <x v="1"/>
    <x v="1"/>
    <n v="4.8"/>
    <x v="2"/>
    <n v="5.0999999999999996"/>
    <n v="2.1"/>
    <n v="6.9"/>
    <n v="2.4900000000000002"/>
    <x v="2"/>
    <n v="1.6"/>
    <x v="0"/>
    <n v="4"/>
    <n v="9"/>
    <n v="1"/>
    <n v="0"/>
    <x v="15"/>
    <m/>
    <x v="1"/>
  </r>
  <r>
    <n v="13"/>
    <x v="0"/>
    <x v="1"/>
    <n v="5.8"/>
    <x v="0"/>
    <n v="6.3"/>
    <n v="1.1000000000000001"/>
    <n v="6.9"/>
    <n v="3.09"/>
    <x v="0"/>
    <n v="0.9"/>
    <x v="2"/>
    <n v="8"/>
    <n v="4"/>
    <n v="9"/>
    <n v="0"/>
    <x v="7"/>
    <m/>
    <x v="2"/>
  </r>
  <r>
    <n v="19"/>
    <x v="1"/>
    <x v="1"/>
    <n v="6"/>
    <x v="2"/>
    <n v="6.3"/>
    <n v="2.8"/>
    <n v="8.8000000000000007"/>
    <n v="3.98"/>
    <x v="1"/>
    <n v="2"/>
    <x v="2"/>
    <n v="2"/>
    <n v="6"/>
    <n v="2"/>
    <n v="0"/>
    <x v="4"/>
    <m/>
    <x v="1"/>
  </r>
  <r>
    <n v="15"/>
    <x v="0"/>
    <x v="0"/>
    <n v="4"/>
    <x v="2"/>
    <n v="5.2"/>
    <n v="1.8"/>
    <n v="5.8"/>
    <n v="3.3"/>
    <x v="0"/>
    <n v="0.7"/>
    <x v="2"/>
    <n v="10"/>
    <n v="5"/>
    <n v="1"/>
    <n v="0"/>
    <x v="13"/>
    <m/>
    <x v="1"/>
  </r>
  <r>
    <n v="14"/>
    <x v="0"/>
    <x v="1"/>
    <n v="5.8"/>
    <x v="2"/>
    <n v="4.8"/>
    <n v="2.6"/>
    <n v="8.4"/>
    <n v="2.08"/>
    <x v="2"/>
    <n v="0.8"/>
    <x v="2"/>
    <n v="6"/>
    <n v="4"/>
    <n v="9"/>
    <n v="0"/>
    <x v="1"/>
    <m/>
    <x v="1"/>
  </r>
  <r>
    <n v="19"/>
    <x v="1"/>
    <x v="0"/>
    <n v="5.2"/>
    <x v="0"/>
    <n v="7.6"/>
    <n v="1.3"/>
    <n v="6.5"/>
    <n v="3.89"/>
    <x v="1"/>
    <n v="1.5"/>
    <x v="1"/>
    <n v="4"/>
    <n v="5"/>
    <n v="8"/>
    <n v="0"/>
    <x v="3"/>
    <m/>
    <x v="1"/>
  </r>
  <r>
    <n v="17"/>
    <x v="1"/>
    <x v="0"/>
    <n v="2.9"/>
    <x v="2"/>
    <n v="6.7"/>
    <n v="1.5"/>
    <n v="4.4000000000000004"/>
    <n v="3.62"/>
    <x v="1"/>
    <n v="0.8"/>
    <x v="2"/>
    <n v="10"/>
    <n v="6"/>
    <n v="4"/>
    <n v="0"/>
    <x v="8"/>
    <m/>
    <x v="2"/>
  </r>
  <r>
    <n v="18"/>
    <x v="1"/>
    <x v="1"/>
    <n v="7.5"/>
    <x v="1"/>
    <n v="7.5"/>
    <n v="1.4"/>
    <n v="8.9"/>
    <n v="3.14"/>
    <x v="0"/>
    <n v="2"/>
    <x v="0"/>
    <n v="2"/>
    <n v="9"/>
    <n v="2"/>
    <n v="0"/>
    <x v="18"/>
    <m/>
    <x v="1"/>
  </r>
  <r>
    <n v="13"/>
    <x v="0"/>
    <x v="1"/>
    <n v="5.8"/>
    <x v="0"/>
    <n v="6.1"/>
    <n v="1.2"/>
    <n v="7"/>
    <n v="3.81"/>
    <x v="1"/>
    <n v="1.8"/>
    <x v="2"/>
    <n v="6"/>
    <n v="10"/>
    <n v="6"/>
    <n v="0"/>
    <x v="10"/>
    <m/>
    <x v="2"/>
  </r>
  <r>
    <n v="14"/>
    <x v="0"/>
    <x v="0"/>
    <n v="7.6"/>
    <x v="0"/>
    <n v="5.8"/>
    <n v="1.9"/>
    <n v="9.5"/>
    <n v="3.49"/>
    <x v="0"/>
    <n v="1.7"/>
    <x v="1"/>
    <n v="10"/>
    <n v="1"/>
    <n v="3"/>
    <n v="0"/>
    <x v="15"/>
    <m/>
    <x v="1"/>
  </r>
  <r>
    <n v="15"/>
    <x v="0"/>
    <x v="1"/>
    <n v="1.3"/>
    <x v="1"/>
    <n v="7.6"/>
    <n v="0.6"/>
    <n v="1.9"/>
    <n v="3.46"/>
    <x v="0"/>
    <n v="1.9"/>
    <x v="0"/>
    <n v="1"/>
    <n v="1"/>
    <n v="4"/>
    <n v="0"/>
    <x v="9"/>
    <m/>
    <x v="0"/>
  </r>
  <r>
    <n v="15"/>
    <x v="0"/>
    <x v="0"/>
    <n v="3.7"/>
    <x v="2"/>
    <n v="5.7"/>
    <n v="1.3"/>
    <n v="5"/>
    <n v="3.24"/>
    <x v="0"/>
    <n v="0.2"/>
    <x v="0"/>
    <n v="4"/>
    <n v="9"/>
    <n v="10"/>
    <n v="0"/>
    <x v="22"/>
    <m/>
    <x v="2"/>
  </r>
  <r>
    <n v="18"/>
    <x v="1"/>
    <x v="0"/>
    <n v="3.6"/>
    <x v="0"/>
    <n v="4.7"/>
    <n v="2.5"/>
    <n v="6.1"/>
    <n v="2.73"/>
    <x v="3"/>
    <n v="1.2"/>
    <x v="2"/>
    <n v="9"/>
    <n v="7"/>
    <n v="6"/>
    <n v="0"/>
    <x v="10"/>
    <m/>
    <x v="2"/>
  </r>
  <r>
    <n v="15"/>
    <x v="0"/>
    <x v="0"/>
    <n v="6.4"/>
    <x v="1"/>
    <n v="6.9"/>
    <n v="2.9"/>
    <n v="9.3000000000000007"/>
    <n v="2.48"/>
    <x v="2"/>
    <n v="0.9"/>
    <x v="0"/>
    <n v="8"/>
    <n v="4"/>
    <n v="8"/>
    <n v="0"/>
    <x v="8"/>
    <m/>
    <x v="2"/>
  </r>
  <r>
    <n v="13"/>
    <x v="0"/>
    <x v="0"/>
    <n v="6"/>
    <x v="1"/>
    <n v="4.8"/>
    <n v="2.6"/>
    <n v="8.6"/>
    <n v="2.74"/>
    <x v="3"/>
    <n v="1.6"/>
    <x v="1"/>
    <n v="6"/>
    <n v="10"/>
    <n v="8"/>
    <n v="0"/>
    <x v="16"/>
    <m/>
    <x v="2"/>
  </r>
  <r>
    <n v="14"/>
    <x v="0"/>
    <x v="1"/>
    <n v="1.3"/>
    <x v="1"/>
    <n v="7.7"/>
    <n v="1.9"/>
    <n v="3.2"/>
    <n v="2.27"/>
    <x v="2"/>
    <n v="1.5"/>
    <x v="0"/>
    <n v="7"/>
    <n v="2"/>
    <n v="2"/>
    <n v="0"/>
    <x v="12"/>
    <m/>
    <x v="1"/>
  </r>
  <r>
    <n v="18"/>
    <x v="1"/>
    <x v="0"/>
    <n v="3.7"/>
    <x v="0"/>
    <n v="7"/>
    <n v="1.4"/>
    <n v="5.0999999999999996"/>
    <n v="2.0499999999999998"/>
    <x v="2"/>
    <n v="0.4"/>
    <x v="2"/>
    <n v="10"/>
    <n v="9"/>
    <n v="5"/>
    <n v="0"/>
    <x v="16"/>
    <m/>
    <x v="2"/>
  </r>
  <r>
    <n v="18"/>
    <x v="1"/>
    <x v="1"/>
    <n v="8"/>
    <x v="1"/>
    <n v="4.3"/>
    <n v="0.8"/>
    <n v="8.8000000000000007"/>
    <n v="3.44"/>
    <x v="0"/>
    <n v="0.8"/>
    <x v="2"/>
    <n v="3"/>
    <n v="4"/>
    <n v="4"/>
    <n v="0"/>
    <x v="12"/>
    <m/>
    <x v="1"/>
  </r>
  <r>
    <n v="19"/>
    <x v="1"/>
    <x v="1"/>
    <n v="4.0999999999999996"/>
    <x v="2"/>
    <n v="7.5"/>
    <n v="2.7"/>
    <n v="6.8"/>
    <n v="2.66"/>
    <x v="3"/>
    <n v="1.6"/>
    <x v="1"/>
    <n v="5"/>
    <n v="10"/>
    <n v="5"/>
    <n v="0"/>
    <x v="8"/>
    <m/>
    <x v="2"/>
  </r>
  <r>
    <n v="13"/>
    <x v="0"/>
    <x v="0"/>
    <n v="3.9"/>
    <x v="2"/>
    <n v="8.6999999999999993"/>
    <n v="1.5"/>
    <n v="5.4"/>
    <n v="2.71"/>
    <x v="3"/>
    <n v="0.7"/>
    <x v="0"/>
    <n v="7"/>
    <n v="1"/>
    <n v="4"/>
    <n v="0"/>
    <x v="17"/>
    <m/>
    <x v="1"/>
  </r>
  <r>
    <n v="15"/>
    <x v="0"/>
    <x v="1"/>
    <n v="6.4"/>
    <x v="0"/>
    <n v="5.9"/>
    <n v="1.6"/>
    <n v="8"/>
    <n v="3.97"/>
    <x v="1"/>
    <n v="1"/>
    <x v="1"/>
    <n v="10"/>
    <n v="2"/>
    <n v="6"/>
    <n v="0"/>
    <x v="11"/>
    <m/>
    <x v="1"/>
  </r>
  <r>
    <n v="19"/>
    <x v="1"/>
    <x v="1"/>
    <n v="1.3"/>
    <x v="1"/>
    <n v="6.5"/>
    <n v="2.1"/>
    <n v="3.4000000000000004"/>
    <n v="3.68"/>
    <x v="1"/>
    <n v="1.1000000000000001"/>
    <x v="1"/>
    <n v="7"/>
    <n v="1"/>
    <n v="9"/>
    <n v="0"/>
    <x v="3"/>
    <m/>
    <x v="1"/>
  </r>
  <r>
    <n v="18"/>
    <x v="1"/>
    <x v="1"/>
    <n v="5"/>
    <x v="0"/>
    <n v="6.6"/>
    <n v="1.8"/>
    <n v="6.8"/>
    <n v="3.87"/>
    <x v="1"/>
    <n v="1.2"/>
    <x v="1"/>
    <n v="3"/>
    <n v="4"/>
    <n v="2"/>
    <n v="0"/>
    <x v="6"/>
    <m/>
    <x v="0"/>
  </r>
  <r>
    <n v="18"/>
    <x v="1"/>
    <x v="0"/>
    <n v="5.5"/>
    <x v="2"/>
    <n v="5.2"/>
    <n v="1.4"/>
    <n v="6.9"/>
    <n v="3.24"/>
    <x v="0"/>
    <n v="0.9"/>
    <x v="2"/>
    <n v="10"/>
    <n v="5"/>
    <n v="7"/>
    <n v="0"/>
    <x v="10"/>
    <m/>
    <x v="2"/>
  </r>
  <r>
    <n v="13"/>
    <x v="0"/>
    <x v="1"/>
    <n v="7.6"/>
    <x v="0"/>
    <n v="7.9"/>
    <n v="3"/>
    <n v="10.6"/>
    <n v="2.54"/>
    <x v="3"/>
    <n v="1.2"/>
    <x v="1"/>
    <n v="8"/>
    <n v="8"/>
    <n v="1"/>
    <n v="0"/>
    <x v="3"/>
    <m/>
    <x v="1"/>
  </r>
  <r>
    <n v="19"/>
    <x v="1"/>
    <x v="1"/>
    <n v="6.3"/>
    <x v="2"/>
    <n v="5.7"/>
    <n v="2.2999999999999998"/>
    <n v="8.6"/>
    <n v="2.16"/>
    <x v="2"/>
    <n v="1.9"/>
    <x v="1"/>
    <n v="6"/>
    <n v="3"/>
    <n v="6"/>
    <n v="0"/>
    <x v="5"/>
    <m/>
    <x v="1"/>
  </r>
  <r>
    <n v="18"/>
    <x v="1"/>
    <x v="1"/>
    <n v="2"/>
    <x v="0"/>
    <n v="5.9"/>
    <n v="2.9"/>
    <n v="4.9000000000000004"/>
    <n v="3.52"/>
    <x v="0"/>
    <n v="1.1000000000000001"/>
    <x v="1"/>
    <n v="8"/>
    <n v="6"/>
    <n v="10"/>
    <n v="0"/>
    <x v="16"/>
    <m/>
    <x v="2"/>
  </r>
  <r>
    <n v="15"/>
    <x v="0"/>
    <x v="0"/>
    <n v="4"/>
    <x v="1"/>
    <n v="4.5"/>
    <n v="1.9"/>
    <n v="5.9"/>
    <n v="3.22"/>
    <x v="0"/>
    <n v="0.2"/>
    <x v="2"/>
    <n v="4"/>
    <n v="5"/>
    <n v="3"/>
    <n v="0"/>
    <x v="17"/>
    <m/>
    <x v="1"/>
  </r>
  <r>
    <n v="14"/>
    <x v="0"/>
    <x v="0"/>
    <n v="4.9000000000000004"/>
    <x v="0"/>
    <n v="5.5"/>
    <n v="1.6"/>
    <n v="6.5"/>
    <n v="2.85"/>
    <x v="3"/>
    <n v="0.4"/>
    <x v="0"/>
    <n v="8"/>
    <n v="1"/>
    <n v="8"/>
    <n v="0"/>
    <x v="3"/>
    <m/>
    <x v="1"/>
  </r>
  <r>
    <n v="14"/>
    <x v="0"/>
    <x v="1"/>
    <n v="6.9"/>
    <x v="1"/>
    <n v="8"/>
    <n v="1.6"/>
    <n v="8.5"/>
    <n v="2.64"/>
    <x v="3"/>
    <n v="0.1"/>
    <x v="2"/>
    <n v="3"/>
    <n v="3"/>
    <n v="3"/>
    <n v="0"/>
    <x v="6"/>
    <m/>
    <x v="0"/>
  </r>
  <r>
    <n v="15"/>
    <x v="0"/>
    <x v="0"/>
    <n v="5.4"/>
    <x v="1"/>
    <n v="4.2"/>
    <n v="1.8"/>
    <n v="7.2"/>
    <n v="2.15"/>
    <x v="2"/>
    <n v="0.3"/>
    <x v="2"/>
    <n v="1"/>
    <n v="10"/>
    <n v="5"/>
    <n v="0"/>
    <x v="13"/>
    <m/>
    <x v="1"/>
  </r>
  <r>
    <n v="13"/>
    <x v="0"/>
    <x v="1"/>
    <n v="3.8"/>
    <x v="2"/>
    <n v="8.9"/>
    <n v="2.5"/>
    <n v="6.3"/>
    <n v="2.29"/>
    <x v="2"/>
    <n v="0.6"/>
    <x v="1"/>
    <n v="9"/>
    <n v="9"/>
    <n v="7"/>
    <n v="0"/>
    <x v="20"/>
    <m/>
    <x v="2"/>
  </r>
  <r>
    <n v="15"/>
    <x v="0"/>
    <x v="0"/>
    <n v="7.8"/>
    <x v="2"/>
    <n v="6.8"/>
    <n v="0.6"/>
    <n v="8.4"/>
    <n v="3.2"/>
    <x v="0"/>
    <n v="1.7"/>
    <x v="2"/>
    <n v="1"/>
    <n v="7"/>
    <n v="5"/>
    <n v="0"/>
    <x v="18"/>
    <m/>
    <x v="1"/>
  </r>
  <r>
    <n v="15"/>
    <x v="0"/>
    <x v="0"/>
    <n v="3.5"/>
    <x v="2"/>
    <n v="8.8000000000000007"/>
    <n v="1.8"/>
    <n v="5.3"/>
    <n v="3.5"/>
    <x v="0"/>
    <n v="0.8"/>
    <x v="0"/>
    <n v="3"/>
    <n v="6"/>
    <n v="3"/>
    <n v="0"/>
    <x v="17"/>
    <m/>
    <x v="1"/>
  </r>
  <r>
    <n v="19"/>
    <x v="1"/>
    <x v="1"/>
    <n v="5.4"/>
    <x v="0"/>
    <n v="7.3"/>
    <n v="2"/>
    <n v="7.4"/>
    <n v="3.98"/>
    <x v="1"/>
    <n v="0.9"/>
    <x v="2"/>
    <n v="6"/>
    <n v="6"/>
    <n v="1"/>
    <n v="0"/>
    <x v="18"/>
    <m/>
    <x v="1"/>
  </r>
  <r>
    <n v="17"/>
    <x v="1"/>
    <x v="0"/>
    <n v="3.8"/>
    <x v="2"/>
    <n v="5.7"/>
    <n v="2"/>
    <n v="5.8"/>
    <n v="3.01"/>
    <x v="0"/>
    <n v="1"/>
    <x v="0"/>
    <n v="1"/>
    <n v="3"/>
    <n v="1"/>
    <n v="0"/>
    <x v="0"/>
    <m/>
    <x v="0"/>
  </r>
  <r>
    <n v="17"/>
    <x v="1"/>
    <x v="0"/>
    <n v="8"/>
    <x v="0"/>
    <n v="6.9"/>
    <n v="2.2000000000000002"/>
    <n v="10.199999999999999"/>
    <n v="2.36"/>
    <x v="2"/>
    <n v="1.6"/>
    <x v="0"/>
    <n v="4"/>
    <n v="2"/>
    <n v="8"/>
    <n v="0"/>
    <x v="15"/>
    <m/>
    <x v="1"/>
  </r>
  <r>
    <n v="14"/>
    <x v="0"/>
    <x v="1"/>
    <n v="3.7"/>
    <x v="1"/>
    <n v="5.7"/>
    <n v="1.7"/>
    <n v="5.4"/>
    <n v="2.88"/>
    <x v="3"/>
    <n v="0.2"/>
    <x v="0"/>
    <n v="9"/>
    <n v="10"/>
    <n v="3"/>
    <n v="0"/>
    <x v="10"/>
    <m/>
    <x v="2"/>
  </r>
  <r>
    <n v="19"/>
    <x v="1"/>
    <x v="1"/>
    <n v="5"/>
    <x v="0"/>
    <n v="6.3"/>
    <n v="2.9"/>
    <n v="7.9"/>
    <n v="2.04"/>
    <x v="2"/>
    <n v="0.5"/>
    <x v="2"/>
    <n v="5"/>
    <n v="2"/>
    <n v="2"/>
    <n v="0"/>
    <x v="6"/>
    <m/>
    <x v="0"/>
  </r>
  <r>
    <n v="19"/>
    <x v="1"/>
    <x v="1"/>
    <n v="4.2"/>
    <x v="0"/>
    <n v="7.1"/>
    <n v="2.5"/>
    <n v="6.7"/>
    <n v="3.91"/>
    <x v="1"/>
    <n v="1.5"/>
    <x v="1"/>
    <n v="6"/>
    <n v="8"/>
    <n v="9"/>
    <n v="0"/>
    <x v="22"/>
    <m/>
    <x v="2"/>
  </r>
  <r>
    <n v="16"/>
    <x v="1"/>
    <x v="0"/>
    <n v="4.5999999999999996"/>
    <x v="0"/>
    <n v="8.1999999999999993"/>
    <n v="1.5"/>
    <n v="6.1"/>
    <n v="2.13"/>
    <x v="2"/>
    <n v="1"/>
    <x v="0"/>
    <n v="3"/>
    <n v="2"/>
    <n v="2"/>
    <n v="0"/>
    <x v="21"/>
    <m/>
    <x v="0"/>
  </r>
  <r>
    <n v="18"/>
    <x v="1"/>
    <x v="0"/>
    <n v="5.5"/>
    <x v="0"/>
    <n v="5"/>
    <n v="0.9"/>
    <n v="6.4"/>
    <n v="2.93"/>
    <x v="3"/>
    <n v="1.1000000000000001"/>
    <x v="0"/>
    <n v="4"/>
    <n v="10"/>
    <n v="10"/>
    <n v="0"/>
    <x v="16"/>
    <m/>
    <x v="2"/>
  </r>
  <r>
    <n v="19"/>
    <x v="1"/>
    <x v="1"/>
    <n v="1.8"/>
    <x v="0"/>
    <n v="4.5"/>
    <n v="2.8"/>
    <n v="4.5999999999999996"/>
    <n v="3.22"/>
    <x v="0"/>
    <n v="1.6"/>
    <x v="2"/>
    <n v="5"/>
    <n v="3"/>
    <n v="10"/>
    <n v="0"/>
    <x v="11"/>
    <m/>
    <x v="1"/>
  </r>
  <r>
    <n v="14"/>
    <x v="0"/>
    <x v="1"/>
    <n v="6.6"/>
    <x v="1"/>
    <n v="6.2"/>
    <n v="1.8"/>
    <n v="8.4"/>
    <n v="2.36"/>
    <x v="2"/>
    <n v="1.7"/>
    <x v="1"/>
    <n v="4"/>
    <n v="1"/>
    <n v="8"/>
    <n v="0"/>
    <x v="18"/>
    <m/>
    <x v="1"/>
  </r>
  <r>
    <n v="15"/>
    <x v="0"/>
    <x v="1"/>
    <n v="4.4000000000000004"/>
    <x v="1"/>
    <n v="5.3"/>
    <n v="0.9"/>
    <n v="5.3000000000000007"/>
    <n v="3.75"/>
    <x v="1"/>
    <n v="0.5"/>
    <x v="1"/>
    <n v="10"/>
    <n v="5"/>
    <n v="5"/>
    <n v="0"/>
    <x v="8"/>
    <m/>
    <x v="2"/>
  </r>
  <r>
    <n v="14"/>
    <x v="0"/>
    <x v="1"/>
    <n v="4.7"/>
    <x v="1"/>
    <n v="4.4000000000000004"/>
    <n v="2.1"/>
    <n v="6.8000000000000007"/>
    <n v="3.92"/>
    <x v="1"/>
    <n v="0.9"/>
    <x v="0"/>
    <n v="10"/>
    <n v="1"/>
    <n v="4"/>
    <n v="0"/>
    <x v="5"/>
    <m/>
    <x v="1"/>
  </r>
  <r>
    <n v="18"/>
    <x v="1"/>
    <x v="1"/>
    <n v="7.1"/>
    <x v="0"/>
    <n v="5.7"/>
    <n v="0.6"/>
    <n v="7.6999999999999993"/>
    <n v="2.9"/>
    <x v="3"/>
    <n v="1.7"/>
    <x v="2"/>
    <n v="3"/>
    <n v="1"/>
    <n v="6"/>
    <n v="0"/>
    <x v="4"/>
    <m/>
    <x v="1"/>
  </r>
  <r>
    <n v="17"/>
    <x v="1"/>
    <x v="0"/>
    <n v="4"/>
    <x v="2"/>
    <n v="8.5"/>
    <n v="1"/>
    <n v="5"/>
    <n v="2.16"/>
    <x v="2"/>
    <n v="0.1"/>
    <x v="0"/>
    <n v="1"/>
    <n v="7"/>
    <n v="5"/>
    <n v="0"/>
    <x v="18"/>
    <m/>
    <x v="1"/>
  </r>
  <r>
    <n v="18"/>
    <x v="1"/>
    <x v="1"/>
    <n v="5.5"/>
    <x v="0"/>
    <n v="5.3"/>
    <n v="2.6"/>
    <n v="8.1"/>
    <n v="3.09"/>
    <x v="0"/>
    <n v="2"/>
    <x v="0"/>
    <n v="8"/>
    <n v="6"/>
    <n v="3"/>
    <n v="0"/>
    <x v="3"/>
    <m/>
    <x v="1"/>
  </r>
  <r>
    <n v="19"/>
    <x v="1"/>
    <x v="0"/>
    <n v="5.6"/>
    <x v="1"/>
    <n v="6.5"/>
    <n v="1.4"/>
    <n v="7"/>
    <n v="3.19"/>
    <x v="0"/>
    <n v="0"/>
    <x v="1"/>
    <n v="9"/>
    <n v="9"/>
    <n v="7"/>
    <n v="0"/>
    <x v="20"/>
    <m/>
    <x v="2"/>
  </r>
  <r>
    <n v="14"/>
    <x v="0"/>
    <x v="1"/>
    <n v="3.7"/>
    <x v="2"/>
    <n v="7.1"/>
    <n v="1.7"/>
    <n v="5.4"/>
    <n v="2.5"/>
    <x v="3"/>
    <n v="1.8"/>
    <x v="2"/>
    <n v="10"/>
    <n v="4"/>
    <n v="5"/>
    <n v="0"/>
    <x v="1"/>
    <m/>
    <x v="1"/>
  </r>
  <r>
    <n v="16"/>
    <x v="1"/>
    <x v="0"/>
    <n v="1.8"/>
    <x v="1"/>
    <n v="7.4"/>
    <n v="2.2999999999999998"/>
    <n v="4.0999999999999996"/>
    <n v="3.76"/>
    <x v="1"/>
    <n v="0.8"/>
    <x v="0"/>
    <n v="9"/>
    <n v="5"/>
    <n v="8"/>
    <n v="0"/>
    <x v="10"/>
    <m/>
    <x v="2"/>
  </r>
  <r>
    <n v="16"/>
    <x v="1"/>
    <x v="1"/>
    <n v="7.6"/>
    <x v="1"/>
    <n v="4.2"/>
    <n v="2.8"/>
    <n v="10.399999999999999"/>
    <n v="3.87"/>
    <x v="1"/>
    <n v="0.7"/>
    <x v="1"/>
    <n v="10"/>
    <n v="2"/>
    <n v="9"/>
    <n v="0"/>
    <x v="7"/>
    <m/>
    <x v="2"/>
  </r>
  <r>
    <n v="18"/>
    <x v="1"/>
    <x v="0"/>
    <n v="5.7"/>
    <x v="1"/>
    <n v="8"/>
    <n v="2.5"/>
    <n v="8.1999999999999993"/>
    <n v="3.4"/>
    <x v="0"/>
    <n v="0.1"/>
    <x v="0"/>
    <n v="5"/>
    <n v="2"/>
    <n v="1"/>
    <n v="0"/>
    <x v="2"/>
    <m/>
    <x v="0"/>
  </r>
  <r>
    <n v="14"/>
    <x v="0"/>
    <x v="1"/>
    <n v="6.1"/>
    <x v="0"/>
    <n v="7"/>
    <n v="2.7"/>
    <n v="8.8000000000000007"/>
    <n v="3.97"/>
    <x v="1"/>
    <n v="1"/>
    <x v="2"/>
    <n v="1"/>
    <n v="8"/>
    <n v="8"/>
    <n v="0"/>
    <x v="3"/>
    <m/>
    <x v="1"/>
  </r>
  <r>
    <n v="13"/>
    <x v="0"/>
    <x v="1"/>
    <n v="6"/>
    <x v="0"/>
    <n v="7.2"/>
    <n v="0.6"/>
    <n v="6.6"/>
    <n v="2.11"/>
    <x v="2"/>
    <n v="1.1000000000000001"/>
    <x v="0"/>
    <n v="1"/>
    <n v="3"/>
    <n v="6"/>
    <n v="0"/>
    <x v="4"/>
    <m/>
    <x v="1"/>
  </r>
  <r>
    <n v="15"/>
    <x v="0"/>
    <x v="1"/>
    <n v="3.1"/>
    <x v="1"/>
    <n v="4.2"/>
    <n v="2.4"/>
    <n v="5.5"/>
    <n v="3.41"/>
    <x v="0"/>
    <n v="0.2"/>
    <x v="0"/>
    <n v="3"/>
    <n v="7"/>
    <n v="5"/>
    <n v="0"/>
    <x v="5"/>
    <m/>
    <x v="1"/>
  </r>
  <r>
    <n v="17"/>
    <x v="1"/>
    <x v="0"/>
    <n v="7.6"/>
    <x v="0"/>
    <n v="6"/>
    <n v="2"/>
    <n v="9.6"/>
    <n v="3.82"/>
    <x v="1"/>
    <n v="1.5"/>
    <x v="0"/>
    <n v="8"/>
    <n v="9"/>
    <n v="7"/>
    <n v="0"/>
    <x v="16"/>
    <m/>
    <x v="2"/>
  </r>
  <r>
    <n v="17"/>
    <x v="1"/>
    <x v="0"/>
    <n v="6"/>
    <x v="2"/>
    <n v="5.3"/>
    <n v="2.7"/>
    <n v="8.6999999999999993"/>
    <n v="3.2"/>
    <x v="0"/>
    <n v="1.4"/>
    <x v="2"/>
    <n v="8"/>
    <n v="2"/>
    <n v="4"/>
    <n v="0"/>
    <x v="15"/>
    <m/>
    <x v="1"/>
  </r>
  <r>
    <n v="13"/>
    <x v="0"/>
    <x v="1"/>
    <n v="3.5"/>
    <x v="0"/>
    <n v="5.3"/>
    <n v="2.7"/>
    <n v="6.2"/>
    <n v="3.7"/>
    <x v="1"/>
    <n v="0.5"/>
    <x v="0"/>
    <n v="3"/>
    <n v="7"/>
    <n v="2"/>
    <n v="0"/>
    <x v="17"/>
    <m/>
    <x v="1"/>
  </r>
  <r>
    <n v="14"/>
    <x v="0"/>
    <x v="1"/>
    <n v="1.3"/>
    <x v="1"/>
    <n v="7.5"/>
    <n v="1.4"/>
    <n v="2.7"/>
    <n v="3.85"/>
    <x v="1"/>
    <n v="1.6"/>
    <x v="2"/>
    <n v="10"/>
    <n v="8"/>
    <n v="7"/>
    <n v="0"/>
    <x v="20"/>
    <m/>
    <x v="2"/>
  </r>
  <r>
    <n v="18"/>
    <x v="1"/>
    <x v="1"/>
    <n v="2.8"/>
    <x v="1"/>
    <n v="7"/>
    <n v="2.9"/>
    <n v="5.6999999999999993"/>
    <n v="3.91"/>
    <x v="1"/>
    <n v="1.1000000000000001"/>
    <x v="2"/>
    <n v="9"/>
    <n v="9"/>
    <n v="1"/>
    <n v="0"/>
    <x v="1"/>
    <m/>
    <x v="1"/>
  </r>
  <r>
    <n v="14"/>
    <x v="0"/>
    <x v="0"/>
    <n v="3.9"/>
    <x v="2"/>
    <n v="4.8"/>
    <n v="0.8"/>
    <n v="4.7"/>
    <n v="3.32"/>
    <x v="0"/>
    <n v="0.3"/>
    <x v="1"/>
    <n v="5"/>
    <n v="2"/>
    <n v="5"/>
    <n v="0"/>
    <x v="17"/>
    <m/>
    <x v="1"/>
  </r>
  <r>
    <n v="19"/>
    <x v="1"/>
    <x v="0"/>
    <n v="3.9"/>
    <x v="2"/>
    <n v="4.8"/>
    <n v="2.8"/>
    <n v="6.6999999999999993"/>
    <n v="3.98"/>
    <x v="1"/>
    <n v="1.9"/>
    <x v="2"/>
    <n v="7"/>
    <n v="5"/>
    <n v="3"/>
    <n v="0"/>
    <x v="5"/>
    <m/>
    <x v="1"/>
  </r>
  <r>
    <n v="14"/>
    <x v="0"/>
    <x v="0"/>
    <n v="7.4"/>
    <x v="0"/>
    <n v="8.9"/>
    <n v="2.4"/>
    <n v="9.8000000000000007"/>
    <n v="2.29"/>
    <x v="2"/>
    <n v="1.1000000000000001"/>
    <x v="0"/>
    <n v="10"/>
    <n v="4"/>
    <n v="8"/>
    <n v="0"/>
    <x v="10"/>
    <m/>
    <x v="2"/>
  </r>
  <r>
    <n v="19"/>
    <x v="1"/>
    <x v="1"/>
    <n v="5.4"/>
    <x v="1"/>
    <n v="7.4"/>
    <n v="1.7"/>
    <n v="7.1000000000000005"/>
    <n v="2.88"/>
    <x v="3"/>
    <n v="0.6"/>
    <x v="0"/>
    <n v="6"/>
    <n v="10"/>
    <n v="9"/>
    <n v="0"/>
    <x v="20"/>
    <m/>
    <x v="2"/>
  </r>
  <r>
    <n v="19"/>
    <x v="1"/>
    <x v="1"/>
    <n v="6.6"/>
    <x v="2"/>
    <n v="6.8"/>
    <n v="0.8"/>
    <n v="7.3999999999999995"/>
    <n v="2.64"/>
    <x v="3"/>
    <n v="1.5"/>
    <x v="0"/>
    <n v="5"/>
    <n v="4"/>
    <n v="6"/>
    <n v="0"/>
    <x v="5"/>
    <m/>
    <x v="1"/>
  </r>
  <r>
    <n v="17"/>
    <x v="1"/>
    <x v="0"/>
    <n v="5.9"/>
    <x v="0"/>
    <n v="7.4"/>
    <n v="1.7"/>
    <n v="7.6000000000000005"/>
    <n v="2.5"/>
    <x v="3"/>
    <n v="0.7"/>
    <x v="1"/>
    <n v="6"/>
    <n v="7"/>
    <n v="1"/>
    <n v="0"/>
    <x v="15"/>
    <m/>
    <x v="1"/>
  </r>
  <r>
    <n v="17"/>
    <x v="1"/>
    <x v="0"/>
    <n v="3.3"/>
    <x v="2"/>
    <n v="5.2"/>
    <n v="1.8"/>
    <n v="5.0999999999999996"/>
    <n v="2.1"/>
    <x v="2"/>
    <n v="1.2"/>
    <x v="0"/>
    <n v="2"/>
    <n v="3"/>
    <n v="9"/>
    <n v="0"/>
    <x v="15"/>
    <m/>
    <x v="1"/>
  </r>
  <r>
    <n v="15"/>
    <x v="0"/>
    <x v="1"/>
    <n v="2.8"/>
    <x v="0"/>
    <n v="7.7"/>
    <n v="1"/>
    <n v="3.8"/>
    <n v="3.73"/>
    <x v="1"/>
    <n v="0.5"/>
    <x v="2"/>
    <n v="6"/>
    <n v="10"/>
    <n v="1"/>
    <n v="0"/>
    <x v="3"/>
    <m/>
    <x v="1"/>
  </r>
  <r>
    <n v="14"/>
    <x v="0"/>
    <x v="1"/>
    <n v="7.3"/>
    <x v="1"/>
    <n v="8.8000000000000007"/>
    <n v="2.5"/>
    <n v="9.8000000000000007"/>
    <n v="2.12"/>
    <x v="2"/>
    <n v="0.5"/>
    <x v="1"/>
    <n v="10"/>
    <n v="10"/>
    <n v="1"/>
    <n v="0"/>
    <x v="7"/>
    <m/>
    <x v="2"/>
  </r>
  <r>
    <n v="18"/>
    <x v="1"/>
    <x v="0"/>
    <n v="2.8"/>
    <x v="0"/>
    <n v="6.9"/>
    <n v="2.2999999999999998"/>
    <n v="5.0999999999999996"/>
    <n v="3.11"/>
    <x v="0"/>
    <n v="0.1"/>
    <x v="2"/>
    <n v="7"/>
    <n v="1"/>
    <n v="9"/>
    <n v="0"/>
    <x v="3"/>
    <m/>
    <x v="1"/>
  </r>
  <r>
    <n v="18"/>
    <x v="1"/>
    <x v="1"/>
    <n v="7.2"/>
    <x v="1"/>
    <n v="7.7"/>
    <n v="1.2"/>
    <n v="8.4"/>
    <n v="3.7"/>
    <x v="1"/>
    <n v="0.1"/>
    <x v="0"/>
    <n v="6"/>
    <n v="3"/>
    <n v="9"/>
    <n v="0"/>
    <x v="11"/>
    <m/>
    <x v="1"/>
  </r>
  <r>
    <n v="19"/>
    <x v="1"/>
    <x v="1"/>
    <n v="7.1"/>
    <x v="1"/>
    <n v="6.3"/>
    <n v="0.8"/>
    <n v="7.8999999999999995"/>
    <n v="3.66"/>
    <x v="1"/>
    <n v="0.5"/>
    <x v="1"/>
    <n v="3"/>
    <n v="7"/>
    <n v="7"/>
    <n v="0"/>
    <x v="3"/>
    <m/>
    <x v="1"/>
  </r>
  <r>
    <n v="13"/>
    <x v="0"/>
    <x v="1"/>
    <n v="4.3"/>
    <x v="1"/>
    <n v="4.4000000000000004"/>
    <n v="0.9"/>
    <n v="5.2"/>
    <n v="2.35"/>
    <x v="2"/>
    <n v="1.5"/>
    <x v="1"/>
    <n v="3"/>
    <n v="1"/>
    <n v="7"/>
    <n v="0"/>
    <x v="12"/>
    <m/>
    <x v="1"/>
  </r>
  <r>
    <n v="19"/>
    <x v="1"/>
    <x v="0"/>
    <n v="1.6"/>
    <x v="2"/>
    <n v="4.4000000000000004"/>
    <n v="1.4"/>
    <n v="3"/>
    <n v="2.0299999999999998"/>
    <x v="2"/>
    <n v="1.1000000000000001"/>
    <x v="1"/>
    <n v="2"/>
    <n v="9"/>
    <n v="5"/>
    <n v="0"/>
    <x v="13"/>
    <m/>
    <x v="1"/>
  </r>
  <r>
    <n v="19"/>
    <x v="1"/>
    <x v="1"/>
    <n v="1.4"/>
    <x v="2"/>
    <n v="8"/>
    <n v="2.5"/>
    <n v="3.9"/>
    <n v="3.54"/>
    <x v="0"/>
    <n v="1.8"/>
    <x v="0"/>
    <n v="4"/>
    <n v="8"/>
    <n v="3"/>
    <n v="0"/>
    <x v="5"/>
    <m/>
    <x v="1"/>
  </r>
  <r>
    <n v="18"/>
    <x v="1"/>
    <x v="1"/>
    <n v="3.2"/>
    <x v="0"/>
    <n v="6.8"/>
    <n v="2.2999999999999998"/>
    <n v="5.5"/>
    <n v="3.16"/>
    <x v="0"/>
    <n v="1.8"/>
    <x v="0"/>
    <n v="4"/>
    <n v="8"/>
    <n v="5"/>
    <n v="0"/>
    <x v="3"/>
    <m/>
    <x v="1"/>
  </r>
  <r>
    <n v="17"/>
    <x v="1"/>
    <x v="0"/>
    <n v="1.5"/>
    <x v="2"/>
    <n v="8"/>
    <n v="0.5"/>
    <n v="2"/>
    <n v="3.01"/>
    <x v="0"/>
    <n v="0.4"/>
    <x v="2"/>
    <n v="10"/>
    <n v="2"/>
    <n v="3"/>
    <n v="0"/>
    <x v="5"/>
    <m/>
    <x v="1"/>
  </r>
  <r>
    <n v="18"/>
    <x v="1"/>
    <x v="0"/>
    <n v="7.5"/>
    <x v="1"/>
    <n v="5.0999999999999996"/>
    <n v="2.6"/>
    <n v="10.1"/>
    <n v="3.82"/>
    <x v="1"/>
    <n v="0.7"/>
    <x v="0"/>
    <n v="7"/>
    <n v="3"/>
    <n v="8"/>
    <n v="0"/>
    <x v="11"/>
    <m/>
    <x v="1"/>
  </r>
  <r>
    <n v="14"/>
    <x v="0"/>
    <x v="1"/>
    <n v="3.5"/>
    <x v="0"/>
    <n v="4.5999999999999996"/>
    <n v="0.7"/>
    <n v="4.2"/>
    <n v="2.74"/>
    <x v="3"/>
    <n v="1"/>
    <x v="0"/>
    <n v="2"/>
    <n v="7"/>
    <n v="8"/>
    <n v="0"/>
    <x v="3"/>
    <m/>
    <x v="1"/>
  </r>
  <r>
    <n v="17"/>
    <x v="1"/>
    <x v="0"/>
    <n v="4.4000000000000004"/>
    <x v="2"/>
    <n v="8.1999999999999993"/>
    <n v="2.7"/>
    <n v="7.1000000000000005"/>
    <n v="3.13"/>
    <x v="0"/>
    <n v="0.3"/>
    <x v="2"/>
    <n v="3"/>
    <n v="1"/>
    <n v="2"/>
    <n v="0"/>
    <x v="9"/>
    <m/>
    <x v="0"/>
  </r>
  <r>
    <n v="17"/>
    <x v="1"/>
    <x v="0"/>
    <n v="4.5999999999999996"/>
    <x v="1"/>
    <n v="5.0999999999999996"/>
    <n v="2.5"/>
    <n v="7.1"/>
    <n v="2.13"/>
    <x v="2"/>
    <n v="1"/>
    <x v="2"/>
    <n v="2"/>
    <n v="5"/>
    <n v="6"/>
    <n v="0"/>
    <x v="18"/>
    <m/>
    <x v="1"/>
  </r>
  <r>
    <n v="13"/>
    <x v="0"/>
    <x v="0"/>
    <n v="5.9"/>
    <x v="1"/>
    <n v="6.6"/>
    <n v="2.6"/>
    <n v="8.5"/>
    <n v="3.58"/>
    <x v="0"/>
    <n v="1.6"/>
    <x v="2"/>
    <n v="7"/>
    <n v="7"/>
    <n v="10"/>
    <n v="0"/>
    <x v="16"/>
    <m/>
    <x v="2"/>
  </r>
  <r>
    <n v="16"/>
    <x v="1"/>
    <x v="1"/>
    <n v="7.8"/>
    <x v="1"/>
    <n v="4.7"/>
    <n v="1.1000000000000001"/>
    <n v="8.9"/>
    <n v="3.53"/>
    <x v="0"/>
    <n v="2"/>
    <x v="2"/>
    <n v="9"/>
    <n v="3"/>
    <n v="8"/>
    <n v="0"/>
    <x v="8"/>
    <m/>
    <x v="2"/>
  </r>
  <r>
    <n v="15"/>
    <x v="0"/>
    <x v="1"/>
    <n v="4.8"/>
    <x v="1"/>
    <n v="7.3"/>
    <n v="1.9"/>
    <n v="6.6999999999999993"/>
    <n v="2.76"/>
    <x v="3"/>
    <n v="0.9"/>
    <x v="1"/>
    <n v="2"/>
    <n v="10"/>
    <n v="1"/>
    <n v="0"/>
    <x v="18"/>
    <m/>
    <x v="1"/>
  </r>
  <r>
    <n v="16"/>
    <x v="1"/>
    <x v="1"/>
    <n v="7.4"/>
    <x v="1"/>
    <n v="4.5999999999999996"/>
    <n v="1"/>
    <n v="8.4"/>
    <n v="2.23"/>
    <x v="2"/>
    <n v="1.1000000000000001"/>
    <x v="0"/>
    <n v="2"/>
    <n v="4"/>
    <n v="5"/>
    <n v="0"/>
    <x v="12"/>
    <m/>
    <x v="1"/>
  </r>
  <r>
    <n v="18"/>
    <x v="1"/>
    <x v="0"/>
    <n v="2.7"/>
    <x v="0"/>
    <n v="7.9"/>
    <n v="1.2"/>
    <n v="3.9000000000000004"/>
    <n v="2.75"/>
    <x v="3"/>
    <n v="1.9"/>
    <x v="2"/>
    <n v="5"/>
    <n v="8"/>
    <n v="3"/>
    <n v="0"/>
    <x v="13"/>
    <m/>
    <x v="1"/>
  </r>
  <r>
    <n v="13"/>
    <x v="0"/>
    <x v="1"/>
    <n v="5.3"/>
    <x v="1"/>
    <n v="6.4"/>
    <n v="1.1000000000000001"/>
    <n v="6.4"/>
    <n v="3.32"/>
    <x v="0"/>
    <n v="1.9"/>
    <x v="2"/>
    <n v="8"/>
    <n v="5"/>
    <n v="10"/>
    <n v="0"/>
    <x v="22"/>
    <m/>
    <x v="2"/>
  </r>
  <r>
    <n v="16"/>
    <x v="1"/>
    <x v="1"/>
    <n v="3.6"/>
    <x v="2"/>
    <n v="4.4000000000000004"/>
    <n v="2.4"/>
    <n v="6"/>
    <n v="2.5299999999999998"/>
    <x v="3"/>
    <n v="0.7"/>
    <x v="2"/>
    <n v="1"/>
    <n v="7"/>
    <n v="5"/>
    <n v="0"/>
    <x v="18"/>
    <m/>
    <x v="1"/>
  </r>
  <r>
    <n v="18"/>
    <x v="1"/>
    <x v="0"/>
    <n v="2.5"/>
    <x v="2"/>
    <n v="5.7"/>
    <n v="2.1"/>
    <n v="4.5999999999999996"/>
    <n v="3.33"/>
    <x v="0"/>
    <n v="0.6"/>
    <x v="0"/>
    <n v="8"/>
    <n v="4"/>
    <n v="6"/>
    <n v="0"/>
    <x v="11"/>
    <m/>
    <x v="1"/>
  </r>
  <r>
    <n v="15"/>
    <x v="0"/>
    <x v="0"/>
    <n v="4.5"/>
    <x v="2"/>
    <n v="7"/>
    <n v="1.5"/>
    <n v="6"/>
    <n v="3.16"/>
    <x v="0"/>
    <n v="1.7"/>
    <x v="2"/>
    <n v="4"/>
    <n v="7"/>
    <n v="10"/>
    <n v="0"/>
    <x v="7"/>
    <m/>
    <x v="2"/>
  </r>
  <r>
    <n v="18"/>
    <x v="1"/>
    <x v="1"/>
    <n v="1.9"/>
    <x v="2"/>
    <n v="5.0999999999999996"/>
    <n v="2.9"/>
    <n v="4.8"/>
    <n v="2.62"/>
    <x v="3"/>
    <n v="1"/>
    <x v="0"/>
    <n v="4"/>
    <n v="3"/>
    <n v="2"/>
    <n v="0"/>
    <x v="6"/>
    <m/>
    <x v="0"/>
  </r>
  <r>
    <n v="17"/>
    <x v="1"/>
    <x v="0"/>
    <n v="3.8"/>
    <x v="0"/>
    <n v="7.7"/>
    <n v="0.7"/>
    <n v="4.5"/>
    <n v="3.45"/>
    <x v="0"/>
    <n v="1"/>
    <x v="0"/>
    <n v="2"/>
    <n v="8"/>
    <n v="9"/>
    <n v="0"/>
    <x v="1"/>
    <m/>
    <x v="1"/>
  </r>
  <r>
    <n v="18"/>
    <x v="1"/>
    <x v="1"/>
    <n v="3.9"/>
    <x v="2"/>
    <n v="4"/>
    <n v="1.8"/>
    <n v="5.7"/>
    <n v="2.19"/>
    <x v="2"/>
    <n v="1.4"/>
    <x v="1"/>
    <n v="1"/>
    <n v="2"/>
    <n v="5"/>
    <n v="0"/>
    <x v="2"/>
    <m/>
    <x v="0"/>
  </r>
  <r>
    <n v="17"/>
    <x v="1"/>
    <x v="1"/>
    <n v="1.1000000000000001"/>
    <x v="2"/>
    <n v="8.6999999999999993"/>
    <n v="2.1"/>
    <n v="3.2"/>
    <n v="3.01"/>
    <x v="0"/>
    <n v="0.7"/>
    <x v="2"/>
    <n v="1"/>
    <n v="1"/>
    <n v="3"/>
    <n v="0"/>
    <x v="0"/>
    <m/>
    <x v="0"/>
  </r>
  <r>
    <n v="15"/>
    <x v="0"/>
    <x v="1"/>
    <n v="3.9"/>
    <x v="2"/>
    <n v="8.6999999999999993"/>
    <n v="1.1000000000000001"/>
    <n v="5"/>
    <n v="2.82"/>
    <x v="3"/>
    <n v="0.3"/>
    <x v="1"/>
    <n v="5"/>
    <n v="10"/>
    <n v="6"/>
    <n v="0"/>
    <x v="7"/>
    <m/>
    <x v="2"/>
  </r>
  <r>
    <n v="16"/>
    <x v="1"/>
    <x v="0"/>
    <n v="8"/>
    <x v="0"/>
    <n v="8.1"/>
    <n v="2.5"/>
    <n v="10.5"/>
    <n v="2.7"/>
    <x v="3"/>
    <n v="1.7"/>
    <x v="2"/>
    <n v="4"/>
    <n v="5"/>
    <n v="7"/>
    <n v="0"/>
    <x v="13"/>
    <m/>
    <x v="1"/>
  </r>
  <r>
    <n v="14"/>
    <x v="0"/>
    <x v="1"/>
    <n v="1.2"/>
    <x v="1"/>
    <n v="8.5"/>
    <n v="2.2999999999999998"/>
    <n v="3.5"/>
    <n v="3.91"/>
    <x v="1"/>
    <n v="1.8"/>
    <x v="1"/>
    <n v="1"/>
    <n v="8"/>
    <n v="1"/>
    <n v="0"/>
    <x v="4"/>
    <m/>
    <x v="1"/>
  </r>
  <r>
    <n v="15"/>
    <x v="0"/>
    <x v="0"/>
    <n v="2.2000000000000002"/>
    <x v="0"/>
    <n v="6.1"/>
    <n v="0.9"/>
    <n v="3.1"/>
    <n v="3.81"/>
    <x v="1"/>
    <n v="0.1"/>
    <x v="1"/>
    <n v="2"/>
    <n v="7"/>
    <n v="3"/>
    <n v="0"/>
    <x v="17"/>
    <m/>
    <x v="1"/>
  </r>
  <r>
    <n v="15"/>
    <x v="0"/>
    <x v="1"/>
    <n v="4.2"/>
    <x v="1"/>
    <n v="6.8"/>
    <n v="1.4"/>
    <n v="5.6"/>
    <n v="2.0099999999999998"/>
    <x v="2"/>
    <n v="1"/>
    <x v="0"/>
    <n v="6"/>
    <n v="6"/>
    <n v="4"/>
    <n v="0"/>
    <x v="13"/>
    <m/>
    <x v="1"/>
  </r>
  <r>
    <n v="19"/>
    <x v="1"/>
    <x v="0"/>
    <n v="6"/>
    <x v="2"/>
    <n v="5.6"/>
    <n v="1.1000000000000001"/>
    <n v="7.1"/>
    <n v="2.4300000000000002"/>
    <x v="2"/>
    <n v="1.7"/>
    <x v="2"/>
    <n v="1"/>
    <n v="3"/>
    <n v="3"/>
    <n v="0"/>
    <x v="21"/>
    <m/>
    <x v="0"/>
  </r>
  <r>
    <n v="19"/>
    <x v="1"/>
    <x v="0"/>
    <n v="5.4"/>
    <x v="0"/>
    <n v="4.9000000000000004"/>
    <n v="0.6"/>
    <n v="6"/>
    <n v="3.17"/>
    <x v="0"/>
    <n v="0"/>
    <x v="0"/>
    <n v="5"/>
    <n v="6"/>
    <n v="10"/>
    <n v="0"/>
    <x v="7"/>
    <m/>
    <x v="2"/>
  </r>
  <r>
    <n v="15"/>
    <x v="0"/>
    <x v="1"/>
    <n v="2.7"/>
    <x v="1"/>
    <n v="7.6"/>
    <n v="2.5"/>
    <n v="5.2"/>
    <n v="2.37"/>
    <x v="2"/>
    <n v="1.9"/>
    <x v="1"/>
    <n v="1"/>
    <n v="8"/>
    <n v="7"/>
    <n v="0"/>
    <x v="13"/>
    <m/>
    <x v="1"/>
  </r>
  <r>
    <n v="19"/>
    <x v="1"/>
    <x v="1"/>
    <n v="1.9"/>
    <x v="2"/>
    <n v="6.2"/>
    <n v="0.9"/>
    <n v="2.8"/>
    <n v="2.4700000000000002"/>
    <x v="2"/>
    <n v="1.4"/>
    <x v="0"/>
    <n v="5"/>
    <n v="6"/>
    <n v="7"/>
    <n v="0"/>
    <x v="11"/>
    <m/>
    <x v="1"/>
  </r>
  <r>
    <n v="14"/>
    <x v="0"/>
    <x v="0"/>
    <n v="1.5"/>
    <x v="2"/>
    <n v="6.8"/>
    <n v="0.8"/>
    <n v="2.2999999999999998"/>
    <n v="3.14"/>
    <x v="0"/>
    <n v="0"/>
    <x v="2"/>
    <n v="4"/>
    <n v="5"/>
    <n v="8"/>
    <n v="0"/>
    <x v="3"/>
    <m/>
    <x v="1"/>
  </r>
  <r>
    <n v="17"/>
    <x v="1"/>
    <x v="1"/>
    <n v="2.6"/>
    <x v="1"/>
    <n v="4.8"/>
    <n v="0.7"/>
    <n v="3.3"/>
    <n v="2.52"/>
    <x v="3"/>
    <n v="1.8"/>
    <x v="2"/>
    <n v="9"/>
    <n v="6"/>
    <n v="6"/>
    <n v="0"/>
    <x v="7"/>
    <m/>
    <x v="2"/>
  </r>
  <r>
    <n v="16"/>
    <x v="1"/>
    <x v="0"/>
    <n v="1.2"/>
    <x v="0"/>
    <n v="7.3"/>
    <n v="1"/>
    <n v="2.2000000000000002"/>
    <n v="2.36"/>
    <x v="2"/>
    <n v="1.1000000000000001"/>
    <x v="2"/>
    <n v="5"/>
    <n v="3"/>
    <n v="6"/>
    <n v="0"/>
    <x v="15"/>
    <m/>
    <x v="1"/>
  </r>
  <r>
    <n v="18"/>
    <x v="1"/>
    <x v="1"/>
    <n v="1.8"/>
    <x v="2"/>
    <n v="7.8"/>
    <n v="2"/>
    <n v="3.8"/>
    <n v="2.67"/>
    <x v="3"/>
    <n v="0.8"/>
    <x v="0"/>
    <n v="4"/>
    <n v="6"/>
    <n v="3"/>
    <n v="0"/>
    <x v="18"/>
    <m/>
    <x v="1"/>
  </r>
  <r>
    <n v="19"/>
    <x v="1"/>
    <x v="0"/>
    <n v="4.8"/>
    <x v="2"/>
    <n v="7.5"/>
    <n v="1"/>
    <n v="5.8"/>
    <n v="2.68"/>
    <x v="3"/>
    <n v="1.5"/>
    <x v="0"/>
    <n v="9"/>
    <n v="4"/>
    <n v="6"/>
    <n v="0"/>
    <x v="1"/>
    <m/>
    <x v="1"/>
  </r>
  <r>
    <n v="19"/>
    <x v="1"/>
    <x v="0"/>
    <n v="2.1"/>
    <x v="2"/>
    <n v="5.6"/>
    <n v="2.4"/>
    <n v="4.5"/>
    <n v="3.56"/>
    <x v="0"/>
    <n v="1"/>
    <x v="1"/>
    <n v="9"/>
    <n v="3"/>
    <n v="4"/>
    <n v="0"/>
    <x v="13"/>
    <m/>
    <x v="1"/>
  </r>
  <r>
    <n v="15"/>
    <x v="0"/>
    <x v="0"/>
    <n v="4.4000000000000004"/>
    <x v="0"/>
    <n v="6"/>
    <n v="0.5"/>
    <n v="4.9000000000000004"/>
    <n v="3.33"/>
    <x v="0"/>
    <n v="0.7"/>
    <x v="2"/>
    <n v="1"/>
    <n v="6"/>
    <n v="10"/>
    <n v="0"/>
    <x v="3"/>
    <m/>
    <x v="1"/>
  </r>
  <r>
    <n v="14"/>
    <x v="0"/>
    <x v="0"/>
    <n v="2.8"/>
    <x v="2"/>
    <n v="4.3"/>
    <n v="3"/>
    <n v="5.8"/>
    <n v="2.14"/>
    <x v="2"/>
    <n v="1.9"/>
    <x v="2"/>
    <n v="9"/>
    <n v="3"/>
    <n v="7"/>
    <n v="0"/>
    <x v="1"/>
    <m/>
    <x v="1"/>
  </r>
  <r>
    <n v="15"/>
    <x v="0"/>
    <x v="0"/>
    <n v="3.5"/>
    <x v="1"/>
    <n v="4.5"/>
    <n v="2.7"/>
    <n v="6.2"/>
    <n v="2.4700000000000002"/>
    <x v="2"/>
    <n v="1.4"/>
    <x v="0"/>
    <n v="1"/>
    <n v="5"/>
    <n v="10"/>
    <n v="0"/>
    <x v="13"/>
    <m/>
    <x v="1"/>
  </r>
  <r>
    <n v="15"/>
    <x v="0"/>
    <x v="0"/>
    <n v="6.8"/>
    <x v="2"/>
    <n v="6.6"/>
    <n v="2.1"/>
    <n v="8.9"/>
    <n v="3.43"/>
    <x v="0"/>
    <n v="1.7"/>
    <x v="0"/>
    <n v="10"/>
    <n v="10"/>
    <n v="8"/>
    <n v="0"/>
    <x v="24"/>
    <m/>
    <x v="2"/>
  </r>
  <r>
    <n v="14"/>
    <x v="0"/>
    <x v="0"/>
    <n v="7"/>
    <x v="0"/>
    <n v="5.2"/>
    <n v="1.4"/>
    <n v="8.4"/>
    <n v="3.27"/>
    <x v="0"/>
    <n v="1.7"/>
    <x v="2"/>
    <n v="5"/>
    <n v="7"/>
    <n v="8"/>
    <n v="0"/>
    <x v="8"/>
    <m/>
    <x v="2"/>
  </r>
  <r>
    <n v="17"/>
    <x v="1"/>
    <x v="1"/>
    <n v="7.5"/>
    <x v="2"/>
    <n v="8.1"/>
    <n v="2.8"/>
    <n v="10.3"/>
    <n v="2.58"/>
    <x v="3"/>
    <n v="0.5"/>
    <x v="2"/>
    <n v="2"/>
    <n v="2"/>
    <n v="3"/>
    <n v="0"/>
    <x v="21"/>
    <m/>
    <x v="0"/>
  </r>
  <r>
    <n v="17"/>
    <x v="1"/>
    <x v="1"/>
    <n v="2.5"/>
    <x v="0"/>
    <n v="4.4000000000000004"/>
    <n v="2"/>
    <n v="4.5"/>
    <n v="3.29"/>
    <x v="0"/>
    <n v="0.7"/>
    <x v="0"/>
    <n v="4"/>
    <n v="6"/>
    <n v="5"/>
    <n v="0"/>
    <x v="5"/>
    <m/>
    <x v="1"/>
  </r>
  <r>
    <n v="15"/>
    <x v="0"/>
    <x v="0"/>
    <n v="6.5"/>
    <x v="1"/>
    <n v="5.4"/>
    <n v="2.1"/>
    <n v="8.6"/>
    <n v="3.44"/>
    <x v="0"/>
    <n v="1.8"/>
    <x v="0"/>
    <n v="7"/>
    <n v="3"/>
    <n v="6"/>
    <n v="0"/>
    <x v="13"/>
    <m/>
    <x v="1"/>
  </r>
  <r>
    <n v="13"/>
    <x v="0"/>
    <x v="0"/>
    <n v="7.7"/>
    <x v="0"/>
    <n v="4.4000000000000004"/>
    <n v="2"/>
    <n v="9.6999999999999993"/>
    <n v="3.09"/>
    <x v="0"/>
    <n v="1"/>
    <x v="1"/>
    <n v="8"/>
    <n v="7"/>
    <n v="8"/>
    <n v="1"/>
    <x v="16"/>
    <m/>
    <x v="2"/>
  </r>
  <r>
    <n v="18"/>
    <x v="1"/>
    <x v="1"/>
    <n v="3.2"/>
    <x v="2"/>
    <n v="7.8"/>
    <n v="0.7"/>
    <n v="3.9000000000000004"/>
    <n v="3.46"/>
    <x v="0"/>
    <n v="1.3"/>
    <x v="0"/>
    <n v="5"/>
    <n v="10"/>
    <n v="6"/>
    <n v="0"/>
    <x v="7"/>
    <m/>
    <x v="2"/>
  </r>
  <r>
    <n v="16"/>
    <x v="1"/>
    <x v="1"/>
    <n v="5.3"/>
    <x v="1"/>
    <n v="4.3"/>
    <n v="1.5"/>
    <n v="6.8"/>
    <n v="2.54"/>
    <x v="3"/>
    <n v="0.3"/>
    <x v="1"/>
    <n v="7"/>
    <n v="7"/>
    <n v="10"/>
    <n v="1"/>
    <x v="20"/>
    <m/>
    <x v="2"/>
  </r>
  <r>
    <n v="14"/>
    <x v="0"/>
    <x v="0"/>
    <n v="5"/>
    <x v="1"/>
    <n v="5.2"/>
    <n v="0.5"/>
    <n v="5.5"/>
    <n v="3.55"/>
    <x v="0"/>
    <n v="0.4"/>
    <x v="0"/>
    <n v="10"/>
    <n v="6"/>
    <n v="8"/>
    <n v="0"/>
    <x v="16"/>
    <m/>
    <x v="2"/>
  </r>
  <r>
    <n v="19"/>
    <x v="1"/>
    <x v="0"/>
    <n v="6.1"/>
    <x v="0"/>
    <n v="7.1"/>
    <n v="2.2999999999999998"/>
    <n v="8.3999999999999986"/>
    <n v="3.22"/>
    <x v="0"/>
    <n v="0.5"/>
    <x v="0"/>
    <n v="4"/>
    <n v="3"/>
    <n v="7"/>
    <n v="0"/>
    <x v="15"/>
    <m/>
    <x v="1"/>
  </r>
  <r>
    <n v="17"/>
    <x v="1"/>
    <x v="0"/>
    <n v="4.2"/>
    <x v="1"/>
    <n v="7.3"/>
    <n v="2.6"/>
    <n v="6.8000000000000007"/>
    <n v="3.2"/>
    <x v="0"/>
    <n v="0.2"/>
    <x v="1"/>
    <n v="7"/>
    <n v="1"/>
    <n v="3"/>
    <n v="0"/>
    <x v="12"/>
    <m/>
    <x v="1"/>
  </r>
  <r>
    <n v="15"/>
    <x v="0"/>
    <x v="0"/>
    <n v="4.7"/>
    <x v="0"/>
    <n v="8.1999999999999993"/>
    <n v="2.2999999999999998"/>
    <n v="7"/>
    <n v="3.35"/>
    <x v="0"/>
    <n v="0.6"/>
    <x v="0"/>
    <n v="6"/>
    <n v="2"/>
    <n v="5"/>
    <n v="0"/>
    <x v="18"/>
    <m/>
    <x v="1"/>
  </r>
  <r>
    <n v="18"/>
    <x v="1"/>
    <x v="0"/>
    <n v="1.6"/>
    <x v="1"/>
    <n v="5.8"/>
    <n v="0.6"/>
    <n v="2.2000000000000002"/>
    <n v="3.63"/>
    <x v="1"/>
    <n v="1.1000000000000001"/>
    <x v="1"/>
    <n v="6"/>
    <n v="9"/>
    <n v="7"/>
    <n v="0"/>
    <x v="10"/>
    <m/>
    <x v="2"/>
  </r>
  <r>
    <n v="14"/>
    <x v="0"/>
    <x v="1"/>
    <n v="1.7"/>
    <x v="1"/>
    <n v="6.5"/>
    <n v="2.7"/>
    <n v="4.4000000000000004"/>
    <n v="2.06"/>
    <x v="2"/>
    <n v="0.1"/>
    <x v="2"/>
    <n v="9"/>
    <n v="5"/>
    <n v="9"/>
    <n v="0"/>
    <x v="22"/>
    <m/>
    <x v="2"/>
  </r>
  <r>
    <n v="18"/>
    <x v="1"/>
    <x v="0"/>
    <n v="4.5999999999999996"/>
    <x v="0"/>
    <n v="4.0999999999999996"/>
    <n v="1.4"/>
    <n v="6"/>
    <n v="2.2799999999999998"/>
    <x v="2"/>
    <n v="0.4"/>
    <x v="2"/>
    <n v="4"/>
    <n v="10"/>
    <n v="10"/>
    <n v="0"/>
    <x v="16"/>
    <m/>
    <x v="2"/>
  </r>
  <r>
    <n v="13"/>
    <x v="0"/>
    <x v="1"/>
    <n v="2.5"/>
    <x v="1"/>
    <n v="6.8"/>
    <n v="2.8"/>
    <n v="5.3"/>
    <n v="2.77"/>
    <x v="3"/>
    <n v="0.5"/>
    <x v="0"/>
    <n v="2"/>
    <n v="6"/>
    <n v="10"/>
    <n v="0"/>
    <x v="11"/>
    <m/>
    <x v="1"/>
  </r>
  <r>
    <n v="16"/>
    <x v="1"/>
    <x v="1"/>
    <n v="4.2"/>
    <x v="1"/>
    <n v="6.3"/>
    <n v="1.2"/>
    <n v="5.4"/>
    <n v="3.72"/>
    <x v="1"/>
    <n v="1.9"/>
    <x v="0"/>
    <n v="5"/>
    <n v="3"/>
    <n v="7"/>
    <n v="0"/>
    <x v="5"/>
    <m/>
    <x v="1"/>
  </r>
  <r>
    <n v="19"/>
    <x v="1"/>
    <x v="1"/>
    <n v="1.2"/>
    <x v="1"/>
    <n v="4.8"/>
    <n v="1.7"/>
    <n v="2.9"/>
    <n v="2.16"/>
    <x v="2"/>
    <n v="0.6"/>
    <x v="2"/>
    <n v="10"/>
    <n v="10"/>
    <n v="10"/>
    <n v="0"/>
    <x v="26"/>
    <m/>
    <x v="2"/>
  </r>
  <r>
    <n v="15"/>
    <x v="0"/>
    <x v="0"/>
    <n v="2.7"/>
    <x v="0"/>
    <n v="7.2"/>
    <n v="2.9"/>
    <n v="5.6"/>
    <n v="3.27"/>
    <x v="0"/>
    <n v="0.8"/>
    <x v="2"/>
    <n v="5"/>
    <n v="2"/>
    <n v="9"/>
    <n v="0"/>
    <x v="13"/>
    <m/>
    <x v="1"/>
  </r>
  <r>
    <n v="13"/>
    <x v="0"/>
    <x v="0"/>
    <n v="1.5"/>
    <x v="2"/>
    <n v="5.2"/>
    <n v="0.8"/>
    <n v="2.2999999999999998"/>
    <n v="2.16"/>
    <x v="2"/>
    <n v="0.9"/>
    <x v="2"/>
    <n v="10"/>
    <n v="6"/>
    <n v="8"/>
    <n v="0"/>
    <x v="16"/>
    <m/>
    <x v="2"/>
  </r>
  <r>
    <n v="15"/>
    <x v="0"/>
    <x v="0"/>
    <n v="3.2"/>
    <x v="0"/>
    <n v="5.6"/>
    <n v="0.7"/>
    <n v="3.9000000000000004"/>
    <n v="3.1"/>
    <x v="0"/>
    <n v="1.5"/>
    <x v="1"/>
    <n v="6"/>
    <n v="3"/>
    <n v="1"/>
    <n v="0"/>
    <x v="4"/>
    <m/>
    <x v="1"/>
  </r>
  <r>
    <n v="19"/>
    <x v="1"/>
    <x v="1"/>
    <n v="7.3"/>
    <x v="2"/>
    <n v="7.4"/>
    <n v="1.5"/>
    <n v="8.8000000000000007"/>
    <n v="2.84"/>
    <x v="3"/>
    <n v="1"/>
    <x v="2"/>
    <n v="9"/>
    <n v="8"/>
    <n v="5"/>
    <n v="0"/>
    <x v="10"/>
    <m/>
    <x v="2"/>
  </r>
  <r>
    <n v="16"/>
    <x v="1"/>
    <x v="0"/>
    <n v="2"/>
    <x v="0"/>
    <n v="8.1999999999999993"/>
    <n v="1"/>
    <n v="3"/>
    <n v="3.15"/>
    <x v="0"/>
    <n v="0.9"/>
    <x v="2"/>
    <n v="9"/>
    <n v="7"/>
    <n v="10"/>
    <n v="0"/>
    <x v="19"/>
    <m/>
    <x v="2"/>
  </r>
  <r>
    <n v="19"/>
    <x v="1"/>
    <x v="0"/>
    <n v="2.5"/>
    <x v="1"/>
    <n v="7.1"/>
    <n v="1.9"/>
    <n v="4.4000000000000004"/>
    <n v="2.35"/>
    <x v="2"/>
    <n v="1.1000000000000001"/>
    <x v="0"/>
    <n v="4"/>
    <n v="4"/>
    <n v="8"/>
    <n v="0"/>
    <x v="13"/>
    <m/>
    <x v="1"/>
  </r>
  <r>
    <n v="16"/>
    <x v="1"/>
    <x v="1"/>
    <n v="7.7"/>
    <x v="0"/>
    <n v="4.7"/>
    <n v="2.9"/>
    <n v="10.6"/>
    <n v="2.17"/>
    <x v="2"/>
    <n v="1.2"/>
    <x v="2"/>
    <n v="5"/>
    <n v="7"/>
    <n v="6"/>
    <n v="0"/>
    <x v="11"/>
    <m/>
    <x v="1"/>
  </r>
  <r>
    <n v="19"/>
    <x v="1"/>
    <x v="1"/>
    <n v="3.9"/>
    <x v="2"/>
    <n v="7.9"/>
    <n v="2.1"/>
    <n v="6"/>
    <n v="3.52"/>
    <x v="0"/>
    <n v="0.6"/>
    <x v="1"/>
    <n v="3"/>
    <n v="2"/>
    <n v="4"/>
    <n v="0"/>
    <x v="6"/>
    <m/>
    <x v="0"/>
  </r>
  <r>
    <n v="16"/>
    <x v="1"/>
    <x v="1"/>
    <n v="3.5"/>
    <x v="1"/>
    <n v="6.1"/>
    <n v="2.7"/>
    <n v="6.2"/>
    <n v="3.83"/>
    <x v="1"/>
    <n v="0.1"/>
    <x v="2"/>
    <n v="4"/>
    <n v="5"/>
    <n v="10"/>
    <n v="0"/>
    <x v="1"/>
    <m/>
    <x v="1"/>
  </r>
  <r>
    <n v="17"/>
    <x v="1"/>
    <x v="0"/>
    <n v="4.9000000000000004"/>
    <x v="0"/>
    <n v="6.4"/>
    <n v="2.5"/>
    <n v="7.4"/>
    <n v="2.64"/>
    <x v="3"/>
    <n v="1.9"/>
    <x v="2"/>
    <n v="6"/>
    <n v="2"/>
    <n v="10"/>
    <n v="0"/>
    <x v="11"/>
    <m/>
    <x v="1"/>
  </r>
  <r>
    <n v="14"/>
    <x v="0"/>
    <x v="0"/>
    <n v="3.4"/>
    <x v="2"/>
    <n v="5.8"/>
    <n v="3"/>
    <n v="6.4"/>
    <n v="3.32"/>
    <x v="0"/>
    <n v="0.6"/>
    <x v="2"/>
    <n v="1"/>
    <n v="4"/>
    <n v="4"/>
    <n v="0"/>
    <x v="6"/>
    <m/>
    <x v="0"/>
  </r>
  <r>
    <n v="18"/>
    <x v="1"/>
    <x v="0"/>
    <n v="2.5"/>
    <x v="1"/>
    <n v="4.5999999999999996"/>
    <n v="2.2000000000000002"/>
    <n v="4.7"/>
    <n v="2.0499999999999998"/>
    <x v="2"/>
    <n v="0.7"/>
    <x v="2"/>
    <n v="9"/>
    <n v="5"/>
    <n v="10"/>
    <n v="0"/>
    <x v="16"/>
    <m/>
    <x v="2"/>
  </r>
  <r>
    <n v="16"/>
    <x v="1"/>
    <x v="0"/>
    <n v="4.8"/>
    <x v="2"/>
    <n v="5.4"/>
    <n v="0.9"/>
    <n v="5.7"/>
    <n v="2.06"/>
    <x v="2"/>
    <n v="1.9"/>
    <x v="0"/>
    <n v="8"/>
    <n v="3"/>
    <n v="2"/>
    <n v="0"/>
    <x v="18"/>
    <m/>
    <x v="1"/>
  </r>
  <r>
    <n v="19"/>
    <x v="1"/>
    <x v="0"/>
    <n v="7.4"/>
    <x v="1"/>
    <n v="6.1"/>
    <n v="1.1000000000000001"/>
    <n v="8.5"/>
    <n v="2.15"/>
    <x v="2"/>
    <n v="1.6"/>
    <x v="1"/>
    <n v="4"/>
    <n v="4"/>
    <n v="1"/>
    <n v="0"/>
    <x v="6"/>
    <m/>
    <x v="0"/>
  </r>
  <r>
    <n v="16"/>
    <x v="1"/>
    <x v="1"/>
    <n v="2.1"/>
    <x v="0"/>
    <n v="4.8"/>
    <n v="1.3"/>
    <n v="3.4000000000000004"/>
    <n v="2.29"/>
    <x v="2"/>
    <n v="1.8"/>
    <x v="1"/>
    <n v="6"/>
    <n v="9"/>
    <n v="2"/>
    <n v="0"/>
    <x v="3"/>
    <m/>
    <x v="1"/>
  </r>
  <r>
    <n v="19"/>
    <x v="1"/>
    <x v="0"/>
    <n v="2.1"/>
    <x v="1"/>
    <n v="6.8"/>
    <n v="2.2000000000000002"/>
    <n v="4.3000000000000007"/>
    <n v="2.33"/>
    <x v="2"/>
    <n v="1"/>
    <x v="2"/>
    <n v="7"/>
    <n v="6"/>
    <n v="7"/>
    <n v="0"/>
    <x v="8"/>
    <m/>
    <x v="2"/>
  </r>
  <r>
    <n v="16"/>
    <x v="1"/>
    <x v="0"/>
    <n v="1.8"/>
    <x v="0"/>
    <n v="4.9000000000000004"/>
    <n v="2.2999999999999998"/>
    <n v="4.0999999999999996"/>
    <n v="2.67"/>
    <x v="3"/>
    <n v="1.4"/>
    <x v="2"/>
    <n v="3"/>
    <n v="8"/>
    <n v="6"/>
    <n v="0"/>
    <x v="3"/>
    <m/>
    <x v="1"/>
  </r>
  <r>
    <n v="18"/>
    <x v="1"/>
    <x v="0"/>
    <n v="6.8"/>
    <x v="2"/>
    <n v="5.4"/>
    <n v="0.9"/>
    <n v="7.7"/>
    <n v="2.64"/>
    <x v="3"/>
    <n v="0.3"/>
    <x v="1"/>
    <n v="9"/>
    <n v="1"/>
    <n v="8"/>
    <n v="0"/>
    <x v="11"/>
    <m/>
    <x v="1"/>
  </r>
  <r>
    <n v="18"/>
    <x v="1"/>
    <x v="0"/>
    <n v="7.9"/>
    <x v="0"/>
    <n v="4.0999999999999996"/>
    <n v="2.8"/>
    <n v="10.7"/>
    <n v="3.25"/>
    <x v="0"/>
    <n v="1.4"/>
    <x v="1"/>
    <n v="4"/>
    <n v="2"/>
    <n v="4"/>
    <n v="0"/>
    <x v="4"/>
    <m/>
    <x v="1"/>
  </r>
  <r>
    <n v="15"/>
    <x v="0"/>
    <x v="0"/>
    <n v="7.6"/>
    <x v="2"/>
    <n v="6"/>
    <n v="2.9"/>
    <n v="10.5"/>
    <n v="2.72"/>
    <x v="3"/>
    <n v="1.8"/>
    <x v="1"/>
    <n v="1"/>
    <n v="9"/>
    <n v="6"/>
    <n v="0"/>
    <x v="13"/>
    <m/>
    <x v="1"/>
  </r>
  <r>
    <n v="18"/>
    <x v="1"/>
    <x v="0"/>
    <n v="6.1"/>
    <x v="1"/>
    <n v="5.8"/>
    <n v="1.8"/>
    <n v="7.8999999999999995"/>
    <n v="3.59"/>
    <x v="0"/>
    <n v="0.2"/>
    <x v="0"/>
    <n v="2"/>
    <n v="5"/>
    <n v="4"/>
    <n v="0"/>
    <x v="12"/>
    <m/>
    <x v="1"/>
  </r>
  <r>
    <n v="16"/>
    <x v="1"/>
    <x v="1"/>
    <n v="1.4"/>
    <x v="2"/>
    <n v="5.7"/>
    <n v="1.8"/>
    <n v="3.2"/>
    <n v="2"/>
    <x v="2"/>
    <n v="1.4"/>
    <x v="0"/>
    <n v="4"/>
    <n v="8"/>
    <n v="7"/>
    <n v="0"/>
    <x v="1"/>
    <m/>
    <x v="1"/>
  </r>
  <r>
    <n v="19"/>
    <x v="1"/>
    <x v="0"/>
    <n v="6.3"/>
    <x v="1"/>
    <n v="5.7"/>
    <n v="1.4"/>
    <n v="7.6999999999999993"/>
    <n v="2.0299999999999998"/>
    <x v="2"/>
    <n v="1.1000000000000001"/>
    <x v="0"/>
    <n v="4"/>
    <n v="6"/>
    <n v="1"/>
    <n v="0"/>
    <x v="12"/>
    <m/>
    <x v="1"/>
  </r>
  <r>
    <n v="13"/>
    <x v="0"/>
    <x v="0"/>
    <n v="1.3"/>
    <x v="0"/>
    <n v="5.7"/>
    <n v="1.1000000000000001"/>
    <n v="2.4000000000000004"/>
    <n v="3.74"/>
    <x v="1"/>
    <n v="1.3"/>
    <x v="0"/>
    <n v="9"/>
    <n v="5"/>
    <n v="10"/>
    <n v="0"/>
    <x v="16"/>
    <m/>
    <x v="2"/>
  </r>
  <r>
    <n v="17"/>
    <x v="1"/>
    <x v="0"/>
    <n v="5.0999999999999996"/>
    <x v="1"/>
    <n v="5.0999999999999996"/>
    <n v="2.9"/>
    <n v="8"/>
    <n v="3.99"/>
    <x v="1"/>
    <n v="0.6"/>
    <x v="2"/>
    <n v="4"/>
    <n v="2"/>
    <n v="9"/>
    <n v="0"/>
    <x v="5"/>
    <m/>
    <x v="1"/>
  </r>
  <r>
    <n v="19"/>
    <x v="1"/>
    <x v="1"/>
    <n v="4"/>
    <x v="0"/>
    <n v="8.1999999999999993"/>
    <n v="1.4"/>
    <n v="5.4"/>
    <n v="3.63"/>
    <x v="1"/>
    <n v="1.3"/>
    <x v="0"/>
    <n v="5"/>
    <n v="3"/>
    <n v="10"/>
    <n v="0"/>
    <x v="11"/>
    <m/>
    <x v="1"/>
  </r>
  <r>
    <n v="17"/>
    <x v="1"/>
    <x v="1"/>
    <n v="7.6"/>
    <x v="0"/>
    <n v="7.3"/>
    <n v="1.9"/>
    <n v="9.5"/>
    <n v="3.05"/>
    <x v="0"/>
    <n v="1.1000000000000001"/>
    <x v="2"/>
    <n v="10"/>
    <n v="8"/>
    <n v="1"/>
    <n v="0"/>
    <x v="1"/>
    <m/>
    <x v="1"/>
  </r>
  <r>
    <n v="19"/>
    <x v="1"/>
    <x v="0"/>
    <n v="3.8"/>
    <x v="1"/>
    <n v="7.4"/>
    <n v="2.6"/>
    <n v="6.4"/>
    <n v="2.25"/>
    <x v="2"/>
    <n v="0.5"/>
    <x v="0"/>
    <n v="7"/>
    <n v="4"/>
    <n v="8"/>
    <n v="0"/>
    <x v="1"/>
    <m/>
    <x v="1"/>
  </r>
  <r>
    <n v="17"/>
    <x v="1"/>
    <x v="0"/>
    <n v="5.2"/>
    <x v="0"/>
    <n v="4.7"/>
    <n v="2.4"/>
    <n v="7.6"/>
    <n v="2.77"/>
    <x v="3"/>
    <n v="1.3"/>
    <x v="1"/>
    <n v="9"/>
    <n v="6"/>
    <n v="9"/>
    <n v="0"/>
    <x v="16"/>
    <m/>
    <x v="2"/>
  </r>
  <r>
    <n v="13"/>
    <x v="0"/>
    <x v="0"/>
    <n v="5"/>
    <x v="2"/>
    <n v="8.6"/>
    <n v="0.7"/>
    <n v="5.7"/>
    <n v="2.99"/>
    <x v="3"/>
    <n v="1.5"/>
    <x v="0"/>
    <n v="3"/>
    <n v="8"/>
    <n v="3"/>
    <n v="0"/>
    <x v="15"/>
    <m/>
    <x v="1"/>
  </r>
  <r>
    <n v="19"/>
    <x v="1"/>
    <x v="1"/>
    <n v="7.4"/>
    <x v="2"/>
    <n v="8.3000000000000007"/>
    <n v="1.4"/>
    <n v="8.8000000000000007"/>
    <n v="3.64"/>
    <x v="1"/>
    <n v="0.4"/>
    <x v="0"/>
    <n v="6"/>
    <n v="9"/>
    <n v="6"/>
    <n v="0"/>
    <x v="7"/>
    <m/>
    <x v="2"/>
  </r>
  <r>
    <n v="16"/>
    <x v="1"/>
    <x v="0"/>
    <n v="6.1"/>
    <x v="1"/>
    <n v="6.8"/>
    <n v="0.8"/>
    <n v="6.8999999999999995"/>
    <n v="2.61"/>
    <x v="3"/>
    <n v="0.9"/>
    <x v="0"/>
    <n v="10"/>
    <n v="10"/>
    <n v="4"/>
    <n v="0"/>
    <x v="16"/>
    <m/>
    <x v="2"/>
  </r>
  <r>
    <n v="13"/>
    <x v="0"/>
    <x v="1"/>
    <n v="7.4"/>
    <x v="2"/>
    <n v="6.7"/>
    <n v="2"/>
    <n v="9.4"/>
    <n v="2.42"/>
    <x v="2"/>
    <n v="1.5"/>
    <x v="0"/>
    <n v="10"/>
    <n v="1"/>
    <n v="1"/>
    <n v="0"/>
    <x v="17"/>
    <m/>
    <x v="1"/>
  </r>
  <r>
    <n v="16"/>
    <x v="1"/>
    <x v="0"/>
    <n v="3.5"/>
    <x v="2"/>
    <n v="4.4000000000000004"/>
    <n v="1.5"/>
    <n v="5"/>
    <n v="2.7"/>
    <x v="3"/>
    <n v="0.8"/>
    <x v="1"/>
    <n v="2"/>
    <n v="10"/>
    <n v="8"/>
    <n v="0"/>
    <x v="8"/>
    <m/>
    <x v="2"/>
  </r>
  <r>
    <n v="14"/>
    <x v="0"/>
    <x v="0"/>
    <n v="5.0999999999999996"/>
    <x v="0"/>
    <n v="6.3"/>
    <n v="1.6"/>
    <n v="6.6999999999999993"/>
    <n v="2.7"/>
    <x v="3"/>
    <n v="0.1"/>
    <x v="2"/>
    <n v="7"/>
    <n v="2"/>
    <n v="7"/>
    <n v="0"/>
    <x v="13"/>
    <m/>
    <x v="1"/>
  </r>
  <r>
    <n v="17"/>
    <x v="1"/>
    <x v="0"/>
    <n v="4.8"/>
    <x v="1"/>
    <n v="6"/>
    <n v="2.1"/>
    <n v="6.9"/>
    <n v="2.39"/>
    <x v="2"/>
    <n v="1.8"/>
    <x v="1"/>
    <n v="5"/>
    <n v="8"/>
    <n v="7"/>
    <n v="0"/>
    <x v="8"/>
    <m/>
    <x v="2"/>
  </r>
  <r>
    <n v="14"/>
    <x v="0"/>
    <x v="0"/>
    <n v="7.5"/>
    <x v="2"/>
    <n v="7.6"/>
    <n v="2.8"/>
    <n v="10.3"/>
    <n v="3.1"/>
    <x v="0"/>
    <n v="0.7"/>
    <x v="2"/>
    <n v="3"/>
    <n v="1"/>
    <n v="2"/>
    <n v="0"/>
    <x v="9"/>
    <m/>
    <x v="0"/>
  </r>
  <r>
    <n v="19"/>
    <x v="1"/>
    <x v="0"/>
    <n v="4.7"/>
    <x v="2"/>
    <n v="8.6999999999999993"/>
    <n v="2"/>
    <n v="6.7"/>
    <n v="3.23"/>
    <x v="0"/>
    <n v="1.7"/>
    <x v="0"/>
    <n v="4"/>
    <n v="10"/>
    <n v="3"/>
    <n v="0"/>
    <x v="3"/>
    <m/>
    <x v="1"/>
  </r>
  <r>
    <n v="19"/>
    <x v="1"/>
    <x v="0"/>
    <n v="3.3"/>
    <x v="1"/>
    <n v="8.5"/>
    <n v="1.2"/>
    <n v="4.5"/>
    <n v="3.29"/>
    <x v="0"/>
    <n v="0.5"/>
    <x v="2"/>
    <n v="6"/>
    <n v="2"/>
    <n v="9"/>
    <n v="0"/>
    <x v="3"/>
    <m/>
    <x v="1"/>
  </r>
  <r>
    <n v="16"/>
    <x v="1"/>
    <x v="1"/>
    <n v="6.9"/>
    <x v="0"/>
    <n v="5.8"/>
    <n v="0.6"/>
    <n v="7.5"/>
    <n v="3.65"/>
    <x v="1"/>
    <n v="0.5"/>
    <x v="1"/>
    <n v="10"/>
    <n v="8"/>
    <n v="10"/>
    <n v="1"/>
    <x v="25"/>
    <m/>
    <x v="2"/>
  </r>
  <r>
    <n v="15"/>
    <x v="0"/>
    <x v="0"/>
    <n v="5.4"/>
    <x v="0"/>
    <n v="4.2"/>
    <n v="1.5"/>
    <n v="6.9"/>
    <n v="2.72"/>
    <x v="3"/>
    <n v="0.4"/>
    <x v="1"/>
    <n v="1"/>
    <n v="6"/>
    <n v="5"/>
    <n v="0"/>
    <x v="17"/>
    <m/>
    <x v="1"/>
  </r>
  <r>
    <n v="13"/>
    <x v="0"/>
    <x v="1"/>
    <n v="5.2"/>
    <x v="2"/>
    <n v="7.7"/>
    <n v="2.7"/>
    <n v="7.9"/>
    <n v="2.84"/>
    <x v="3"/>
    <n v="0.8"/>
    <x v="1"/>
    <n v="2"/>
    <n v="5"/>
    <n v="5"/>
    <n v="0"/>
    <x v="17"/>
    <m/>
    <x v="1"/>
  </r>
  <r>
    <n v="15"/>
    <x v="0"/>
    <x v="1"/>
    <n v="3.3"/>
    <x v="0"/>
    <n v="6.5"/>
    <n v="1.3"/>
    <n v="4.5999999999999996"/>
    <n v="2.44"/>
    <x v="2"/>
    <n v="0.3"/>
    <x v="2"/>
    <n v="7"/>
    <n v="6"/>
    <n v="7"/>
    <n v="0"/>
    <x v="8"/>
    <m/>
    <x v="2"/>
  </r>
  <r>
    <n v="15"/>
    <x v="0"/>
    <x v="1"/>
    <n v="7.3"/>
    <x v="2"/>
    <n v="7.6"/>
    <n v="1.9"/>
    <n v="9.1999999999999993"/>
    <n v="2.31"/>
    <x v="2"/>
    <n v="0.8"/>
    <x v="2"/>
    <n v="8"/>
    <n v="7"/>
    <n v="5"/>
    <n v="0"/>
    <x v="8"/>
    <m/>
    <x v="2"/>
  </r>
  <r>
    <n v="17"/>
    <x v="1"/>
    <x v="0"/>
    <n v="7.6"/>
    <x v="2"/>
    <n v="4.9000000000000004"/>
    <n v="0.6"/>
    <n v="8.1999999999999993"/>
    <n v="2.56"/>
    <x v="3"/>
    <n v="0.8"/>
    <x v="0"/>
    <n v="4"/>
    <n v="1"/>
    <n v="9"/>
    <n v="0"/>
    <x v="15"/>
    <m/>
    <x v="1"/>
  </r>
  <r>
    <n v="17"/>
    <x v="1"/>
    <x v="0"/>
    <n v="1.7"/>
    <x v="2"/>
    <n v="7"/>
    <n v="0.8"/>
    <n v="2.5"/>
    <n v="3.39"/>
    <x v="0"/>
    <n v="0.9"/>
    <x v="1"/>
    <n v="7"/>
    <n v="7"/>
    <n v="10"/>
    <n v="0"/>
    <x v="16"/>
    <m/>
    <x v="2"/>
  </r>
  <r>
    <n v="18"/>
    <x v="1"/>
    <x v="0"/>
    <n v="1.5"/>
    <x v="2"/>
    <n v="5.6"/>
    <n v="2.9"/>
    <n v="4.4000000000000004"/>
    <n v="2.57"/>
    <x v="3"/>
    <n v="0.6"/>
    <x v="1"/>
    <n v="5"/>
    <n v="8"/>
    <n v="4"/>
    <n v="0"/>
    <x v="3"/>
    <m/>
    <x v="1"/>
  </r>
  <r>
    <n v="17"/>
    <x v="1"/>
    <x v="0"/>
    <n v="7.3"/>
    <x v="2"/>
    <n v="8.5"/>
    <n v="1.5"/>
    <n v="8.8000000000000007"/>
    <n v="3.54"/>
    <x v="0"/>
    <n v="1.2"/>
    <x v="0"/>
    <n v="3"/>
    <n v="3"/>
    <n v="7"/>
    <n v="0"/>
    <x v="18"/>
    <m/>
    <x v="1"/>
  </r>
  <r>
    <n v="14"/>
    <x v="0"/>
    <x v="0"/>
    <n v="2.8"/>
    <x v="2"/>
    <n v="6.2"/>
    <n v="1.2"/>
    <n v="4"/>
    <n v="3.21"/>
    <x v="0"/>
    <n v="1"/>
    <x v="0"/>
    <n v="3"/>
    <n v="10"/>
    <n v="6"/>
    <n v="0"/>
    <x v="1"/>
    <m/>
    <x v="1"/>
  </r>
  <r>
    <n v="15"/>
    <x v="0"/>
    <x v="0"/>
    <n v="1.2"/>
    <x v="2"/>
    <n v="7.4"/>
    <n v="2.7"/>
    <n v="3.9000000000000004"/>
    <n v="2.92"/>
    <x v="3"/>
    <n v="1.4"/>
    <x v="0"/>
    <n v="3"/>
    <n v="7"/>
    <n v="4"/>
    <n v="0"/>
    <x v="15"/>
    <m/>
    <x v="1"/>
  </r>
  <r>
    <n v="16"/>
    <x v="1"/>
    <x v="1"/>
    <n v="2.5"/>
    <x v="1"/>
    <n v="8.9"/>
    <n v="1.2"/>
    <n v="3.7"/>
    <n v="3.33"/>
    <x v="0"/>
    <n v="1.5"/>
    <x v="1"/>
    <n v="4"/>
    <n v="4"/>
    <n v="10"/>
    <n v="0"/>
    <x v="11"/>
    <m/>
    <x v="1"/>
  </r>
  <r>
    <n v="17"/>
    <x v="1"/>
    <x v="0"/>
    <n v="4.8"/>
    <x v="1"/>
    <n v="5.6"/>
    <n v="1.6"/>
    <n v="6.4"/>
    <n v="2"/>
    <x v="2"/>
    <n v="1.3"/>
    <x v="0"/>
    <n v="3"/>
    <n v="8"/>
    <n v="4"/>
    <n v="0"/>
    <x v="5"/>
    <m/>
    <x v="1"/>
  </r>
  <r>
    <n v="18"/>
    <x v="1"/>
    <x v="1"/>
    <n v="6.4"/>
    <x v="2"/>
    <n v="4.2"/>
    <n v="1.1000000000000001"/>
    <n v="7.5"/>
    <n v="2.68"/>
    <x v="3"/>
    <n v="0.3"/>
    <x v="1"/>
    <n v="10"/>
    <n v="9"/>
    <n v="4"/>
    <n v="1"/>
    <x v="16"/>
    <m/>
    <x v="2"/>
  </r>
  <r>
    <n v="16"/>
    <x v="1"/>
    <x v="1"/>
    <n v="6.6"/>
    <x v="0"/>
    <n v="6.1"/>
    <n v="1.7"/>
    <n v="8.2999999999999989"/>
    <n v="2.67"/>
    <x v="3"/>
    <n v="1.8"/>
    <x v="0"/>
    <n v="10"/>
    <n v="8"/>
    <n v="2"/>
    <n v="0"/>
    <x v="8"/>
    <m/>
    <x v="2"/>
  </r>
  <r>
    <n v="14"/>
    <x v="0"/>
    <x v="1"/>
    <n v="3.5"/>
    <x v="2"/>
    <n v="5.7"/>
    <n v="2.4"/>
    <n v="5.9"/>
    <n v="3.46"/>
    <x v="0"/>
    <n v="0.9"/>
    <x v="0"/>
    <n v="8"/>
    <n v="4"/>
    <n v="10"/>
    <n v="0"/>
    <x v="10"/>
    <m/>
    <x v="2"/>
  </r>
  <r>
    <n v="14"/>
    <x v="0"/>
    <x v="1"/>
    <n v="2.4"/>
    <x v="1"/>
    <n v="6.3"/>
    <n v="2.8"/>
    <n v="5.1999999999999993"/>
    <n v="2.41"/>
    <x v="2"/>
    <n v="0.7"/>
    <x v="0"/>
    <n v="9"/>
    <n v="5"/>
    <n v="2"/>
    <n v="0"/>
    <x v="13"/>
    <m/>
    <x v="1"/>
  </r>
  <r>
    <n v="13"/>
    <x v="0"/>
    <x v="0"/>
    <n v="5.9"/>
    <x v="0"/>
    <n v="4.3"/>
    <n v="0.8"/>
    <n v="6.7"/>
    <n v="3.41"/>
    <x v="0"/>
    <n v="1.1000000000000001"/>
    <x v="2"/>
    <n v="4"/>
    <n v="3"/>
    <n v="2"/>
    <n v="0"/>
    <x v="6"/>
    <m/>
    <x v="0"/>
  </r>
  <r>
    <n v="19"/>
    <x v="1"/>
    <x v="1"/>
    <n v="7.4"/>
    <x v="0"/>
    <n v="5"/>
    <n v="2"/>
    <n v="9.4"/>
    <n v="2.68"/>
    <x v="3"/>
    <n v="1.2"/>
    <x v="0"/>
    <n v="1"/>
    <n v="6"/>
    <n v="8"/>
    <n v="0"/>
    <x v="5"/>
    <m/>
    <x v="1"/>
  </r>
  <r>
    <n v="15"/>
    <x v="0"/>
    <x v="1"/>
    <n v="4.5999999999999996"/>
    <x v="1"/>
    <n v="5.3"/>
    <n v="3"/>
    <n v="7.6"/>
    <n v="3.25"/>
    <x v="0"/>
    <n v="0.2"/>
    <x v="0"/>
    <n v="1"/>
    <n v="8"/>
    <n v="7"/>
    <n v="0"/>
    <x v="13"/>
    <m/>
    <x v="1"/>
  </r>
  <r>
    <n v="17"/>
    <x v="1"/>
    <x v="0"/>
    <n v="7.3"/>
    <x v="0"/>
    <n v="5.8"/>
    <n v="2.9"/>
    <n v="10.199999999999999"/>
    <n v="3.93"/>
    <x v="1"/>
    <n v="0.9"/>
    <x v="2"/>
    <n v="6"/>
    <n v="2"/>
    <n v="9"/>
    <n v="0"/>
    <x v="3"/>
    <m/>
    <x v="1"/>
  </r>
  <r>
    <n v="17"/>
    <x v="1"/>
    <x v="1"/>
    <n v="2.9"/>
    <x v="1"/>
    <n v="4.5"/>
    <n v="0.9"/>
    <n v="3.8"/>
    <n v="3.71"/>
    <x v="1"/>
    <n v="0.1"/>
    <x v="0"/>
    <n v="1"/>
    <n v="6"/>
    <n v="4"/>
    <n v="0"/>
    <x v="12"/>
    <m/>
    <x v="1"/>
  </r>
  <r>
    <n v="19"/>
    <x v="1"/>
    <x v="0"/>
    <n v="5.3"/>
    <x v="1"/>
    <n v="8.4"/>
    <n v="0.6"/>
    <n v="5.8999999999999995"/>
    <n v="3.08"/>
    <x v="0"/>
    <n v="0.4"/>
    <x v="2"/>
    <n v="9"/>
    <n v="4"/>
    <n v="6"/>
    <n v="0"/>
    <x v="1"/>
    <m/>
    <x v="1"/>
  </r>
  <r>
    <n v="17"/>
    <x v="1"/>
    <x v="1"/>
    <n v="7.2"/>
    <x v="1"/>
    <n v="8.1999999999999993"/>
    <n v="2.9"/>
    <n v="10.1"/>
    <n v="3.69"/>
    <x v="1"/>
    <n v="1"/>
    <x v="1"/>
    <n v="6"/>
    <n v="2"/>
    <n v="5"/>
    <n v="0"/>
    <x v="18"/>
    <m/>
    <x v="1"/>
  </r>
  <r>
    <n v="15"/>
    <x v="0"/>
    <x v="1"/>
    <n v="2.6"/>
    <x v="2"/>
    <n v="7.9"/>
    <n v="1.8"/>
    <n v="4.4000000000000004"/>
    <n v="3.91"/>
    <x v="1"/>
    <n v="0.5"/>
    <x v="2"/>
    <n v="4"/>
    <n v="5"/>
    <n v="6"/>
    <n v="0"/>
    <x v="5"/>
    <m/>
    <x v="1"/>
  </r>
  <r>
    <n v="15"/>
    <x v="0"/>
    <x v="0"/>
    <n v="3.6"/>
    <x v="0"/>
    <n v="4.8"/>
    <n v="1"/>
    <n v="4.5999999999999996"/>
    <n v="3.71"/>
    <x v="1"/>
    <n v="1.1000000000000001"/>
    <x v="2"/>
    <n v="5"/>
    <n v="7"/>
    <n v="4"/>
    <n v="0"/>
    <x v="13"/>
    <m/>
    <x v="1"/>
  </r>
  <r>
    <n v="19"/>
    <x v="1"/>
    <x v="0"/>
    <n v="3.6"/>
    <x v="0"/>
    <n v="6.5"/>
    <n v="1.1000000000000001"/>
    <n v="4.7"/>
    <n v="3.65"/>
    <x v="1"/>
    <n v="1.1000000000000001"/>
    <x v="0"/>
    <n v="5"/>
    <n v="9"/>
    <n v="10"/>
    <n v="0"/>
    <x v="16"/>
    <m/>
    <x v="2"/>
  </r>
  <r>
    <n v="15"/>
    <x v="0"/>
    <x v="1"/>
    <n v="1.8"/>
    <x v="0"/>
    <n v="5.5"/>
    <n v="1.6"/>
    <n v="3.4000000000000004"/>
    <n v="3.29"/>
    <x v="0"/>
    <n v="1.3"/>
    <x v="2"/>
    <n v="6"/>
    <n v="5"/>
    <n v="9"/>
    <n v="0"/>
    <x v="8"/>
    <m/>
    <x v="2"/>
  </r>
  <r>
    <n v="14"/>
    <x v="0"/>
    <x v="1"/>
    <n v="1.8"/>
    <x v="0"/>
    <n v="7.6"/>
    <n v="1.2"/>
    <n v="3"/>
    <n v="2.84"/>
    <x v="3"/>
    <n v="1.1000000000000001"/>
    <x v="1"/>
    <n v="10"/>
    <n v="1"/>
    <n v="3"/>
    <n v="0"/>
    <x v="15"/>
    <m/>
    <x v="1"/>
  </r>
  <r>
    <n v="15"/>
    <x v="0"/>
    <x v="1"/>
    <n v="7.4"/>
    <x v="2"/>
    <n v="8.4"/>
    <n v="1.9"/>
    <n v="9.3000000000000007"/>
    <n v="3.73"/>
    <x v="1"/>
    <n v="0.8"/>
    <x v="1"/>
    <n v="9"/>
    <n v="9"/>
    <n v="4"/>
    <n v="0"/>
    <x v="10"/>
    <m/>
    <x v="2"/>
  </r>
  <r>
    <n v="15"/>
    <x v="0"/>
    <x v="0"/>
    <n v="4.8"/>
    <x v="2"/>
    <n v="4.3"/>
    <n v="2.2000000000000002"/>
    <n v="7"/>
    <n v="2.5"/>
    <x v="3"/>
    <n v="0"/>
    <x v="2"/>
    <n v="4"/>
    <n v="1"/>
    <n v="4"/>
    <n v="0"/>
    <x v="6"/>
    <m/>
    <x v="0"/>
  </r>
  <r>
    <n v="18"/>
    <x v="1"/>
    <x v="0"/>
    <n v="2.4"/>
    <x v="2"/>
    <n v="6.8"/>
    <n v="1"/>
    <n v="3.4"/>
    <n v="2.86"/>
    <x v="3"/>
    <n v="1.5"/>
    <x v="1"/>
    <n v="9"/>
    <n v="10"/>
    <n v="8"/>
    <n v="0"/>
    <x v="14"/>
    <m/>
    <x v="2"/>
  </r>
  <r>
    <n v="15"/>
    <x v="0"/>
    <x v="0"/>
    <n v="5.4"/>
    <x v="1"/>
    <n v="5.2"/>
    <n v="0.6"/>
    <n v="6"/>
    <n v="3.65"/>
    <x v="1"/>
    <n v="1.5"/>
    <x v="0"/>
    <n v="7"/>
    <n v="9"/>
    <n v="10"/>
    <n v="1"/>
    <x v="14"/>
    <m/>
    <x v="2"/>
  </r>
  <r>
    <n v="17"/>
    <x v="1"/>
    <x v="1"/>
    <n v="3.5"/>
    <x v="2"/>
    <n v="8.5"/>
    <n v="2.2000000000000002"/>
    <n v="5.7"/>
    <n v="2.11"/>
    <x v="2"/>
    <n v="1.3"/>
    <x v="2"/>
    <n v="8"/>
    <n v="8"/>
    <n v="2"/>
    <n v="0"/>
    <x v="11"/>
    <m/>
    <x v="1"/>
  </r>
  <r>
    <n v="18"/>
    <x v="1"/>
    <x v="1"/>
    <n v="3"/>
    <x v="0"/>
    <n v="5"/>
    <n v="2"/>
    <n v="5"/>
    <n v="2.4500000000000002"/>
    <x v="2"/>
    <n v="1.2"/>
    <x v="2"/>
    <n v="1"/>
    <n v="10"/>
    <n v="7"/>
    <n v="0"/>
    <x v="11"/>
    <m/>
    <x v="1"/>
  </r>
  <r>
    <n v="13"/>
    <x v="0"/>
    <x v="1"/>
    <n v="3.3"/>
    <x v="2"/>
    <n v="7.4"/>
    <n v="0.9"/>
    <n v="4.2"/>
    <n v="2.5299999999999998"/>
    <x v="3"/>
    <n v="0.2"/>
    <x v="2"/>
    <n v="4"/>
    <n v="10"/>
    <n v="6"/>
    <n v="0"/>
    <x v="8"/>
    <m/>
    <x v="2"/>
  </r>
  <r>
    <n v="19"/>
    <x v="1"/>
    <x v="0"/>
    <n v="5.5"/>
    <x v="1"/>
    <n v="5.0999999999999996"/>
    <n v="2.7"/>
    <n v="8.1999999999999993"/>
    <n v="2.56"/>
    <x v="3"/>
    <n v="1.4"/>
    <x v="0"/>
    <n v="2"/>
    <n v="3"/>
    <n v="7"/>
    <n v="0"/>
    <x v="17"/>
    <m/>
    <x v="1"/>
  </r>
  <r>
    <n v="15"/>
    <x v="0"/>
    <x v="0"/>
    <n v="3.8"/>
    <x v="2"/>
    <n v="8.3000000000000007"/>
    <n v="2.6"/>
    <n v="6.4"/>
    <n v="3.19"/>
    <x v="0"/>
    <n v="2"/>
    <x v="2"/>
    <n v="1"/>
    <n v="2"/>
    <n v="2"/>
    <n v="0"/>
    <x v="0"/>
    <m/>
    <x v="0"/>
  </r>
  <r>
    <n v="17"/>
    <x v="1"/>
    <x v="0"/>
    <n v="5.7"/>
    <x v="1"/>
    <n v="8.6999999999999993"/>
    <n v="2"/>
    <n v="7.7"/>
    <n v="3.14"/>
    <x v="0"/>
    <n v="1.7"/>
    <x v="0"/>
    <n v="1"/>
    <n v="9"/>
    <n v="8"/>
    <n v="0"/>
    <x v="11"/>
    <m/>
    <x v="1"/>
  </r>
  <r>
    <n v="13"/>
    <x v="0"/>
    <x v="1"/>
    <n v="4.7"/>
    <x v="1"/>
    <n v="8"/>
    <n v="1.1000000000000001"/>
    <n v="5.8000000000000007"/>
    <n v="2.37"/>
    <x v="2"/>
    <n v="0.2"/>
    <x v="0"/>
    <n v="5"/>
    <n v="10"/>
    <n v="6"/>
    <n v="0"/>
    <x v="7"/>
    <m/>
    <x v="2"/>
  </r>
  <r>
    <n v="17"/>
    <x v="1"/>
    <x v="1"/>
    <n v="4"/>
    <x v="0"/>
    <n v="6.7"/>
    <n v="0.6"/>
    <n v="4.5999999999999996"/>
    <n v="2.5099999999999998"/>
    <x v="3"/>
    <n v="1.5"/>
    <x v="1"/>
    <n v="9"/>
    <n v="8"/>
    <n v="5"/>
    <n v="0"/>
    <x v="10"/>
    <m/>
    <x v="2"/>
  </r>
  <r>
    <n v="16"/>
    <x v="1"/>
    <x v="0"/>
    <n v="5.3"/>
    <x v="1"/>
    <n v="6.8"/>
    <n v="0.7"/>
    <n v="6"/>
    <n v="3.9"/>
    <x v="1"/>
    <n v="1.5"/>
    <x v="0"/>
    <n v="5"/>
    <n v="8"/>
    <n v="3"/>
    <n v="0"/>
    <x v="13"/>
    <m/>
    <x v="1"/>
  </r>
  <r>
    <n v="17"/>
    <x v="1"/>
    <x v="0"/>
    <n v="3.8"/>
    <x v="0"/>
    <n v="4.7"/>
    <n v="1.2"/>
    <n v="5"/>
    <n v="3.7"/>
    <x v="1"/>
    <n v="1.4"/>
    <x v="1"/>
    <n v="2"/>
    <n v="2"/>
    <n v="5"/>
    <n v="0"/>
    <x v="6"/>
    <m/>
    <x v="0"/>
  </r>
  <r>
    <n v="16"/>
    <x v="1"/>
    <x v="1"/>
    <n v="6"/>
    <x v="2"/>
    <n v="4.0999999999999996"/>
    <n v="2.4"/>
    <n v="8.4"/>
    <n v="2.61"/>
    <x v="3"/>
    <n v="1.1000000000000001"/>
    <x v="1"/>
    <n v="1"/>
    <n v="6"/>
    <n v="3"/>
    <n v="0"/>
    <x v="4"/>
    <m/>
    <x v="1"/>
  </r>
  <r>
    <n v="15"/>
    <x v="0"/>
    <x v="0"/>
    <n v="2.2000000000000002"/>
    <x v="2"/>
    <n v="4.5"/>
    <n v="1.3"/>
    <n v="3.5"/>
    <n v="2.63"/>
    <x v="3"/>
    <n v="1.7"/>
    <x v="0"/>
    <n v="10"/>
    <n v="2"/>
    <n v="6"/>
    <n v="0"/>
    <x v="11"/>
    <m/>
    <x v="1"/>
  </r>
  <r>
    <n v="18"/>
    <x v="1"/>
    <x v="0"/>
    <n v="4.3"/>
    <x v="1"/>
    <n v="8.4"/>
    <n v="2.1"/>
    <n v="6.4"/>
    <n v="2.69"/>
    <x v="3"/>
    <n v="0.2"/>
    <x v="0"/>
    <n v="1"/>
    <n v="10"/>
    <n v="8"/>
    <n v="0"/>
    <x v="1"/>
    <m/>
    <x v="1"/>
  </r>
  <r>
    <n v="19"/>
    <x v="1"/>
    <x v="1"/>
    <n v="7.5"/>
    <x v="1"/>
    <n v="4.5"/>
    <n v="2.7"/>
    <n v="10.199999999999999"/>
    <n v="2.41"/>
    <x v="2"/>
    <n v="1"/>
    <x v="1"/>
    <n v="3"/>
    <n v="2"/>
    <n v="6"/>
    <n v="0"/>
    <x v="12"/>
    <m/>
    <x v="1"/>
  </r>
  <r>
    <n v="14"/>
    <x v="0"/>
    <x v="0"/>
    <n v="5.3"/>
    <x v="0"/>
    <n v="6.8"/>
    <n v="2.9"/>
    <n v="8.1999999999999993"/>
    <n v="2.1800000000000002"/>
    <x v="2"/>
    <n v="0.8"/>
    <x v="2"/>
    <n v="10"/>
    <n v="1"/>
    <n v="6"/>
    <n v="0"/>
    <x v="3"/>
    <m/>
    <x v="1"/>
  </r>
  <r>
    <n v="14"/>
    <x v="0"/>
    <x v="1"/>
    <n v="7"/>
    <x v="0"/>
    <n v="6.9"/>
    <n v="2.1"/>
    <n v="9.1"/>
    <n v="3.42"/>
    <x v="0"/>
    <n v="1.1000000000000001"/>
    <x v="1"/>
    <n v="10"/>
    <n v="3"/>
    <n v="6"/>
    <n v="0"/>
    <x v="1"/>
    <m/>
    <x v="1"/>
  </r>
  <r>
    <n v="16"/>
    <x v="1"/>
    <x v="1"/>
    <n v="2.1"/>
    <x v="2"/>
    <n v="4.5999999999999996"/>
    <n v="2"/>
    <n v="4.0999999999999996"/>
    <n v="2.5499999999999998"/>
    <x v="3"/>
    <n v="1.8"/>
    <x v="1"/>
    <n v="5"/>
    <n v="4"/>
    <n v="4"/>
    <n v="0"/>
    <x v="18"/>
    <m/>
    <x v="1"/>
  </r>
  <r>
    <n v="18"/>
    <x v="1"/>
    <x v="1"/>
    <n v="7.3"/>
    <x v="2"/>
    <n v="7.3"/>
    <n v="2.8"/>
    <n v="10.1"/>
    <n v="3.3"/>
    <x v="0"/>
    <n v="0.4"/>
    <x v="0"/>
    <n v="1"/>
    <n v="8"/>
    <n v="1"/>
    <n v="0"/>
    <x v="4"/>
    <m/>
    <x v="1"/>
  </r>
  <r>
    <n v="17"/>
    <x v="1"/>
    <x v="1"/>
    <n v="2.6"/>
    <x v="0"/>
    <n v="6.5"/>
    <n v="1.5"/>
    <n v="4.0999999999999996"/>
    <n v="3.8"/>
    <x v="1"/>
    <n v="0.2"/>
    <x v="1"/>
    <n v="8"/>
    <n v="6"/>
    <n v="1"/>
    <n v="0"/>
    <x v="5"/>
    <m/>
    <x v="1"/>
  </r>
  <r>
    <n v="17"/>
    <x v="1"/>
    <x v="0"/>
    <n v="5.4"/>
    <x v="2"/>
    <n v="4.9000000000000004"/>
    <n v="1.5"/>
    <n v="6.9"/>
    <n v="3.4"/>
    <x v="0"/>
    <n v="0"/>
    <x v="2"/>
    <n v="2"/>
    <n v="2"/>
    <n v="1"/>
    <n v="0"/>
    <x v="0"/>
    <m/>
    <x v="0"/>
  </r>
  <r>
    <n v="15"/>
    <x v="0"/>
    <x v="0"/>
    <n v="6.9"/>
    <x v="0"/>
    <n v="6.2"/>
    <n v="0.6"/>
    <n v="7.5"/>
    <n v="2.37"/>
    <x v="2"/>
    <n v="0.2"/>
    <x v="0"/>
    <n v="3"/>
    <n v="1"/>
    <n v="4"/>
    <n v="0"/>
    <x v="2"/>
    <m/>
    <x v="0"/>
  </r>
  <r>
    <n v="19"/>
    <x v="1"/>
    <x v="1"/>
    <n v="3"/>
    <x v="0"/>
    <n v="5.5"/>
    <n v="2.1"/>
    <n v="5.0999999999999996"/>
    <n v="3.08"/>
    <x v="0"/>
    <n v="0.7"/>
    <x v="0"/>
    <n v="9"/>
    <n v="3"/>
    <n v="5"/>
    <n v="0"/>
    <x v="3"/>
    <m/>
    <x v="1"/>
  </r>
  <r>
    <n v="18"/>
    <x v="1"/>
    <x v="0"/>
    <n v="1.3"/>
    <x v="0"/>
    <n v="4.5"/>
    <n v="2.2999999999999998"/>
    <n v="3.5999999999999996"/>
    <n v="2.2799999999999998"/>
    <x v="2"/>
    <n v="1"/>
    <x v="0"/>
    <n v="2"/>
    <n v="7"/>
    <n v="8"/>
    <n v="0"/>
    <x v="3"/>
    <m/>
    <x v="1"/>
  </r>
  <r>
    <n v="15"/>
    <x v="0"/>
    <x v="0"/>
    <n v="6.2"/>
    <x v="2"/>
    <n v="6.4"/>
    <n v="1.4"/>
    <n v="7.6"/>
    <n v="3.34"/>
    <x v="0"/>
    <n v="0.9"/>
    <x v="1"/>
    <n v="8"/>
    <n v="9"/>
    <n v="9"/>
    <n v="0"/>
    <x v="19"/>
    <m/>
    <x v="2"/>
  </r>
  <r>
    <n v="15"/>
    <x v="0"/>
    <x v="0"/>
    <n v="3.6"/>
    <x v="0"/>
    <n v="5.5"/>
    <n v="1.2"/>
    <n v="4.8"/>
    <n v="2.4900000000000002"/>
    <x v="2"/>
    <n v="1.9"/>
    <x v="0"/>
    <n v="1"/>
    <n v="4"/>
    <n v="9"/>
    <n v="0"/>
    <x v="15"/>
    <m/>
    <x v="1"/>
  </r>
  <r>
    <n v="18"/>
    <x v="1"/>
    <x v="1"/>
    <n v="6.5"/>
    <x v="2"/>
    <n v="6.7"/>
    <n v="2.5"/>
    <n v="9"/>
    <n v="2.98"/>
    <x v="3"/>
    <n v="0.1"/>
    <x v="1"/>
    <n v="9"/>
    <n v="7"/>
    <n v="7"/>
    <n v="0"/>
    <x v="22"/>
    <m/>
    <x v="2"/>
  </r>
  <r>
    <n v="17"/>
    <x v="1"/>
    <x v="1"/>
    <n v="5.3"/>
    <x v="0"/>
    <n v="6.6"/>
    <n v="0.6"/>
    <n v="5.8999999999999995"/>
    <n v="3.04"/>
    <x v="0"/>
    <n v="0.1"/>
    <x v="1"/>
    <n v="3"/>
    <n v="7"/>
    <n v="1"/>
    <n v="0"/>
    <x v="12"/>
    <m/>
    <x v="1"/>
  </r>
  <r>
    <n v="16"/>
    <x v="1"/>
    <x v="0"/>
    <n v="4.5999999999999996"/>
    <x v="2"/>
    <n v="5.3"/>
    <n v="1.3"/>
    <n v="5.8999999999999995"/>
    <n v="3.76"/>
    <x v="1"/>
    <n v="0.5"/>
    <x v="2"/>
    <n v="3"/>
    <n v="8"/>
    <n v="8"/>
    <n v="0"/>
    <x v="1"/>
    <m/>
    <x v="1"/>
  </r>
  <r>
    <n v="18"/>
    <x v="1"/>
    <x v="0"/>
    <n v="7.7"/>
    <x v="2"/>
    <n v="6.6"/>
    <n v="1.6"/>
    <n v="9.3000000000000007"/>
    <n v="4"/>
    <x v="1"/>
    <n v="1.9"/>
    <x v="1"/>
    <n v="3"/>
    <n v="3"/>
    <n v="9"/>
    <n v="0"/>
    <x v="5"/>
    <m/>
    <x v="1"/>
  </r>
  <r>
    <n v="19"/>
    <x v="1"/>
    <x v="0"/>
    <n v="7.1"/>
    <x v="1"/>
    <n v="8.4"/>
    <n v="1.8"/>
    <n v="8.9"/>
    <n v="2.93"/>
    <x v="3"/>
    <n v="1.3"/>
    <x v="2"/>
    <n v="1"/>
    <n v="6"/>
    <n v="8"/>
    <n v="0"/>
    <x v="5"/>
    <m/>
    <x v="1"/>
  </r>
  <r>
    <n v="16"/>
    <x v="1"/>
    <x v="0"/>
    <n v="3.9"/>
    <x v="1"/>
    <n v="7.5"/>
    <n v="2.1"/>
    <n v="6"/>
    <n v="3.24"/>
    <x v="0"/>
    <n v="0.9"/>
    <x v="0"/>
    <n v="4"/>
    <n v="3"/>
    <n v="2"/>
    <n v="0"/>
    <x v="6"/>
    <m/>
    <x v="0"/>
  </r>
  <r>
    <n v="19"/>
    <x v="1"/>
    <x v="1"/>
    <n v="7.5"/>
    <x v="1"/>
    <n v="8.6"/>
    <n v="0.9"/>
    <n v="8.4"/>
    <n v="2.25"/>
    <x v="2"/>
    <n v="1.6"/>
    <x v="1"/>
    <n v="9"/>
    <n v="8"/>
    <n v="4"/>
    <n v="0"/>
    <x v="7"/>
    <m/>
    <x v="2"/>
  </r>
  <r>
    <n v="18"/>
    <x v="1"/>
    <x v="0"/>
    <n v="5.8"/>
    <x v="1"/>
    <n v="7.5"/>
    <n v="2.2000000000000002"/>
    <n v="8"/>
    <n v="3.65"/>
    <x v="1"/>
    <n v="1.4"/>
    <x v="2"/>
    <n v="4"/>
    <n v="4"/>
    <n v="8"/>
    <n v="0"/>
    <x v="13"/>
    <m/>
    <x v="1"/>
  </r>
  <r>
    <n v="17"/>
    <x v="1"/>
    <x v="1"/>
    <n v="7.6"/>
    <x v="0"/>
    <n v="7.3"/>
    <n v="2.9"/>
    <n v="10.5"/>
    <n v="2.99"/>
    <x v="3"/>
    <n v="1.2"/>
    <x v="1"/>
    <n v="4"/>
    <n v="8"/>
    <n v="10"/>
    <n v="0"/>
    <x v="10"/>
    <m/>
    <x v="2"/>
  </r>
  <r>
    <n v="19"/>
    <x v="1"/>
    <x v="1"/>
    <n v="4.4000000000000004"/>
    <x v="0"/>
    <n v="7.4"/>
    <n v="2.8"/>
    <n v="7.2"/>
    <n v="3.28"/>
    <x v="0"/>
    <n v="1.5"/>
    <x v="2"/>
    <n v="7"/>
    <n v="5"/>
    <n v="4"/>
    <n v="0"/>
    <x v="13"/>
    <m/>
    <x v="1"/>
  </r>
  <r>
    <n v="19"/>
    <x v="1"/>
    <x v="0"/>
    <n v="4.5999999999999996"/>
    <x v="2"/>
    <n v="4.5999999999999996"/>
    <n v="2.5"/>
    <n v="7.1"/>
    <n v="2.4"/>
    <x v="2"/>
    <n v="1"/>
    <x v="1"/>
    <n v="10"/>
    <n v="10"/>
    <n v="8"/>
    <n v="0"/>
    <x v="24"/>
    <m/>
    <x v="2"/>
  </r>
  <r>
    <n v="18"/>
    <x v="1"/>
    <x v="1"/>
    <n v="7"/>
    <x v="2"/>
    <n v="8.9"/>
    <n v="0.7"/>
    <n v="7.7"/>
    <n v="2.79"/>
    <x v="3"/>
    <n v="0.4"/>
    <x v="2"/>
    <n v="2"/>
    <n v="10"/>
    <n v="8"/>
    <n v="0"/>
    <x v="8"/>
    <m/>
    <x v="2"/>
  </r>
  <r>
    <n v="16"/>
    <x v="1"/>
    <x v="1"/>
    <n v="3.6"/>
    <x v="1"/>
    <n v="8.8000000000000007"/>
    <n v="1.2"/>
    <n v="4.8"/>
    <n v="2.3199999999999998"/>
    <x v="2"/>
    <n v="0.5"/>
    <x v="0"/>
    <n v="2"/>
    <n v="4"/>
    <n v="5"/>
    <n v="0"/>
    <x v="12"/>
    <m/>
    <x v="1"/>
  </r>
  <r>
    <n v="15"/>
    <x v="0"/>
    <x v="1"/>
    <n v="3"/>
    <x v="1"/>
    <n v="6.6"/>
    <n v="0.9"/>
    <n v="3.9"/>
    <n v="2.69"/>
    <x v="3"/>
    <n v="1.8"/>
    <x v="2"/>
    <n v="1"/>
    <n v="2"/>
    <n v="2"/>
    <n v="0"/>
    <x v="0"/>
    <m/>
    <x v="0"/>
  </r>
  <r>
    <n v="19"/>
    <x v="1"/>
    <x v="1"/>
    <n v="7.2"/>
    <x v="0"/>
    <n v="6.4"/>
    <n v="2.9"/>
    <n v="10.1"/>
    <n v="3.82"/>
    <x v="1"/>
    <n v="1"/>
    <x v="2"/>
    <n v="5"/>
    <n v="4"/>
    <n v="5"/>
    <n v="0"/>
    <x v="15"/>
    <m/>
    <x v="1"/>
  </r>
  <r>
    <n v="15"/>
    <x v="0"/>
    <x v="1"/>
    <n v="5.6"/>
    <x v="2"/>
    <n v="5.9"/>
    <n v="2"/>
    <n v="7.6"/>
    <n v="2.97"/>
    <x v="3"/>
    <n v="0.6"/>
    <x v="0"/>
    <n v="9"/>
    <n v="3"/>
    <n v="3"/>
    <n v="0"/>
    <x v="5"/>
    <m/>
    <x v="1"/>
  </r>
  <r>
    <n v="14"/>
    <x v="0"/>
    <x v="1"/>
    <n v="2"/>
    <x v="0"/>
    <n v="4.7"/>
    <n v="1.1000000000000001"/>
    <n v="3.1"/>
    <n v="2.5099999999999998"/>
    <x v="3"/>
    <n v="0"/>
    <x v="1"/>
    <n v="2"/>
    <n v="9"/>
    <n v="4"/>
    <n v="0"/>
    <x v="5"/>
    <m/>
    <x v="1"/>
  </r>
  <r>
    <n v="14"/>
    <x v="0"/>
    <x v="1"/>
    <n v="4.4000000000000004"/>
    <x v="1"/>
    <n v="5.0999999999999996"/>
    <n v="2.8"/>
    <n v="7.2"/>
    <n v="2.2200000000000002"/>
    <x v="2"/>
    <n v="0.5"/>
    <x v="1"/>
    <n v="5"/>
    <n v="4"/>
    <n v="1"/>
    <n v="0"/>
    <x v="4"/>
    <m/>
    <x v="1"/>
  </r>
  <r>
    <n v="13"/>
    <x v="0"/>
    <x v="0"/>
    <n v="3.5"/>
    <x v="1"/>
    <n v="5.8"/>
    <n v="1.2"/>
    <n v="4.7"/>
    <n v="2.44"/>
    <x v="2"/>
    <n v="1.5"/>
    <x v="2"/>
    <n v="4"/>
    <n v="1"/>
    <n v="8"/>
    <n v="0"/>
    <x v="18"/>
    <m/>
    <x v="1"/>
  </r>
  <r>
    <n v="13"/>
    <x v="0"/>
    <x v="0"/>
    <n v="6.5"/>
    <x v="0"/>
    <n v="6.5"/>
    <n v="1.5"/>
    <n v="8"/>
    <n v="2.0499999999999998"/>
    <x v="2"/>
    <n v="0.5"/>
    <x v="0"/>
    <n v="3"/>
    <n v="9"/>
    <n v="4"/>
    <n v="0"/>
    <x v="13"/>
    <m/>
    <x v="1"/>
  </r>
  <r>
    <n v="14"/>
    <x v="0"/>
    <x v="0"/>
    <n v="4.4000000000000004"/>
    <x v="0"/>
    <n v="8.8000000000000007"/>
    <n v="2.2999999999999998"/>
    <n v="6.7"/>
    <n v="2.73"/>
    <x v="3"/>
    <n v="0.3"/>
    <x v="2"/>
    <n v="9"/>
    <n v="2"/>
    <n v="2"/>
    <n v="0"/>
    <x v="18"/>
    <m/>
    <x v="1"/>
  </r>
  <r>
    <n v="17"/>
    <x v="1"/>
    <x v="1"/>
    <n v="3.1"/>
    <x v="1"/>
    <n v="4.2"/>
    <n v="0.8"/>
    <n v="3.9000000000000004"/>
    <n v="2.2799999999999998"/>
    <x v="2"/>
    <n v="1.6"/>
    <x v="2"/>
    <n v="4"/>
    <n v="9"/>
    <n v="6"/>
    <n v="0"/>
    <x v="1"/>
    <m/>
    <x v="1"/>
  </r>
  <r>
    <n v="15"/>
    <x v="0"/>
    <x v="0"/>
    <n v="7.8"/>
    <x v="2"/>
    <n v="4.2"/>
    <n v="2.1"/>
    <n v="9.9"/>
    <n v="3.42"/>
    <x v="0"/>
    <n v="0"/>
    <x v="0"/>
    <n v="10"/>
    <n v="7"/>
    <n v="9"/>
    <n v="1"/>
    <x v="14"/>
    <m/>
    <x v="2"/>
  </r>
  <r>
    <n v="19"/>
    <x v="1"/>
    <x v="1"/>
    <n v="2.1"/>
    <x v="2"/>
    <n v="4.4000000000000004"/>
    <n v="2.2000000000000002"/>
    <n v="4.3000000000000007"/>
    <n v="2.4700000000000002"/>
    <x v="2"/>
    <n v="0.7"/>
    <x v="1"/>
    <n v="9"/>
    <n v="5"/>
    <n v="6"/>
    <n v="0"/>
    <x v="8"/>
    <m/>
    <x v="2"/>
  </r>
  <r>
    <n v="14"/>
    <x v="0"/>
    <x v="1"/>
    <n v="5.5"/>
    <x v="2"/>
    <n v="5.7"/>
    <n v="2.2999999999999998"/>
    <n v="7.8"/>
    <n v="3.05"/>
    <x v="0"/>
    <n v="1.3"/>
    <x v="2"/>
    <n v="7"/>
    <n v="8"/>
    <n v="5"/>
    <n v="1"/>
    <x v="7"/>
    <m/>
    <x v="2"/>
  </r>
  <r>
    <n v="15"/>
    <x v="0"/>
    <x v="1"/>
    <n v="5.7"/>
    <x v="0"/>
    <n v="7.2"/>
    <n v="2.4"/>
    <n v="8.1"/>
    <n v="2.1800000000000002"/>
    <x v="2"/>
    <n v="1.6"/>
    <x v="2"/>
    <n v="5"/>
    <n v="1"/>
    <n v="7"/>
    <n v="0"/>
    <x v="18"/>
    <m/>
    <x v="1"/>
  </r>
  <r>
    <n v="15"/>
    <x v="0"/>
    <x v="1"/>
    <n v="5"/>
    <x v="1"/>
    <n v="6.3"/>
    <n v="1.5"/>
    <n v="6.5"/>
    <n v="2.67"/>
    <x v="3"/>
    <n v="1.1000000000000001"/>
    <x v="1"/>
    <n v="6"/>
    <n v="2"/>
    <n v="5"/>
    <n v="0"/>
    <x v="18"/>
    <m/>
    <x v="1"/>
  </r>
  <r>
    <n v="16"/>
    <x v="1"/>
    <x v="1"/>
    <n v="7.5"/>
    <x v="2"/>
    <n v="4"/>
    <n v="0.5"/>
    <n v="8"/>
    <n v="3.72"/>
    <x v="1"/>
    <n v="1.1000000000000001"/>
    <x v="2"/>
    <n v="4"/>
    <n v="5"/>
    <n v="7"/>
    <n v="0"/>
    <x v="13"/>
    <m/>
    <x v="1"/>
  </r>
  <r>
    <n v="17"/>
    <x v="1"/>
    <x v="0"/>
    <n v="2.2000000000000002"/>
    <x v="1"/>
    <n v="7.1"/>
    <n v="1.1000000000000001"/>
    <n v="3.3000000000000003"/>
    <n v="2.5"/>
    <x v="3"/>
    <n v="1.5"/>
    <x v="0"/>
    <n v="2"/>
    <n v="1"/>
    <n v="2"/>
    <n v="0"/>
    <x v="0"/>
    <m/>
    <x v="0"/>
  </r>
  <r>
    <n v="15"/>
    <x v="0"/>
    <x v="1"/>
    <n v="7.3"/>
    <x v="0"/>
    <n v="4.0999999999999996"/>
    <n v="2.1"/>
    <n v="9.4"/>
    <n v="2.87"/>
    <x v="3"/>
    <n v="0.4"/>
    <x v="0"/>
    <n v="10"/>
    <n v="10"/>
    <n v="1"/>
    <n v="1"/>
    <x v="10"/>
    <m/>
    <x v="2"/>
  </r>
  <r>
    <n v="17"/>
    <x v="1"/>
    <x v="0"/>
    <n v="2.7"/>
    <x v="0"/>
    <n v="7.5"/>
    <n v="1.5"/>
    <n v="4.2"/>
    <n v="3.23"/>
    <x v="0"/>
    <n v="1.4"/>
    <x v="0"/>
    <n v="5"/>
    <n v="7"/>
    <n v="3"/>
    <n v="0"/>
    <x v="5"/>
    <m/>
    <x v="1"/>
  </r>
  <r>
    <n v="18"/>
    <x v="1"/>
    <x v="0"/>
    <n v="1.6"/>
    <x v="0"/>
    <n v="8.6"/>
    <n v="2.6"/>
    <n v="4.2"/>
    <n v="3.53"/>
    <x v="0"/>
    <n v="0.1"/>
    <x v="2"/>
    <n v="8"/>
    <n v="8"/>
    <n v="10"/>
    <n v="0"/>
    <x v="19"/>
    <m/>
    <x v="2"/>
  </r>
  <r>
    <n v="14"/>
    <x v="0"/>
    <x v="0"/>
    <n v="4"/>
    <x v="1"/>
    <n v="4.9000000000000004"/>
    <n v="2.7"/>
    <n v="6.7"/>
    <n v="2.2999999999999998"/>
    <x v="2"/>
    <n v="0.5"/>
    <x v="1"/>
    <n v="7"/>
    <n v="8"/>
    <n v="6"/>
    <n v="0"/>
    <x v="7"/>
    <m/>
    <x v="2"/>
  </r>
  <r>
    <n v="18"/>
    <x v="1"/>
    <x v="1"/>
    <n v="6.3"/>
    <x v="2"/>
    <n v="4.7"/>
    <n v="2.4"/>
    <n v="8.6999999999999993"/>
    <n v="2.2999999999999998"/>
    <x v="2"/>
    <n v="0.9"/>
    <x v="2"/>
    <n v="6"/>
    <n v="1"/>
    <n v="6"/>
    <n v="0"/>
    <x v="18"/>
    <m/>
    <x v="1"/>
  </r>
  <r>
    <n v="16"/>
    <x v="1"/>
    <x v="1"/>
    <n v="6.8"/>
    <x v="1"/>
    <n v="7.1"/>
    <n v="2.9"/>
    <n v="9.6999999999999993"/>
    <n v="3.26"/>
    <x v="0"/>
    <n v="0.6"/>
    <x v="0"/>
    <n v="6"/>
    <n v="10"/>
    <n v="4"/>
    <n v="0"/>
    <x v="8"/>
    <m/>
    <x v="2"/>
  </r>
  <r>
    <n v="18"/>
    <x v="1"/>
    <x v="1"/>
    <n v="6.6"/>
    <x v="2"/>
    <n v="8.1"/>
    <n v="2"/>
    <n v="8.6"/>
    <n v="3.59"/>
    <x v="0"/>
    <n v="1.6"/>
    <x v="0"/>
    <n v="9"/>
    <n v="4"/>
    <n v="3"/>
    <n v="0"/>
    <x v="13"/>
    <m/>
    <x v="1"/>
  </r>
  <r>
    <n v="13"/>
    <x v="0"/>
    <x v="0"/>
    <n v="4"/>
    <x v="0"/>
    <n v="4.2"/>
    <n v="0.9"/>
    <n v="4.9000000000000004"/>
    <n v="2.75"/>
    <x v="3"/>
    <n v="1"/>
    <x v="1"/>
    <n v="5"/>
    <n v="4"/>
    <n v="8"/>
    <n v="0"/>
    <x v="3"/>
    <m/>
    <x v="1"/>
  </r>
  <r>
    <n v="13"/>
    <x v="0"/>
    <x v="0"/>
    <n v="1.6"/>
    <x v="1"/>
    <n v="5"/>
    <n v="2.7"/>
    <n v="4.3000000000000007"/>
    <n v="2.31"/>
    <x v="2"/>
    <n v="1.9"/>
    <x v="0"/>
    <n v="8"/>
    <n v="9"/>
    <n v="5"/>
    <n v="0"/>
    <x v="10"/>
    <m/>
    <x v="2"/>
  </r>
  <r>
    <n v="18"/>
    <x v="1"/>
    <x v="0"/>
    <n v="5.3"/>
    <x v="2"/>
    <n v="8.1999999999999993"/>
    <n v="1.9"/>
    <n v="7.1999999999999993"/>
    <n v="3.87"/>
    <x v="1"/>
    <n v="1.9"/>
    <x v="0"/>
    <n v="2"/>
    <n v="9"/>
    <n v="8"/>
    <n v="0"/>
    <x v="1"/>
    <m/>
    <x v="1"/>
  </r>
  <r>
    <n v="19"/>
    <x v="1"/>
    <x v="1"/>
    <n v="7.4"/>
    <x v="2"/>
    <n v="4.4000000000000004"/>
    <n v="1.4"/>
    <n v="8.8000000000000007"/>
    <n v="3.78"/>
    <x v="1"/>
    <n v="1.1000000000000001"/>
    <x v="0"/>
    <n v="9"/>
    <n v="7"/>
    <n v="5"/>
    <n v="1"/>
    <x v="10"/>
    <m/>
    <x v="2"/>
  </r>
  <r>
    <n v="18"/>
    <x v="1"/>
    <x v="1"/>
    <n v="2.2999999999999998"/>
    <x v="0"/>
    <n v="8.6999999999999993"/>
    <n v="0.6"/>
    <n v="2.9"/>
    <n v="2.76"/>
    <x v="3"/>
    <n v="1.9"/>
    <x v="1"/>
    <n v="4"/>
    <n v="8"/>
    <n v="7"/>
    <n v="0"/>
    <x v="1"/>
    <m/>
    <x v="1"/>
  </r>
  <r>
    <n v="16"/>
    <x v="1"/>
    <x v="0"/>
    <n v="7.6"/>
    <x v="2"/>
    <n v="6.1"/>
    <n v="0.8"/>
    <n v="8.4"/>
    <n v="3.09"/>
    <x v="0"/>
    <n v="1.3"/>
    <x v="0"/>
    <n v="8"/>
    <n v="4"/>
    <n v="4"/>
    <n v="0"/>
    <x v="13"/>
    <m/>
    <x v="1"/>
  </r>
  <r>
    <n v="16"/>
    <x v="1"/>
    <x v="1"/>
    <n v="7.6"/>
    <x v="1"/>
    <n v="7.6"/>
    <n v="2.4"/>
    <n v="10"/>
    <n v="2.2400000000000002"/>
    <x v="2"/>
    <n v="1.1000000000000001"/>
    <x v="2"/>
    <n v="1"/>
    <n v="5"/>
    <n v="5"/>
    <n v="0"/>
    <x v="12"/>
    <m/>
    <x v="1"/>
  </r>
  <r>
    <n v="17"/>
    <x v="1"/>
    <x v="1"/>
    <n v="3.4"/>
    <x v="2"/>
    <n v="4.7"/>
    <n v="0.5"/>
    <n v="3.9"/>
    <n v="2.91"/>
    <x v="3"/>
    <n v="2"/>
    <x v="1"/>
    <n v="2"/>
    <n v="8"/>
    <n v="1"/>
    <n v="0"/>
    <x v="12"/>
    <m/>
    <x v="1"/>
  </r>
  <r>
    <n v="18"/>
    <x v="1"/>
    <x v="1"/>
    <n v="2.2999999999999998"/>
    <x v="0"/>
    <n v="4.2"/>
    <n v="0.9"/>
    <n v="3.1999999999999997"/>
    <n v="3.84"/>
    <x v="1"/>
    <n v="1.3"/>
    <x v="1"/>
    <n v="6"/>
    <n v="6"/>
    <n v="10"/>
    <n v="0"/>
    <x v="10"/>
    <m/>
    <x v="2"/>
  </r>
  <r>
    <n v="18"/>
    <x v="1"/>
    <x v="0"/>
    <n v="5"/>
    <x v="0"/>
    <n v="4.3"/>
    <n v="1.1000000000000001"/>
    <n v="6.1"/>
    <n v="2.2200000000000002"/>
    <x v="2"/>
    <n v="0.1"/>
    <x v="1"/>
    <n v="7"/>
    <n v="2"/>
    <n v="2"/>
    <n v="0"/>
    <x v="12"/>
    <m/>
    <x v="1"/>
  </r>
  <r>
    <n v="15"/>
    <x v="0"/>
    <x v="0"/>
    <n v="3.8"/>
    <x v="1"/>
    <n v="7.1"/>
    <n v="0.5"/>
    <n v="4.3"/>
    <n v="3.08"/>
    <x v="0"/>
    <n v="0.2"/>
    <x v="2"/>
    <n v="2"/>
    <n v="9"/>
    <n v="7"/>
    <n v="0"/>
    <x v="11"/>
    <m/>
    <x v="1"/>
  </r>
  <r>
    <n v="16"/>
    <x v="1"/>
    <x v="0"/>
    <n v="3.7"/>
    <x v="0"/>
    <n v="7.6"/>
    <n v="1.2"/>
    <n v="4.9000000000000004"/>
    <n v="3.2"/>
    <x v="0"/>
    <n v="1"/>
    <x v="2"/>
    <n v="4"/>
    <n v="8"/>
    <n v="6"/>
    <n v="0"/>
    <x v="11"/>
    <m/>
    <x v="1"/>
  </r>
  <r>
    <n v="13"/>
    <x v="0"/>
    <x v="0"/>
    <n v="1.4"/>
    <x v="2"/>
    <n v="8.6"/>
    <n v="2.4"/>
    <n v="3.8"/>
    <n v="3.31"/>
    <x v="0"/>
    <n v="0.7"/>
    <x v="0"/>
    <n v="2"/>
    <n v="6"/>
    <n v="2"/>
    <n v="0"/>
    <x v="4"/>
    <m/>
    <x v="1"/>
  </r>
  <r>
    <n v="18"/>
    <x v="1"/>
    <x v="0"/>
    <n v="1.8"/>
    <x v="2"/>
    <n v="4.9000000000000004"/>
    <n v="2.7"/>
    <n v="4.5"/>
    <n v="2.12"/>
    <x v="2"/>
    <n v="0.2"/>
    <x v="0"/>
    <n v="1"/>
    <n v="3"/>
    <n v="8"/>
    <n v="0"/>
    <x v="17"/>
    <m/>
    <x v="1"/>
  </r>
  <r>
    <n v="19"/>
    <x v="1"/>
    <x v="0"/>
    <n v="1.5"/>
    <x v="1"/>
    <n v="5.8"/>
    <n v="1.1000000000000001"/>
    <n v="2.6"/>
    <n v="3.29"/>
    <x v="0"/>
    <n v="1.7"/>
    <x v="1"/>
    <n v="6"/>
    <n v="4"/>
    <n v="2"/>
    <n v="0"/>
    <x v="17"/>
    <m/>
    <x v="1"/>
  </r>
  <r>
    <n v="18"/>
    <x v="1"/>
    <x v="1"/>
    <n v="5.5"/>
    <x v="2"/>
    <n v="5.5"/>
    <n v="1.8"/>
    <n v="7.3"/>
    <n v="2.2400000000000002"/>
    <x v="2"/>
    <n v="0"/>
    <x v="1"/>
    <n v="3"/>
    <n v="4"/>
    <n v="10"/>
    <n v="0"/>
    <x v="3"/>
    <m/>
    <x v="1"/>
  </r>
  <r>
    <n v="15"/>
    <x v="0"/>
    <x v="0"/>
    <n v="4.9000000000000004"/>
    <x v="2"/>
    <n v="5.2"/>
    <n v="0.7"/>
    <n v="5.6000000000000005"/>
    <n v="2.5499999999999998"/>
    <x v="3"/>
    <n v="0.1"/>
    <x v="0"/>
    <n v="10"/>
    <n v="6"/>
    <n v="4"/>
    <n v="0"/>
    <x v="8"/>
    <m/>
    <x v="2"/>
  </r>
  <r>
    <n v="14"/>
    <x v="0"/>
    <x v="1"/>
    <n v="7.2"/>
    <x v="2"/>
    <n v="7"/>
    <n v="2.2999999999999998"/>
    <n v="9.5"/>
    <n v="3.74"/>
    <x v="1"/>
    <n v="0.7"/>
    <x v="0"/>
    <n v="8"/>
    <n v="4"/>
    <n v="7"/>
    <n v="0"/>
    <x v="1"/>
    <m/>
    <x v="1"/>
  </r>
  <r>
    <n v="16"/>
    <x v="1"/>
    <x v="1"/>
    <n v="6.8"/>
    <x v="0"/>
    <n v="7.2"/>
    <n v="1.1000000000000001"/>
    <n v="7.9"/>
    <n v="2.29"/>
    <x v="2"/>
    <n v="1.9"/>
    <x v="0"/>
    <n v="8"/>
    <n v="5"/>
    <n v="9"/>
    <n v="0"/>
    <x v="10"/>
    <m/>
    <x v="2"/>
  </r>
  <r>
    <n v="13"/>
    <x v="0"/>
    <x v="1"/>
    <n v="2.2000000000000002"/>
    <x v="2"/>
    <n v="7.7"/>
    <n v="2.1"/>
    <n v="4.3000000000000007"/>
    <n v="2.33"/>
    <x v="2"/>
    <n v="1.7"/>
    <x v="0"/>
    <n v="2"/>
    <n v="8"/>
    <n v="7"/>
    <n v="0"/>
    <x v="3"/>
    <m/>
    <x v="1"/>
  </r>
  <r>
    <n v="16"/>
    <x v="1"/>
    <x v="1"/>
    <n v="5.9"/>
    <x v="1"/>
    <n v="7"/>
    <n v="0.8"/>
    <n v="6.7"/>
    <n v="2.29"/>
    <x v="2"/>
    <n v="1.6"/>
    <x v="0"/>
    <n v="6"/>
    <n v="8"/>
    <n v="1"/>
    <n v="0"/>
    <x v="5"/>
    <m/>
    <x v="1"/>
  </r>
  <r>
    <n v="15"/>
    <x v="0"/>
    <x v="1"/>
    <n v="2.2000000000000002"/>
    <x v="0"/>
    <n v="7.5"/>
    <n v="1.4"/>
    <n v="3.6"/>
    <n v="3.19"/>
    <x v="0"/>
    <n v="1.8"/>
    <x v="0"/>
    <n v="6"/>
    <n v="1"/>
    <n v="7"/>
    <n v="0"/>
    <x v="15"/>
    <m/>
    <x v="1"/>
  </r>
  <r>
    <n v="19"/>
    <x v="1"/>
    <x v="1"/>
    <n v="2.4"/>
    <x v="0"/>
    <n v="4.2"/>
    <n v="1.2"/>
    <n v="3.5999999999999996"/>
    <n v="3.87"/>
    <x v="1"/>
    <n v="1.3"/>
    <x v="0"/>
    <n v="1"/>
    <n v="9"/>
    <n v="5"/>
    <n v="0"/>
    <x v="5"/>
    <m/>
    <x v="1"/>
  </r>
  <r>
    <n v="15"/>
    <x v="0"/>
    <x v="0"/>
    <n v="4.0999999999999996"/>
    <x v="0"/>
    <n v="7.6"/>
    <n v="1"/>
    <n v="5.0999999999999996"/>
    <n v="2.17"/>
    <x v="2"/>
    <n v="1.1000000000000001"/>
    <x v="0"/>
    <n v="4"/>
    <n v="5"/>
    <n v="1"/>
    <n v="0"/>
    <x v="4"/>
    <m/>
    <x v="1"/>
  </r>
  <r>
    <n v="18"/>
    <x v="1"/>
    <x v="1"/>
    <n v="4.5"/>
    <x v="0"/>
    <n v="7"/>
    <n v="2.7"/>
    <n v="7.2"/>
    <n v="2.89"/>
    <x v="3"/>
    <n v="1.8"/>
    <x v="1"/>
    <n v="1"/>
    <n v="1"/>
    <n v="2"/>
    <n v="0"/>
    <x v="23"/>
    <m/>
    <x v="0"/>
  </r>
  <r>
    <n v="14"/>
    <x v="0"/>
    <x v="1"/>
    <n v="4.5999999999999996"/>
    <x v="0"/>
    <n v="5.9"/>
    <n v="1.4"/>
    <n v="6"/>
    <n v="2.15"/>
    <x v="2"/>
    <n v="0.3"/>
    <x v="1"/>
    <n v="3"/>
    <n v="10"/>
    <n v="2"/>
    <n v="0"/>
    <x v="5"/>
    <m/>
    <x v="1"/>
  </r>
  <r>
    <n v="17"/>
    <x v="1"/>
    <x v="1"/>
    <n v="4.5"/>
    <x v="2"/>
    <n v="6.1"/>
    <n v="2.8"/>
    <n v="7.3"/>
    <n v="3.38"/>
    <x v="0"/>
    <n v="1.2"/>
    <x v="0"/>
    <n v="10"/>
    <n v="4"/>
    <n v="2"/>
    <n v="0"/>
    <x v="13"/>
    <m/>
    <x v="1"/>
  </r>
  <r>
    <n v="13"/>
    <x v="0"/>
    <x v="0"/>
    <n v="5"/>
    <x v="0"/>
    <n v="5.2"/>
    <n v="2.6"/>
    <n v="7.6"/>
    <n v="2.04"/>
    <x v="2"/>
    <n v="1.7"/>
    <x v="2"/>
    <n v="4"/>
    <n v="4"/>
    <n v="5"/>
    <n v="0"/>
    <x v="18"/>
    <m/>
    <x v="1"/>
  </r>
  <r>
    <n v="19"/>
    <x v="1"/>
    <x v="1"/>
    <n v="4.0999999999999996"/>
    <x v="2"/>
    <n v="6.4"/>
    <n v="1.4"/>
    <n v="5.5"/>
    <n v="2.2599999999999998"/>
    <x v="2"/>
    <n v="1.6"/>
    <x v="1"/>
    <n v="2"/>
    <n v="3"/>
    <n v="6"/>
    <n v="0"/>
    <x v="12"/>
    <m/>
    <x v="1"/>
  </r>
  <r>
    <n v="18"/>
    <x v="1"/>
    <x v="0"/>
    <n v="7.5"/>
    <x v="1"/>
    <n v="7.6"/>
    <n v="1.8"/>
    <n v="9.3000000000000007"/>
    <n v="3.19"/>
    <x v="0"/>
    <n v="1.7"/>
    <x v="1"/>
    <n v="2"/>
    <n v="6"/>
    <n v="6"/>
    <n v="0"/>
    <x v="15"/>
    <m/>
    <x v="1"/>
  </r>
  <r>
    <n v="18"/>
    <x v="1"/>
    <x v="0"/>
    <n v="4.2"/>
    <x v="0"/>
    <n v="5.5"/>
    <n v="1.8"/>
    <n v="6"/>
    <n v="3.83"/>
    <x v="1"/>
    <n v="1.9"/>
    <x v="0"/>
    <n v="3"/>
    <n v="8"/>
    <n v="8"/>
    <n v="0"/>
    <x v="1"/>
    <m/>
    <x v="1"/>
  </r>
  <r>
    <n v="14"/>
    <x v="0"/>
    <x v="1"/>
    <n v="7.2"/>
    <x v="2"/>
    <n v="5"/>
    <n v="2.9"/>
    <n v="10.1"/>
    <n v="3.76"/>
    <x v="1"/>
    <n v="0.4"/>
    <x v="2"/>
    <n v="7"/>
    <n v="4"/>
    <n v="2"/>
    <n v="0"/>
    <x v="18"/>
    <m/>
    <x v="1"/>
  </r>
  <r>
    <n v="13"/>
    <x v="0"/>
    <x v="0"/>
    <n v="4.8"/>
    <x v="0"/>
    <n v="6"/>
    <n v="0.6"/>
    <n v="5.3999999999999995"/>
    <n v="2.41"/>
    <x v="2"/>
    <n v="0"/>
    <x v="1"/>
    <n v="3"/>
    <n v="6"/>
    <n v="9"/>
    <n v="0"/>
    <x v="11"/>
    <m/>
    <x v="1"/>
  </r>
  <r>
    <n v="17"/>
    <x v="1"/>
    <x v="1"/>
    <n v="7.3"/>
    <x v="0"/>
    <n v="6.7"/>
    <n v="1"/>
    <n v="8.3000000000000007"/>
    <n v="3.41"/>
    <x v="0"/>
    <n v="1.7"/>
    <x v="2"/>
    <n v="6"/>
    <n v="5"/>
    <n v="2"/>
    <n v="0"/>
    <x v="18"/>
    <m/>
    <x v="1"/>
  </r>
  <r>
    <n v="13"/>
    <x v="0"/>
    <x v="0"/>
    <n v="3.9"/>
    <x v="2"/>
    <n v="4.5"/>
    <n v="1.6"/>
    <n v="5.5"/>
    <n v="2.02"/>
    <x v="2"/>
    <n v="0.6"/>
    <x v="1"/>
    <n v="6"/>
    <n v="6"/>
    <n v="5"/>
    <n v="0"/>
    <x v="3"/>
    <m/>
    <x v="1"/>
  </r>
  <r>
    <n v="15"/>
    <x v="0"/>
    <x v="1"/>
    <n v="5.5"/>
    <x v="2"/>
    <n v="4"/>
    <n v="2.4"/>
    <n v="7.9"/>
    <n v="3.01"/>
    <x v="0"/>
    <n v="0.9"/>
    <x v="0"/>
    <n v="10"/>
    <n v="3"/>
    <n v="2"/>
    <n v="0"/>
    <x v="5"/>
    <m/>
    <x v="1"/>
  </r>
  <r>
    <n v="15"/>
    <x v="0"/>
    <x v="0"/>
    <n v="7.5"/>
    <x v="2"/>
    <n v="6.3"/>
    <n v="2.8"/>
    <n v="10.3"/>
    <n v="3.04"/>
    <x v="0"/>
    <n v="1.8"/>
    <x v="0"/>
    <n v="1"/>
    <n v="5"/>
    <n v="8"/>
    <n v="0"/>
    <x v="15"/>
    <m/>
    <x v="1"/>
  </r>
  <r>
    <n v="17"/>
    <x v="1"/>
    <x v="0"/>
    <n v="1.8"/>
    <x v="0"/>
    <n v="6.9"/>
    <n v="2.7"/>
    <n v="4.5"/>
    <n v="2.5299999999999998"/>
    <x v="3"/>
    <n v="1.7"/>
    <x v="1"/>
    <n v="2"/>
    <n v="2"/>
    <n v="7"/>
    <n v="0"/>
    <x v="12"/>
    <m/>
    <x v="1"/>
  </r>
  <r>
    <n v="16"/>
    <x v="1"/>
    <x v="0"/>
    <n v="2.6"/>
    <x v="0"/>
    <n v="5.0999999999999996"/>
    <n v="0.9"/>
    <n v="3.5"/>
    <n v="2.57"/>
    <x v="3"/>
    <n v="1.4"/>
    <x v="2"/>
    <n v="8"/>
    <n v="5"/>
    <n v="8"/>
    <n v="0"/>
    <x v="7"/>
    <m/>
    <x v="2"/>
  </r>
  <r>
    <n v="17"/>
    <x v="1"/>
    <x v="1"/>
    <n v="5.5"/>
    <x v="2"/>
    <n v="6"/>
    <n v="2.8"/>
    <n v="8.3000000000000007"/>
    <n v="3.4"/>
    <x v="0"/>
    <n v="0"/>
    <x v="2"/>
    <n v="2"/>
    <n v="3"/>
    <n v="8"/>
    <n v="0"/>
    <x v="18"/>
    <m/>
    <x v="1"/>
  </r>
  <r>
    <n v="15"/>
    <x v="0"/>
    <x v="1"/>
    <n v="3.6"/>
    <x v="1"/>
    <n v="7.1"/>
    <n v="0.9"/>
    <n v="4.5"/>
    <n v="2.84"/>
    <x v="3"/>
    <n v="0.3"/>
    <x v="0"/>
    <n v="1"/>
    <n v="9"/>
    <n v="4"/>
    <n v="0"/>
    <x v="15"/>
    <m/>
    <x v="1"/>
  </r>
  <r>
    <n v="19"/>
    <x v="1"/>
    <x v="1"/>
    <n v="7.6"/>
    <x v="2"/>
    <n v="5.4"/>
    <n v="1.9"/>
    <n v="9.5"/>
    <n v="2.56"/>
    <x v="3"/>
    <n v="1.4"/>
    <x v="0"/>
    <n v="2"/>
    <n v="7"/>
    <n v="9"/>
    <n v="0"/>
    <x v="11"/>
    <m/>
    <x v="1"/>
  </r>
  <r>
    <n v="13"/>
    <x v="0"/>
    <x v="0"/>
    <n v="7.9"/>
    <x v="0"/>
    <n v="7.1"/>
    <n v="0.7"/>
    <n v="8.6"/>
    <n v="2.8"/>
    <x v="3"/>
    <n v="0.3"/>
    <x v="2"/>
    <n v="6"/>
    <n v="8"/>
    <n v="8"/>
    <n v="0"/>
    <x v="10"/>
    <m/>
    <x v="2"/>
  </r>
  <r>
    <n v="15"/>
    <x v="0"/>
    <x v="0"/>
    <n v="2.6"/>
    <x v="2"/>
    <n v="6.8"/>
    <n v="1.7"/>
    <n v="4.3"/>
    <n v="2.06"/>
    <x v="2"/>
    <n v="0.4"/>
    <x v="2"/>
    <n v="8"/>
    <n v="6"/>
    <n v="6"/>
    <n v="0"/>
    <x v="8"/>
    <m/>
    <x v="2"/>
  </r>
  <r>
    <n v="19"/>
    <x v="1"/>
    <x v="0"/>
    <n v="5.7"/>
    <x v="1"/>
    <n v="6.4"/>
    <n v="0.9"/>
    <n v="6.6000000000000005"/>
    <n v="3.57"/>
    <x v="0"/>
    <n v="1.5"/>
    <x v="1"/>
    <n v="3"/>
    <n v="7"/>
    <n v="2"/>
    <n v="0"/>
    <x v="17"/>
    <m/>
    <x v="1"/>
  </r>
  <r>
    <n v="13"/>
    <x v="0"/>
    <x v="1"/>
    <n v="7.1"/>
    <x v="0"/>
    <n v="5.7"/>
    <n v="1.2"/>
    <n v="8.2999999999999989"/>
    <n v="3.83"/>
    <x v="1"/>
    <n v="2"/>
    <x v="2"/>
    <n v="2"/>
    <n v="8"/>
    <n v="7"/>
    <n v="0"/>
    <x v="3"/>
    <m/>
    <x v="1"/>
  </r>
  <r>
    <n v="13"/>
    <x v="0"/>
    <x v="1"/>
    <n v="1.3"/>
    <x v="1"/>
    <n v="8.6999999999999993"/>
    <n v="0.9"/>
    <n v="2.2000000000000002"/>
    <n v="4"/>
    <x v="1"/>
    <n v="0.1"/>
    <x v="0"/>
    <n v="10"/>
    <n v="9"/>
    <n v="9"/>
    <n v="0"/>
    <x v="24"/>
    <m/>
    <x v="2"/>
  </r>
  <r>
    <n v="13"/>
    <x v="0"/>
    <x v="1"/>
    <n v="1.1000000000000001"/>
    <x v="2"/>
    <n v="6.7"/>
    <n v="2"/>
    <n v="3.1"/>
    <n v="3.63"/>
    <x v="1"/>
    <n v="0.2"/>
    <x v="2"/>
    <n v="3"/>
    <n v="10"/>
    <n v="5"/>
    <n v="0"/>
    <x v="11"/>
    <m/>
    <x v="1"/>
  </r>
  <r>
    <n v="13"/>
    <x v="0"/>
    <x v="1"/>
    <n v="3.3"/>
    <x v="1"/>
    <n v="9"/>
    <n v="0.7"/>
    <n v="4"/>
    <n v="2.4900000000000002"/>
    <x v="2"/>
    <n v="0.6"/>
    <x v="2"/>
    <n v="3"/>
    <n v="6"/>
    <n v="4"/>
    <n v="0"/>
    <x v="18"/>
    <m/>
    <x v="1"/>
  </r>
  <r>
    <n v="16"/>
    <x v="1"/>
    <x v="0"/>
    <n v="7.4"/>
    <x v="2"/>
    <n v="7.2"/>
    <n v="1.8"/>
    <n v="9.2000000000000011"/>
    <n v="2.11"/>
    <x v="2"/>
    <n v="1.4"/>
    <x v="2"/>
    <n v="3"/>
    <n v="7"/>
    <n v="3"/>
    <n v="0"/>
    <x v="18"/>
    <m/>
    <x v="1"/>
  </r>
  <r>
    <n v="13"/>
    <x v="0"/>
    <x v="0"/>
    <n v="5.8"/>
    <x v="1"/>
    <n v="8.3000000000000007"/>
    <n v="2.8"/>
    <n v="8.6"/>
    <n v="2.63"/>
    <x v="3"/>
    <n v="0.6"/>
    <x v="1"/>
    <n v="5"/>
    <n v="3"/>
    <n v="7"/>
    <n v="0"/>
    <x v="5"/>
    <m/>
    <x v="1"/>
  </r>
  <r>
    <n v="18"/>
    <x v="1"/>
    <x v="1"/>
    <n v="4.5999999999999996"/>
    <x v="1"/>
    <n v="6.8"/>
    <n v="1.5"/>
    <n v="6.1"/>
    <n v="2.4"/>
    <x v="2"/>
    <n v="1.4"/>
    <x v="2"/>
    <n v="5"/>
    <n v="10"/>
    <n v="2"/>
    <n v="0"/>
    <x v="3"/>
    <m/>
    <x v="1"/>
  </r>
  <r>
    <n v="18"/>
    <x v="1"/>
    <x v="1"/>
    <n v="2.5"/>
    <x v="1"/>
    <n v="7.1"/>
    <n v="1.6"/>
    <n v="4.0999999999999996"/>
    <n v="3.97"/>
    <x v="1"/>
    <n v="0.7"/>
    <x v="2"/>
    <n v="10"/>
    <n v="7"/>
    <n v="3"/>
    <n v="0"/>
    <x v="8"/>
    <m/>
    <x v="2"/>
  </r>
  <r>
    <n v="18"/>
    <x v="1"/>
    <x v="0"/>
    <n v="4"/>
    <x v="2"/>
    <n v="8"/>
    <n v="2"/>
    <n v="6"/>
    <n v="3.04"/>
    <x v="0"/>
    <n v="1.4"/>
    <x v="1"/>
    <n v="3"/>
    <n v="1"/>
    <n v="8"/>
    <n v="0"/>
    <x v="17"/>
    <m/>
    <x v="1"/>
  </r>
  <r>
    <n v="17"/>
    <x v="1"/>
    <x v="1"/>
    <n v="6.6"/>
    <x v="2"/>
    <n v="8"/>
    <n v="1.9"/>
    <n v="8.5"/>
    <n v="2.86"/>
    <x v="3"/>
    <n v="0.4"/>
    <x v="2"/>
    <n v="4"/>
    <n v="8"/>
    <n v="5"/>
    <n v="0"/>
    <x v="3"/>
    <m/>
    <x v="1"/>
  </r>
  <r>
    <n v="14"/>
    <x v="0"/>
    <x v="1"/>
    <n v="2.9"/>
    <x v="1"/>
    <n v="5.8"/>
    <n v="1.6"/>
    <n v="4.5"/>
    <n v="3.34"/>
    <x v="0"/>
    <n v="1.1000000000000001"/>
    <x v="2"/>
    <n v="6"/>
    <n v="10"/>
    <n v="3"/>
    <n v="0"/>
    <x v="1"/>
    <m/>
    <x v="1"/>
  </r>
  <r>
    <n v="14"/>
    <x v="0"/>
    <x v="0"/>
    <n v="7.2"/>
    <x v="1"/>
    <n v="5.7"/>
    <n v="2.7"/>
    <n v="9.9"/>
    <n v="2.76"/>
    <x v="3"/>
    <n v="0.4"/>
    <x v="0"/>
    <n v="7"/>
    <n v="3"/>
    <n v="7"/>
    <n v="0"/>
    <x v="3"/>
    <m/>
    <x v="1"/>
  </r>
  <r>
    <n v="13"/>
    <x v="0"/>
    <x v="1"/>
    <n v="2.9"/>
    <x v="0"/>
    <n v="5.3"/>
    <n v="1"/>
    <n v="3.9"/>
    <n v="3.89"/>
    <x v="1"/>
    <n v="1.7"/>
    <x v="1"/>
    <n v="9"/>
    <n v="2"/>
    <n v="4"/>
    <n v="0"/>
    <x v="5"/>
    <m/>
    <x v="1"/>
  </r>
  <r>
    <n v="15"/>
    <x v="0"/>
    <x v="1"/>
    <n v="7.3"/>
    <x v="2"/>
    <n v="5.7"/>
    <n v="2.9"/>
    <n v="10.199999999999999"/>
    <n v="3.48"/>
    <x v="0"/>
    <n v="1.8"/>
    <x v="2"/>
    <n v="2"/>
    <n v="7"/>
    <n v="8"/>
    <n v="0"/>
    <x v="3"/>
    <m/>
    <x v="1"/>
  </r>
  <r>
    <n v="16"/>
    <x v="1"/>
    <x v="1"/>
    <n v="3.7"/>
    <x v="1"/>
    <n v="9"/>
    <n v="1.5"/>
    <n v="5.2"/>
    <n v="3.37"/>
    <x v="0"/>
    <n v="1.9"/>
    <x v="0"/>
    <n v="4"/>
    <n v="3"/>
    <n v="1"/>
    <n v="0"/>
    <x v="2"/>
    <m/>
    <x v="0"/>
  </r>
  <r>
    <n v="16"/>
    <x v="1"/>
    <x v="0"/>
    <n v="7"/>
    <x v="0"/>
    <n v="4.8"/>
    <n v="1.7"/>
    <n v="8.6999999999999993"/>
    <n v="2.9"/>
    <x v="3"/>
    <n v="0.3"/>
    <x v="0"/>
    <n v="4"/>
    <n v="1"/>
    <n v="8"/>
    <n v="0"/>
    <x v="18"/>
    <m/>
    <x v="1"/>
  </r>
  <r>
    <n v="15"/>
    <x v="0"/>
    <x v="0"/>
    <n v="4"/>
    <x v="1"/>
    <n v="8.4"/>
    <n v="2.2999999999999998"/>
    <n v="6.3"/>
    <n v="2.52"/>
    <x v="3"/>
    <n v="0.9"/>
    <x v="0"/>
    <n v="4"/>
    <n v="5"/>
    <n v="3"/>
    <n v="0"/>
    <x v="17"/>
    <m/>
    <x v="1"/>
  </r>
  <r>
    <n v="16"/>
    <x v="1"/>
    <x v="0"/>
    <n v="2.7"/>
    <x v="2"/>
    <n v="7.5"/>
    <n v="2.8"/>
    <n v="5.5"/>
    <n v="3.53"/>
    <x v="0"/>
    <n v="0.9"/>
    <x v="2"/>
    <n v="3"/>
    <n v="1"/>
    <n v="5"/>
    <n v="0"/>
    <x v="6"/>
    <m/>
    <x v="0"/>
  </r>
  <r>
    <n v="15"/>
    <x v="0"/>
    <x v="0"/>
    <n v="7.2"/>
    <x v="2"/>
    <n v="5.7"/>
    <n v="0.7"/>
    <n v="7.9"/>
    <n v="3.89"/>
    <x v="1"/>
    <n v="1"/>
    <x v="2"/>
    <n v="1"/>
    <n v="3"/>
    <n v="6"/>
    <n v="0"/>
    <x v="4"/>
    <m/>
    <x v="1"/>
  </r>
  <r>
    <n v="18"/>
    <x v="1"/>
    <x v="0"/>
    <n v="7.9"/>
    <x v="2"/>
    <n v="7"/>
    <n v="2.7"/>
    <n v="10.600000000000001"/>
    <n v="3.9"/>
    <x v="1"/>
    <n v="1"/>
    <x v="2"/>
    <n v="1"/>
    <n v="2"/>
    <n v="10"/>
    <n v="0"/>
    <x v="18"/>
    <m/>
    <x v="1"/>
  </r>
  <r>
    <n v="14"/>
    <x v="0"/>
    <x v="1"/>
    <n v="5.0999999999999996"/>
    <x v="0"/>
    <n v="5.3"/>
    <n v="2.2999999999999998"/>
    <n v="7.3999999999999995"/>
    <n v="2.31"/>
    <x v="2"/>
    <n v="0.2"/>
    <x v="1"/>
    <n v="3"/>
    <n v="3"/>
    <n v="6"/>
    <n v="0"/>
    <x v="17"/>
    <m/>
    <x v="1"/>
  </r>
  <r>
    <n v="15"/>
    <x v="0"/>
    <x v="1"/>
    <n v="6.4"/>
    <x v="2"/>
    <n v="7.7"/>
    <n v="0.7"/>
    <n v="7.1000000000000005"/>
    <n v="3.86"/>
    <x v="1"/>
    <n v="1.5"/>
    <x v="1"/>
    <n v="10"/>
    <n v="2"/>
    <n v="7"/>
    <n v="0"/>
    <x v="1"/>
    <m/>
    <x v="1"/>
  </r>
  <r>
    <n v="16"/>
    <x v="1"/>
    <x v="1"/>
    <n v="4.4000000000000004"/>
    <x v="2"/>
    <n v="4.2"/>
    <n v="2"/>
    <n v="6.4"/>
    <n v="3.89"/>
    <x v="1"/>
    <n v="1.1000000000000001"/>
    <x v="2"/>
    <n v="2"/>
    <n v="9"/>
    <n v="8"/>
    <n v="0"/>
    <x v="1"/>
    <m/>
    <x v="1"/>
  </r>
  <r>
    <n v="16"/>
    <x v="1"/>
    <x v="0"/>
    <n v="7"/>
    <x v="1"/>
    <n v="7.4"/>
    <n v="2.6"/>
    <n v="9.6"/>
    <n v="2.92"/>
    <x v="3"/>
    <n v="1"/>
    <x v="2"/>
    <n v="10"/>
    <n v="6"/>
    <n v="3"/>
    <n v="0"/>
    <x v="1"/>
    <m/>
    <x v="1"/>
  </r>
  <r>
    <n v="17"/>
    <x v="1"/>
    <x v="1"/>
    <n v="7.8"/>
    <x v="1"/>
    <n v="5.7"/>
    <n v="1.2"/>
    <n v="9"/>
    <n v="3.72"/>
    <x v="1"/>
    <n v="1.2"/>
    <x v="1"/>
    <n v="10"/>
    <n v="2"/>
    <n v="6"/>
    <n v="0"/>
    <x v="11"/>
    <m/>
    <x v="1"/>
  </r>
  <r>
    <n v="14"/>
    <x v="0"/>
    <x v="1"/>
    <n v="5"/>
    <x v="0"/>
    <n v="6.2"/>
    <n v="1"/>
    <n v="6"/>
    <n v="2"/>
    <x v="2"/>
    <n v="1.5"/>
    <x v="0"/>
    <n v="5"/>
    <n v="6"/>
    <n v="1"/>
    <n v="0"/>
    <x v="17"/>
    <m/>
    <x v="1"/>
  </r>
  <r>
    <n v="17"/>
    <x v="1"/>
    <x v="0"/>
    <n v="6.6"/>
    <x v="1"/>
    <n v="5.3"/>
    <n v="1.1000000000000001"/>
    <n v="7.6999999999999993"/>
    <n v="3.5"/>
    <x v="0"/>
    <n v="1.7"/>
    <x v="2"/>
    <n v="1"/>
    <n v="10"/>
    <n v="7"/>
    <n v="0"/>
    <x v="11"/>
    <m/>
    <x v="1"/>
  </r>
  <r>
    <n v="18"/>
    <x v="1"/>
    <x v="0"/>
    <n v="2.6"/>
    <x v="2"/>
    <n v="8.6"/>
    <n v="2.7"/>
    <n v="5.3000000000000007"/>
    <n v="3.28"/>
    <x v="0"/>
    <n v="0.8"/>
    <x v="1"/>
    <n v="5"/>
    <n v="4"/>
    <n v="6"/>
    <n v="0"/>
    <x v="5"/>
    <m/>
    <x v="1"/>
  </r>
  <r>
    <n v="13"/>
    <x v="0"/>
    <x v="1"/>
    <n v="5.8"/>
    <x v="0"/>
    <n v="4.4000000000000004"/>
    <n v="1.8"/>
    <n v="7.6"/>
    <n v="3.8"/>
    <x v="1"/>
    <n v="1"/>
    <x v="1"/>
    <n v="2"/>
    <n v="2"/>
    <n v="1"/>
    <n v="0"/>
    <x v="0"/>
    <m/>
    <x v="0"/>
  </r>
  <r>
    <n v="14"/>
    <x v="0"/>
    <x v="1"/>
    <n v="5.6"/>
    <x v="1"/>
    <n v="6.8"/>
    <n v="2.2999999999999998"/>
    <n v="7.8999999999999995"/>
    <n v="2.66"/>
    <x v="3"/>
    <n v="1.1000000000000001"/>
    <x v="1"/>
    <n v="7"/>
    <n v="6"/>
    <n v="2"/>
    <n v="0"/>
    <x v="5"/>
    <m/>
    <x v="1"/>
  </r>
  <r>
    <n v="18"/>
    <x v="1"/>
    <x v="0"/>
    <n v="4.5999999999999996"/>
    <x v="2"/>
    <n v="4.3"/>
    <n v="2.9"/>
    <n v="7.5"/>
    <n v="2.95"/>
    <x v="3"/>
    <n v="0.6"/>
    <x v="2"/>
    <n v="7"/>
    <n v="9"/>
    <n v="8"/>
    <n v="0"/>
    <x v="16"/>
    <m/>
    <x v="2"/>
  </r>
  <r>
    <n v="19"/>
    <x v="1"/>
    <x v="0"/>
    <n v="1.4"/>
    <x v="2"/>
    <n v="4.7"/>
    <n v="0.5"/>
    <n v="1.9"/>
    <n v="3.57"/>
    <x v="0"/>
    <n v="1.7"/>
    <x v="1"/>
    <n v="1"/>
    <n v="5"/>
    <n v="6"/>
    <n v="0"/>
    <x v="17"/>
    <m/>
    <x v="1"/>
  </r>
  <r>
    <n v="13"/>
    <x v="0"/>
    <x v="1"/>
    <n v="2.9"/>
    <x v="2"/>
    <n v="8.1999999999999993"/>
    <n v="2.2999999999999998"/>
    <n v="5.1999999999999993"/>
    <n v="2.48"/>
    <x v="2"/>
    <n v="0.9"/>
    <x v="0"/>
    <n v="5"/>
    <n v="8"/>
    <n v="9"/>
    <n v="0"/>
    <x v="10"/>
    <m/>
    <x v="2"/>
  </r>
  <r>
    <n v="16"/>
    <x v="1"/>
    <x v="1"/>
    <n v="7.9"/>
    <x v="0"/>
    <n v="6.3"/>
    <n v="2.7"/>
    <n v="10.600000000000001"/>
    <n v="2.88"/>
    <x v="3"/>
    <n v="0.2"/>
    <x v="1"/>
    <n v="2"/>
    <n v="7"/>
    <n v="5"/>
    <n v="0"/>
    <x v="15"/>
    <m/>
    <x v="1"/>
  </r>
  <r>
    <n v="13"/>
    <x v="0"/>
    <x v="0"/>
    <n v="3.5"/>
    <x v="2"/>
    <n v="6.8"/>
    <n v="2.2999999999999998"/>
    <n v="5.8"/>
    <n v="2.2799999999999998"/>
    <x v="2"/>
    <n v="1"/>
    <x v="0"/>
    <n v="7"/>
    <n v="2"/>
    <n v="6"/>
    <n v="0"/>
    <x v="5"/>
    <m/>
    <x v="1"/>
  </r>
  <r>
    <n v="14"/>
    <x v="0"/>
    <x v="1"/>
    <n v="3.8"/>
    <x v="0"/>
    <n v="7.9"/>
    <n v="1.2"/>
    <n v="5"/>
    <n v="3.24"/>
    <x v="0"/>
    <n v="1.6"/>
    <x v="1"/>
    <n v="6"/>
    <n v="10"/>
    <n v="5"/>
    <n v="0"/>
    <x v="7"/>
    <m/>
    <x v="2"/>
  </r>
  <r>
    <n v="19"/>
    <x v="1"/>
    <x v="0"/>
    <n v="2.9"/>
    <x v="0"/>
    <n v="8.6999999999999993"/>
    <n v="0.9"/>
    <n v="3.8"/>
    <n v="2.99"/>
    <x v="3"/>
    <n v="0.8"/>
    <x v="2"/>
    <n v="7"/>
    <n v="8"/>
    <n v="2"/>
    <n v="0"/>
    <x v="3"/>
    <m/>
    <x v="1"/>
  </r>
  <r>
    <n v="17"/>
    <x v="1"/>
    <x v="0"/>
    <n v="3.5"/>
    <x v="2"/>
    <n v="4.5999999999999996"/>
    <n v="0.7"/>
    <n v="4.2"/>
    <n v="3.9"/>
    <x v="1"/>
    <n v="0.6"/>
    <x v="1"/>
    <n v="7"/>
    <n v="3"/>
    <n v="1"/>
    <n v="0"/>
    <x v="12"/>
    <m/>
    <x v="1"/>
  </r>
  <r>
    <n v="16"/>
    <x v="1"/>
    <x v="0"/>
    <n v="4.8"/>
    <x v="0"/>
    <n v="8.6"/>
    <n v="1.8"/>
    <n v="6.6"/>
    <n v="2.44"/>
    <x v="2"/>
    <n v="1.7"/>
    <x v="1"/>
    <n v="8"/>
    <n v="7"/>
    <n v="3"/>
    <n v="0"/>
    <x v="11"/>
    <m/>
    <x v="1"/>
  </r>
  <r>
    <n v="13"/>
    <x v="0"/>
    <x v="0"/>
    <n v="5.8"/>
    <x v="1"/>
    <n v="7.2"/>
    <n v="1.1000000000000001"/>
    <n v="6.9"/>
    <n v="2.69"/>
    <x v="3"/>
    <n v="0.4"/>
    <x v="0"/>
    <n v="7"/>
    <n v="3"/>
    <n v="7"/>
    <n v="0"/>
    <x v="3"/>
    <m/>
    <x v="1"/>
  </r>
  <r>
    <n v="16"/>
    <x v="1"/>
    <x v="1"/>
    <n v="6.1"/>
    <x v="2"/>
    <n v="7.5"/>
    <n v="2.5"/>
    <n v="8.6"/>
    <n v="3.14"/>
    <x v="0"/>
    <n v="0.5"/>
    <x v="0"/>
    <n v="9"/>
    <n v="6"/>
    <n v="10"/>
    <n v="0"/>
    <x v="20"/>
    <m/>
    <x v="2"/>
  </r>
  <r>
    <n v="14"/>
    <x v="0"/>
    <x v="1"/>
    <n v="4.3"/>
    <x v="2"/>
    <n v="7.8"/>
    <n v="0.5"/>
    <n v="4.8"/>
    <n v="3.92"/>
    <x v="1"/>
    <n v="0.7"/>
    <x v="1"/>
    <n v="3"/>
    <n v="4"/>
    <n v="8"/>
    <n v="0"/>
    <x v="5"/>
    <m/>
    <x v="1"/>
  </r>
  <r>
    <n v="15"/>
    <x v="0"/>
    <x v="1"/>
    <n v="7.8"/>
    <x v="0"/>
    <n v="4.5999999999999996"/>
    <n v="3"/>
    <n v="10.8"/>
    <n v="2.44"/>
    <x v="2"/>
    <n v="1.4"/>
    <x v="2"/>
    <n v="8"/>
    <n v="10"/>
    <n v="6"/>
    <n v="1"/>
    <x v="20"/>
    <m/>
    <x v="2"/>
  </r>
  <r>
    <n v="15"/>
    <x v="0"/>
    <x v="1"/>
    <n v="5.2"/>
    <x v="1"/>
    <n v="7.5"/>
    <n v="1.1000000000000001"/>
    <n v="6.3000000000000007"/>
    <n v="3.61"/>
    <x v="1"/>
    <n v="0.1"/>
    <x v="0"/>
    <n v="4"/>
    <n v="6"/>
    <n v="7"/>
    <n v="0"/>
    <x v="3"/>
    <m/>
    <x v="1"/>
  </r>
  <r>
    <n v="17"/>
    <x v="1"/>
    <x v="0"/>
    <n v="3.5"/>
    <x v="0"/>
    <n v="4.3"/>
    <n v="2.2000000000000002"/>
    <n v="5.7"/>
    <n v="3.19"/>
    <x v="0"/>
    <n v="1"/>
    <x v="1"/>
    <n v="4"/>
    <n v="5"/>
    <n v="9"/>
    <n v="0"/>
    <x v="11"/>
    <m/>
    <x v="1"/>
  </r>
  <r>
    <n v="16"/>
    <x v="1"/>
    <x v="1"/>
    <n v="6.5"/>
    <x v="1"/>
    <n v="4.5999999999999996"/>
    <n v="1.8"/>
    <n v="8.3000000000000007"/>
    <n v="2.2000000000000002"/>
    <x v="2"/>
    <n v="1.2"/>
    <x v="0"/>
    <n v="7"/>
    <n v="4"/>
    <n v="4"/>
    <n v="0"/>
    <x v="5"/>
    <m/>
    <x v="1"/>
  </r>
  <r>
    <n v="17"/>
    <x v="1"/>
    <x v="0"/>
    <n v="4.7"/>
    <x v="1"/>
    <n v="7.2"/>
    <n v="2.7"/>
    <n v="7.4"/>
    <n v="2.06"/>
    <x v="2"/>
    <n v="1.4"/>
    <x v="0"/>
    <n v="3"/>
    <n v="1"/>
    <n v="4"/>
    <n v="0"/>
    <x v="2"/>
    <m/>
    <x v="0"/>
  </r>
  <r>
    <n v="13"/>
    <x v="0"/>
    <x v="0"/>
    <n v="2.5"/>
    <x v="0"/>
    <n v="6.3"/>
    <n v="1.8"/>
    <n v="4.3"/>
    <n v="2.2000000000000002"/>
    <x v="2"/>
    <n v="0.1"/>
    <x v="1"/>
    <n v="9"/>
    <n v="3"/>
    <n v="9"/>
    <n v="0"/>
    <x v="7"/>
    <m/>
    <x v="2"/>
  </r>
  <r>
    <n v="19"/>
    <x v="1"/>
    <x v="1"/>
    <n v="5.5"/>
    <x v="1"/>
    <n v="7.4"/>
    <n v="2"/>
    <n v="7.5"/>
    <n v="2.8"/>
    <x v="3"/>
    <n v="1.8"/>
    <x v="1"/>
    <n v="9"/>
    <n v="8"/>
    <n v="10"/>
    <n v="0"/>
    <x v="14"/>
    <m/>
    <x v="2"/>
  </r>
  <r>
    <n v="15"/>
    <x v="0"/>
    <x v="1"/>
    <n v="3.5"/>
    <x v="0"/>
    <n v="8"/>
    <n v="1.9"/>
    <n v="5.4"/>
    <n v="3.45"/>
    <x v="0"/>
    <n v="1.5"/>
    <x v="1"/>
    <n v="10"/>
    <n v="4"/>
    <n v="1"/>
    <n v="0"/>
    <x v="5"/>
    <m/>
    <x v="1"/>
  </r>
  <r>
    <n v="14"/>
    <x v="0"/>
    <x v="1"/>
    <n v="4.5999999999999996"/>
    <x v="1"/>
    <n v="7"/>
    <n v="1.6"/>
    <n v="6.1999999999999993"/>
    <n v="2.74"/>
    <x v="3"/>
    <n v="0.9"/>
    <x v="0"/>
    <n v="3"/>
    <n v="2"/>
    <n v="9"/>
    <n v="0"/>
    <x v="15"/>
    <m/>
    <x v="1"/>
  </r>
  <r>
    <n v="13"/>
    <x v="0"/>
    <x v="1"/>
    <n v="3.5"/>
    <x v="0"/>
    <n v="6.9"/>
    <n v="1.6"/>
    <n v="5.0999999999999996"/>
    <n v="2.08"/>
    <x v="2"/>
    <n v="0.7"/>
    <x v="0"/>
    <n v="9"/>
    <n v="9"/>
    <n v="9"/>
    <n v="0"/>
    <x v="14"/>
    <m/>
    <x v="2"/>
  </r>
  <r>
    <n v="19"/>
    <x v="1"/>
    <x v="0"/>
    <n v="1.6"/>
    <x v="1"/>
    <n v="8.6"/>
    <n v="1.4"/>
    <n v="3"/>
    <n v="2.69"/>
    <x v="3"/>
    <n v="1.6"/>
    <x v="2"/>
    <n v="4"/>
    <n v="3"/>
    <n v="4"/>
    <n v="0"/>
    <x v="12"/>
    <m/>
    <x v="1"/>
  </r>
  <r>
    <n v="13"/>
    <x v="0"/>
    <x v="1"/>
    <n v="3.2"/>
    <x v="2"/>
    <n v="5.9"/>
    <n v="0.7"/>
    <n v="3.9000000000000004"/>
    <n v="3.98"/>
    <x v="1"/>
    <n v="0.8"/>
    <x v="0"/>
    <n v="6"/>
    <n v="8"/>
    <n v="1"/>
    <n v="0"/>
    <x v="5"/>
    <m/>
    <x v="1"/>
  </r>
  <r>
    <n v="19"/>
    <x v="1"/>
    <x v="1"/>
    <n v="1.7"/>
    <x v="2"/>
    <n v="7"/>
    <n v="2.7"/>
    <n v="4.4000000000000004"/>
    <n v="2.0699999999999998"/>
    <x v="2"/>
    <n v="0.5"/>
    <x v="1"/>
    <n v="6"/>
    <n v="4"/>
    <n v="10"/>
    <n v="0"/>
    <x v="8"/>
    <m/>
    <x v="2"/>
  </r>
  <r>
    <n v="14"/>
    <x v="0"/>
    <x v="0"/>
    <n v="6.4"/>
    <x v="0"/>
    <n v="4.3"/>
    <n v="2.2999999999999998"/>
    <n v="8.6999999999999993"/>
    <n v="3.99"/>
    <x v="1"/>
    <n v="1.1000000000000001"/>
    <x v="0"/>
    <n v="7"/>
    <n v="4"/>
    <n v="3"/>
    <n v="0"/>
    <x v="15"/>
    <m/>
    <x v="1"/>
  </r>
  <r>
    <n v="13"/>
    <x v="0"/>
    <x v="1"/>
    <n v="3.3"/>
    <x v="1"/>
    <n v="6.4"/>
    <n v="1"/>
    <n v="4.3"/>
    <n v="2.4900000000000002"/>
    <x v="2"/>
    <n v="1"/>
    <x v="0"/>
    <n v="9"/>
    <n v="2"/>
    <n v="4"/>
    <n v="0"/>
    <x v="5"/>
    <m/>
    <x v="1"/>
  </r>
  <r>
    <n v="18"/>
    <x v="1"/>
    <x v="0"/>
    <n v="1.2"/>
    <x v="2"/>
    <n v="6.8"/>
    <n v="2.6"/>
    <n v="3.8"/>
    <n v="2.85"/>
    <x v="3"/>
    <n v="1.8"/>
    <x v="2"/>
    <n v="4"/>
    <n v="3"/>
    <n v="9"/>
    <n v="0"/>
    <x v="13"/>
    <m/>
    <x v="1"/>
  </r>
  <r>
    <n v="13"/>
    <x v="0"/>
    <x v="1"/>
    <n v="2.5"/>
    <x v="2"/>
    <n v="7.8"/>
    <n v="1.4"/>
    <n v="3.9"/>
    <n v="3.43"/>
    <x v="0"/>
    <n v="0.9"/>
    <x v="2"/>
    <n v="1"/>
    <n v="4"/>
    <n v="6"/>
    <n v="0"/>
    <x v="12"/>
    <m/>
    <x v="1"/>
  </r>
  <r>
    <n v="16"/>
    <x v="1"/>
    <x v="0"/>
    <n v="2.2000000000000002"/>
    <x v="1"/>
    <n v="5.0999999999999996"/>
    <n v="2.2999999999999998"/>
    <n v="4.5"/>
    <n v="3.6"/>
    <x v="1"/>
    <n v="1"/>
    <x v="1"/>
    <n v="4"/>
    <n v="7"/>
    <n v="6"/>
    <n v="0"/>
    <x v="3"/>
    <m/>
    <x v="1"/>
  </r>
  <r>
    <n v="18"/>
    <x v="1"/>
    <x v="1"/>
    <n v="5.2"/>
    <x v="2"/>
    <n v="7.1"/>
    <n v="1.9"/>
    <n v="7.1"/>
    <n v="2.87"/>
    <x v="3"/>
    <n v="1.7"/>
    <x v="2"/>
    <n v="5"/>
    <n v="8"/>
    <n v="6"/>
    <n v="0"/>
    <x v="1"/>
    <m/>
    <x v="1"/>
  </r>
  <r>
    <n v="16"/>
    <x v="1"/>
    <x v="0"/>
    <n v="7.9"/>
    <x v="0"/>
    <n v="8.6999999999999993"/>
    <n v="2.5"/>
    <n v="10.4"/>
    <n v="2.29"/>
    <x v="2"/>
    <n v="0.7"/>
    <x v="1"/>
    <n v="7"/>
    <n v="7"/>
    <n v="4"/>
    <n v="0"/>
    <x v="11"/>
    <m/>
    <x v="1"/>
  </r>
  <r>
    <n v="18"/>
    <x v="1"/>
    <x v="0"/>
    <n v="5.6"/>
    <x v="2"/>
    <n v="8"/>
    <n v="2.4"/>
    <n v="8"/>
    <n v="2.95"/>
    <x v="3"/>
    <n v="0"/>
    <x v="0"/>
    <n v="2"/>
    <n v="10"/>
    <n v="3"/>
    <n v="0"/>
    <x v="5"/>
    <m/>
    <x v="1"/>
  </r>
  <r>
    <n v="16"/>
    <x v="1"/>
    <x v="0"/>
    <n v="3.9"/>
    <x v="1"/>
    <n v="4.2"/>
    <n v="2.1"/>
    <n v="6"/>
    <n v="2.2799999999999998"/>
    <x v="2"/>
    <n v="1.1000000000000001"/>
    <x v="2"/>
    <n v="6"/>
    <n v="5"/>
    <n v="7"/>
    <n v="0"/>
    <x v="11"/>
    <m/>
    <x v="1"/>
  </r>
  <r>
    <n v="18"/>
    <x v="1"/>
    <x v="1"/>
    <n v="1.8"/>
    <x v="1"/>
    <n v="6.1"/>
    <n v="2.7"/>
    <n v="4.5"/>
    <n v="2.86"/>
    <x v="3"/>
    <n v="1.1000000000000001"/>
    <x v="0"/>
    <n v="4"/>
    <n v="2"/>
    <n v="4"/>
    <n v="0"/>
    <x v="4"/>
    <m/>
    <x v="1"/>
  </r>
  <r>
    <n v="18"/>
    <x v="1"/>
    <x v="1"/>
    <n v="5.8"/>
    <x v="2"/>
    <n v="5.0999999999999996"/>
    <n v="1.2"/>
    <n v="7"/>
    <n v="3.24"/>
    <x v="0"/>
    <n v="0.4"/>
    <x v="1"/>
    <n v="5"/>
    <n v="9"/>
    <n v="2"/>
    <n v="0"/>
    <x v="13"/>
    <m/>
    <x v="1"/>
  </r>
  <r>
    <n v="18"/>
    <x v="1"/>
    <x v="1"/>
    <n v="2.2000000000000002"/>
    <x v="0"/>
    <n v="4.4000000000000004"/>
    <n v="1.7"/>
    <n v="3.9000000000000004"/>
    <n v="2.86"/>
    <x v="3"/>
    <n v="1.1000000000000001"/>
    <x v="1"/>
    <n v="8"/>
    <n v="9"/>
    <n v="7"/>
    <n v="0"/>
    <x v="16"/>
    <m/>
    <x v="2"/>
  </r>
  <r>
    <n v="17"/>
    <x v="1"/>
    <x v="0"/>
    <n v="6.9"/>
    <x v="2"/>
    <n v="4.5999999999999996"/>
    <n v="2.5"/>
    <n v="9.4"/>
    <n v="2.04"/>
    <x v="2"/>
    <n v="0.8"/>
    <x v="1"/>
    <n v="10"/>
    <n v="9"/>
    <n v="2"/>
    <n v="1"/>
    <x v="10"/>
    <m/>
    <x v="2"/>
  </r>
  <r>
    <n v="14"/>
    <x v="0"/>
    <x v="1"/>
    <n v="5.7"/>
    <x v="0"/>
    <n v="6.7"/>
    <n v="2.6"/>
    <n v="8.3000000000000007"/>
    <n v="2.35"/>
    <x v="2"/>
    <n v="1.8"/>
    <x v="1"/>
    <n v="10"/>
    <n v="10"/>
    <n v="7"/>
    <n v="0"/>
    <x v="14"/>
    <m/>
    <x v="2"/>
  </r>
  <r>
    <n v="17"/>
    <x v="1"/>
    <x v="0"/>
    <n v="7.5"/>
    <x v="1"/>
    <n v="5.6"/>
    <n v="2.2999999999999998"/>
    <n v="9.8000000000000007"/>
    <n v="2.37"/>
    <x v="2"/>
    <n v="0"/>
    <x v="1"/>
    <n v="3"/>
    <n v="10"/>
    <n v="8"/>
    <n v="0"/>
    <x v="7"/>
    <m/>
    <x v="2"/>
  </r>
  <r>
    <n v="13"/>
    <x v="0"/>
    <x v="0"/>
    <n v="5.2"/>
    <x v="2"/>
    <n v="6.4"/>
    <n v="2.5"/>
    <n v="7.7"/>
    <n v="3.13"/>
    <x v="0"/>
    <n v="0.3"/>
    <x v="2"/>
    <n v="8"/>
    <n v="6"/>
    <n v="7"/>
    <n v="0"/>
    <x v="7"/>
    <m/>
    <x v="2"/>
  </r>
  <r>
    <n v="16"/>
    <x v="1"/>
    <x v="0"/>
    <n v="7.2"/>
    <x v="2"/>
    <n v="6.9"/>
    <n v="2.1"/>
    <n v="9.3000000000000007"/>
    <n v="2.3199999999999998"/>
    <x v="2"/>
    <n v="1.1000000000000001"/>
    <x v="0"/>
    <n v="3"/>
    <n v="4"/>
    <n v="10"/>
    <n v="0"/>
    <x v="3"/>
    <m/>
    <x v="1"/>
  </r>
  <r>
    <n v="19"/>
    <x v="1"/>
    <x v="0"/>
    <n v="2"/>
    <x v="1"/>
    <n v="4.3"/>
    <n v="0.8"/>
    <n v="2.8"/>
    <n v="3.4"/>
    <x v="0"/>
    <n v="0.7"/>
    <x v="0"/>
    <n v="8"/>
    <n v="1"/>
    <n v="1"/>
    <n v="0"/>
    <x v="4"/>
    <m/>
    <x v="1"/>
  </r>
  <r>
    <n v="13"/>
    <x v="0"/>
    <x v="1"/>
    <n v="4.7"/>
    <x v="2"/>
    <n v="6.8"/>
    <n v="1.4"/>
    <n v="6.1"/>
    <n v="3.91"/>
    <x v="1"/>
    <n v="0.8"/>
    <x v="1"/>
    <n v="10"/>
    <n v="6"/>
    <n v="9"/>
    <n v="0"/>
    <x v="20"/>
    <m/>
    <x v="2"/>
  </r>
  <r>
    <n v="14"/>
    <x v="0"/>
    <x v="0"/>
    <n v="5.6"/>
    <x v="2"/>
    <n v="4.5"/>
    <n v="1.4"/>
    <n v="7"/>
    <n v="2.44"/>
    <x v="2"/>
    <n v="1.2"/>
    <x v="0"/>
    <n v="5"/>
    <n v="10"/>
    <n v="9"/>
    <n v="0"/>
    <x v="16"/>
    <m/>
    <x v="2"/>
  </r>
  <r>
    <n v="18"/>
    <x v="1"/>
    <x v="1"/>
    <n v="4.5"/>
    <x v="0"/>
    <n v="4"/>
    <n v="2.9"/>
    <n v="7.4"/>
    <n v="3.15"/>
    <x v="0"/>
    <n v="1.9"/>
    <x v="2"/>
    <n v="8"/>
    <n v="6"/>
    <n v="5"/>
    <n v="0"/>
    <x v="1"/>
    <m/>
    <x v="1"/>
  </r>
  <r>
    <n v="15"/>
    <x v="0"/>
    <x v="1"/>
    <n v="1.1000000000000001"/>
    <x v="0"/>
    <n v="9"/>
    <n v="1.2"/>
    <n v="2.2999999999999998"/>
    <n v="2.9"/>
    <x v="3"/>
    <n v="1.8"/>
    <x v="2"/>
    <n v="5"/>
    <n v="10"/>
    <n v="2"/>
    <n v="0"/>
    <x v="3"/>
    <m/>
    <x v="1"/>
  </r>
  <r>
    <n v="18"/>
    <x v="1"/>
    <x v="1"/>
    <n v="5.3"/>
    <x v="2"/>
    <n v="4.5999999999999996"/>
    <n v="1.5"/>
    <n v="6.8"/>
    <n v="2.54"/>
    <x v="3"/>
    <n v="0.6"/>
    <x v="2"/>
    <n v="4"/>
    <n v="3"/>
    <n v="4"/>
    <n v="0"/>
    <x v="12"/>
    <m/>
    <x v="1"/>
  </r>
  <r>
    <n v="14"/>
    <x v="0"/>
    <x v="1"/>
    <n v="3.5"/>
    <x v="2"/>
    <n v="5.3"/>
    <n v="2.5"/>
    <n v="6"/>
    <n v="2.29"/>
    <x v="2"/>
    <n v="0.7"/>
    <x v="0"/>
    <n v="1"/>
    <n v="10"/>
    <n v="3"/>
    <n v="0"/>
    <x v="15"/>
    <m/>
    <x v="1"/>
  </r>
  <r>
    <n v="15"/>
    <x v="0"/>
    <x v="0"/>
    <n v="6.5"/>
    <x v="2"/>
    <n v="6.2"/>
    <n v="1.2"/>
    <n v="7.7"/>
    <n v="3.19"/>
    <x v="0"/>
    <n v="0"/>
    <x v="2"/>
    <n v="6"/>
    <n v="5"/>
    <n v="2"/>
    <n v="0"/>
    <x v="18"/>
    <m/>
    <x v="1"/>
  </r>
  <r>
    <n v="14"/>
    <x v="0"/>
    <x v="0"/>
    <n v="7"/>
    <x v="2"/>
    <n v="6.7"/>
    <n v="1.9"/>
    <n v="8.9"/>
    <n v="2.48"/>
    <x v="2"/>
    <n v="1.3"/>
    <x v="0"/>
    <n v="7"/>
    <n v="1"/>
    <n v="5"/>
    <n v="0"/>
    <x v="18"/>
    <m/>
    <x v="1"/>
  </r>
  <r>
    <n v="14"/>
    <x v="0"/>
    <x v="1"/>
    <n v="4"/>
    <x v="1"/>
    <n v="4.0999999999999996"/>
    <n v="0.9"/>
    <n v="4.9000000000000004"/>
    <n v="2.99"/>
    <x v="3"/>
    <n v="1.9"/>
    <x v="0"/>
    <n v="2"/>
    <n v="9"/>
    <n v="10"/>
    <n v="0"/>
    <x v="7"/>
    <m/>
    <x v="2"/>
  </r>
  <r>
    <n v="15"/>
    <x v="0"/>
    <x v="1"/>
    <n v="1.7"/>
    <x v="0"/>
    <n v="5.3"/>
    <n v="1.5"/>
    <n v="3.2"/>
    <n v="3.6"/>
    <x v="1"/>
    <n v="1.5"/>
    <x v="1"/>
    <n v="6"/>
    <n v="4"/>
    <n v="3"/>
    <n v="0"/>
    <x v="18"/>
    <m/>
    <x v="1"/>
  </r>
  <r>
    <n v="14"/>
    <x v="0"/>
    <x v="1"/>
    <n v="7.8"/>
    <x v="1"/>
    <n v="4.7"/>
    <n v="2.2000000000000002"/>
    <n v="10"/>
    <n v="3.53"/>
    <x v="0"/>
    <n v="0.6"/>
    <x v="0"/>
    <n v="5"/>
    <n v="8"/>
    <n v="2"/>
    <n v="0"/>
    <x v="5"/>
    <m/>
    <x v="1"/>
  </r>
  <r>
    <n v="15"/>
    <x v="0"/>
    <x v="1"/>
    <n v="5.2"/>
    <x v="0"/>
    <n v="6.7"/>
    <n v="3"/>
    <n v="8.1999999999999993"/>
    <n v="3.18"/>
    <x v="0"/>
    <n v="0.6"/>
    <x v="0"/>
    <n v="9"/>
    <n v="7"/>
    <n v="9"/>
    <n v="0"/>
    <x v="20"/>
    <m/>
    <x v="2"/>
  </r>
  <r>
    <n v="19"/>
    <x v="1"/>
    <x v="1"/>
    <n v="7.9"/>
    <x v="1"/>
    <n v="5.8"/>
    <n v="2.1"/>
    <n v="10"/>
    <n v="3.91"/>
    <x v="1"/>
    <n v="1.4"/>
    <x v="1"/>
    <n v="7"/>
    <n v="1"/>
    <n v="10"/>
    <n v="0"/>
    <x v="11"/>
    <m/>
    <x v="1"/>
  </r>
  <r>
    <n v="17"/>
    <x v="1"/>
    <x v="0"/>
    <n v="5.9"/>
    <x v="2"/>
    <n v="6.6"/>
    <n v="1.3"/>
    <n v="7.2"/>
    <n v="2.11"/>
    <x v="2"/>
    <n v="1.4"/>
    <x v="0"/>
    <n v="10"/>
    <n v="4"/>
    <n v="9"/>
    <n v="0"/>
    <x v="22"/>
    <m/>
    <x v="2"/>
  </r>
  <r>
    <n v="13"/>
    <x v="0"/>
    <x v="1"/>
    <n v="2.6"/>
    <x v="1"/>
    <n v="8.5"/>
    <n v="1.9"/>
    <n v="4.5"/>
    <n v="3.06"/>
    <x v="0"/>
    <n v="1.9"/>
    <x v="1"/>
    <n v="5"/>
    <n v="7"/>
    <n v="6"/>
    <n v="0"/>
    <x v="11"/>
    <m/>
    <x v="1"/>
  </r>
  <r>
    <n v="18"/>
    <x v="1"/>
    <x v="1"/>
    <n v="6.3"/>
    <x v="1"/>
    <n v="4.8"/>
    <n v="1.2"/>
    <n v="7.5"/>
    <n v="2.91"/>
    <x v="3"/>
    <n v="1.3"/>
    <x v="2"/>
    <n v="9"/>
    <n v="10"/>
    <n v="3"/>
    <n v="1"/>
    <x v="22"/>
    <m/>
    <x v="2"/>
  </r>
  <r>
    <n v="19"/>
    <x v="1"/>
    <x v="1"/>
    <n v="4.5"/>
    <x v="1"/>
    <n v="8.4"/>
    <n v="2.1"/>
    <n v="6.6"/>
    <n v="2.62"/>
    <x v="3"/>
    <n v="2"/>
    <x v="0"/>
    <n v="5"/>
    <n v="10"/>
    <n v="5"/>
    <n v="0"/>
    <x v="8"/>
    <m/>
    <x v="2"/>
  </r>
  <r>
    <n v="19"/>
    <x v="1"/>
    <x v="0"/>
    <n v="5.3"/>
    <x v="0"/>
    <n v="4.7"/>
    <n v="2.8"/>
    <n v="8.1"/>
    <n v="2.82"/>
    <x v="3"/>
    <n v="0.3"/>
    <x v="1"/>
    <n v="1"/>
    <n v="9"/>
    <n v="6"/>
    <n v="0"/>
    <x v="13"/>
    <m/>
    <x v="1"/>
  </r>
  <r>
    <n v="13"/>
    <x v="0"/>
    <x v="1"/>
    <n v="5.2"/>
    <x v="2"/>
    <n v="7.4"/>
    <n v="2.5"/>
    <n v="7.7"/>
    <n v="3.93"/>
    <x v="1"/>
    <n v="0.8"/>
    <x v="0"/>
    <n v="4"/>
    <n v="4"/>
    <n v="8"/>
    <n v="0"/>
    <x v="13"/>
    <m/>
    <x v="1"/>
  </r>
  <r>
    <n v="15"/>
    <x v="0"/>
    <x v="0"/>
    <n v="3.3"/>
    <x v="2"/>
    <n v="6.1"/>
    <n v="1.2"/>
    <n v="4.5"/>
    <n v="2.56"/>
    <x v="3"/>
    <n v="1.4"/>
    <x v="0"/>
    <n v="8"/>
    <n v="6"/>
    <n v="3"/>
    <n v="0"/>
    <x v="3"/>
    <m/>
    <x v="1"/>
  </r>
  <r>
    <n v="14"/>
    <x v="0"/>
    <x v="1"/>
    <n v="1.1000000000000001"/>
    <x v="2"/>
    <n v="5.4"/>
    <n v="1.6"/>
    <n v="2.7"/>
    <n v="3.34"/>
    <x v="0"/>
    <n v="1.5"/>
    <x v="2"/>
    <n v="4"/>
    <n v="5"/>
    <n v="8"/>
    <n v="0"/>
    <x v="3"/>
    <m/>
    <x v="1"/>
  </r>
  <r>
    <n v="17"/>
    <x v="1"/>
    <x v="1"/>
    <n v="5"/>
    <x v="0"/>
    <n v="7.3"/>
    <n v="1.2"/>
    <n v="6.2"/>
    <n v="3.39"/>
    <x v="0"/>
    <n v="0.7"/>
    <x v="2"/>
    <n v="9"/>
    <n v="10"/>
    <n v="8"/>
    <n v="0"/>
    <x v="14"/>
    <m/>
    <x v="2"/>
  </r>
  <r>
    <n v="15"/>
    <x v="0"/>
    <x v="1"/>
    <n v="7.4"/>
    <x v="1"/>
    <n v="8.6"/>
    <n v="1.4"/>
    <n v="8.8000000000000007"/>
    <n v="2.19"/>
    <x v="2"/>
    <n v="1.8"/>
    <x v="0"/>
    <n v="10"/>
    <n v="10"/>
    <n v="1"/>
    <n v="0"/>
    <x v="7"/>
    <m/>
    <x v="2"/>
  </r>
  <r>
    <n v="15"/>
    <x v="0"/>
    <x v="1"/>
    <n v="7.4"/>
    <x v="1"/>
    <n v="8.9"/>
    <n v="2.9"/>
    <n v="10.3"/>
    <n v="3.39"/>
    <x v="0"/>
    <n v="1.1000000000000001"/>
    <x v="1"/>
    <n v="4"/>
    <n v="9"/>
    <n v="1"/>
    <n v="0"/>
    <x v="15"/>
    <m/>
    <x v="1"/>
  </r>
  <r>
    <n v="17"/>
    <x v="1"/>
    <x v="0"/>
    <n v="6.6"/>
    <x v="1"/>
    <n v="5.2"/>
    <n v="2.2000000000000002"/>
    <n v="8.8000000000000007"/>
    <n v="2.98"/>
    <x v="3"/>
    <n v="0.8"/>
    <x v="1"/>
    <n v="6"/>
    <n v="8"/>
    <n v="7"/>
    <n v="0"/>
    <x v="7"/>
    <m/>
    <x v="2"/>
  </r>
  <r>
    <n v="13"/>
    <x v="0"/>
    <x v="1"/>
    <n v="7.1"/>
    <x v="2"/>
    <n v="7.2"/>
    <n v="1.1000000000000001"/>
    <n v="8.1999999999999993"/>
    <n v="3.69"/>
    <x v="1"/>
    <n v="1"/>
    <x v="0"/>
    <n v="4"/>
    <n v="6"/>
    <n v="3"/>
    <n v="0"/>
    <x v="18"/>
    <m/>
    <x v="1"/>
  </r>
  <r>
    <n v="15"/>
    <x v="0"/>
    <x v="1"/>
    <n v="1.1000000000000001"/>
    <x v="1"/>
    <n v="8.6"/>
    <n v="2.2999999999999998"/>
    <n v="3.4"/>
    <n v="3.68"/>
    <x v="1"/>
    <n v="0.5"/>
    <x v="0"/>
    <n v="1"/>
    <n v="2"/>
    <n v="7"/>
    <n v="0"/>
    <x v="4"/>
    <m/>
    <x v="1"/>
  </r>
  <r>
    <n v="13"/>
    <x v="0"/>
    <x v="1"/>
    <n v="3.6"/>
    <x v="1"/>
    <n v="8.6999999999999993"/>
    <n v="0.8"/>
    <n v="4.4000000000000004"/>
    <n v="2.41"/>
    <x v="2"/>
    <n v="1.3"/>
    <x v="0"/>
    <n v="4"/>
    <n v="6"/>
    <n v="8"/>
    <n v="0"/>
    <x v="11"/>
    <m/>
    <x v="1"/>
  </r>
  <r>
    <n v="16"/>
    <x v="1"/>
    <x v="0"/>
    <n v="5.0999999999999996"/>
    <x v="1"/>
    <n v="4.5999999999999996"/>
    <n v="1.1000000000000001"/>
    <n v="6.1999999999999993"/>
    <n v="2.75"/>
    <x v="3"/>
    <n v="1.5"/>
    <x v="2"/>
    <n v="6"/>
    <n v="3"/>
    <n v="6"/>
    <n v="0"/>
    <x v="5"/>
    <m/>
    <x v="1"/>
  </r>
  <r>
    <n v="19"/>
    <x v="1"/>
    <x v="1"/>
    <n v="7.3"/>
    <x v="0"/>
    <n v="7.8"/>
    <n v="1"/>
    <n v="8.3000000000000007"/>
    <n v="2.91"/>
    <x v="3"/>
    <n v="0.8"/>
    <x v="2"/>
    <n v="9"/>
    <n v="7"/>
    <n v="5"/>
    <n v="0"/>
    <x v="7"/>
    <m/>
    <x v="2"/>
  </r>
  <r>
    <n v="13"/>
    <x v="0"/>
    <x v="1"/>
    <n v="7.7"/>
    <x v="2"/>
    <n v="7.5"/>
    <n v="1.4"/>
    <n v="9.1"/>
    <n v="2.2400000000000002"/>
    <x v="2"/>
    <n v="0.1"/>
    <x v="0"/>
    <n v="5"/>
    <n v="3"/>
    <n v="3"/>
    <n v="0"/>
    <x v="12"/>
    <m/>
    <x v="1"/>
  </r>
  <r>
    <n v="13"/>
    <x v="0"/>
    <x v="1"/>
    <n v="7.9"/>
    <x v="1"/>
    <n v="4.0999999999999996"/>
    <n v="1.6"/>
    <n v="9.5"/>
    <n v="2.74"/>
    <x v="3"/>
    <n v="0.9"/>
    <x v="2"/>
    <n v="9"/>
    <n v="3"/>
    <n v="5"/>
    <n v="0"/>
    <x v="3"/>
    <m/>
    <x v="1"/>
  </r>
  <r>
    <n v="16"/>
    <x v="1"/>
    <x v="1"/>
    <n v="5.5"/>
    <x v="2"/>
    <n v="5.8"/>
    <n v="2.5"/>
    <n v="8"/>
    <n v="2.34"/>
    <x v="2"/>
    <n v="1"/>
    <x v="0"/>
    <n v="5"/>
    <n v="2"/>
    <n v="8"/>
    <n v="0"/>
    <x v="5"/>
    <m/>
    <x v="1"/>
  </r>
  <r>
    <n v="19"/>
    <x v="1"/>
    <x v="0"/>
    <n v="4"/>
    <x v="0"/>
    <n v="7.8"/>
    <n v="0.6"/>
    <n v="4.5999999999999996"/>
    <n v="3.61"/>
    <x v="1"/>
    <n v="1.7"/>
    <x v="1"/>
    <n v="2"/>
    <n v="7"/>
    <n v="9"/>
    <n v="0"/>
    <x v="11"/>
    <m/>
    <x v="1"/>
  </r>
  <r>
    <n v="15"/>
    <x v="0"/>
    <x v="1"/>
    <n v="7.9"/>
    <x v="1"/>
    <n v="4.7"/>
    <n v="1.5"/>
    <n v="9.4"/>
    <n v="3.3"/>
    <x v="0"/>
    <n v="0"/>
    <x v="0"/>
    <n v="5"/>
    <n v="8"/>
    <n v="5"/>
    <n v="0"/>
    <x v="11"/>
    <m/>
    <x v="1"/>
  </r>
  <r>
    <n v="18"/>
    <x v="1"/>
    <x v="1"/>
    <n v="5.5"/>
    <x v="2"/>
    <n v="8.1999999999999993"/>
    <n v="0.5"/>
    <n v="6"/>
    <n v="3.15"/>
    <x v="0"/>
    <n v="1.2"/>
    <x v="2"/>
    <n v="8"/>
    <n v="7"/>
    <n v="7"/>
    <n v="0"/>
    <x v="10"/>
    <m/>
    <x v="2"/>
  </r>
  <r>
    <n v="17"/>
    <x v="1"/>
    <x v="1"/>
    <n v="7.6"/>
    <x v="2"/>
    <n v="7.1"/>
    <n v="1.1000000000000001"/>
    <n v="8.6999999999999993"/>
    <n v="2.0699999999999998"/>
    <x v="2"/>
    <n v="1.9"/>
    <x v="1"/>
    <n v="3"/>
    <n v="2"/>
    <n v="6"/>
    <n v="0"/>
    <x v="12"/>
    <m/>
    <x v="1"/>
  </r>
  <r>
    <n v="13"/>
    <x v="0"/>
    <x v="0"/>
    <n v="1.3"/>
    <x v="1"/>
    <n v="4.4000000000000004"/>
    <n v="0.9"/>
    <n v="2.2000000000000002"/>
    <n v="2.99"/>
    <x v="3"/>
    <n v="0"/>
    <x v="1"/>
    <n v="8"/>
    <n v="2"/>
    <n v="5"/>
    <n v="0"/>
    <x v="5"/>
    <m/>
    <x v="1"/>
  </r>
  <r>
    <n v="16"/>
    <x v="1"/>
    <x v="0"/>
    <n v="7.3"/>
    <x v="1"/>
    <n v="7"/>
    <n v="2.2000000000000002"/>
    <n v="9.5"/>
    <n v="2.0699999999999998"/>
    <x v="2"/>
    <n v="1"/>
    <x v="2"/>
    <n v="3"/>
    <n v="7"/>
    <n v="1"/>
    <n v="0"/>
    <x v="12"/>
    <m/>
    <x v="1"/>
  </r>
  <r>
    <n v="18"/>
    <x v="1"/>
    <x v="0"/>
    <n v="4.3"/>
    <x v="0"/>
    <n v="6.7"/>
    <n v="2.5"/>
    <n v="6.8"/>
    <n v="3.19"/>
    <x v="0"/>
    <n v="1"/>
    <x v="1"/>
    <n v="5"/>
    <n v="5"/>
    <n v="5"/>
    <n v="0"/>
    <x v="5"/>
    <m/>
    <x v="1"/>
  </r>
  <r>
    <n v="16"/>
    <x v="1"/>
    <x v="0"/>
    <n v="7.1"/>
    <x v="1"/>
    <n v="7.7"/>
    <n v="1.9"/>
    <n v="9"/>
    <n v="2.2400000000000002"/>
    <x v="2"/>
    <n v="0.6"/>
    <x v="1"/>
    <n v="8"/>
    <n v="10"/>
    <n v="5"/>
    <n v="0"/>
    <x v="22"/>
    <m/>
    <x v="2"/>
  </r>
  <r>
    <n v="14"/>
    <x v="0"/>
    <x v="1"/>
    <n v="5.7"/>
    <x v="1"/>
    <n v="6.4"/>
    <n v="1.9"/>
    <n v="7.6"/>
    <n v="3.3"/>
    <x v="0"/>
    <n v="1.3"/>
    <x v="1"/>
    <n v="6"/>
    <n v="8"/>
    <n v="5"/>
    <n v="0"/>
    <x v="1"/>
    <m/>
    <x v="1"/>
  </r>
  <r>
    <n v="18"/>
    <x v="1"/>
    <x v="1"/>
    <n v="5.2"/>
    <x v="2"/>
    <n v="7.3"/>
    <n v="1.7"/>
    <n v="6.9"/>
    <n v="3.33"/>
    <x v="0"/>
    <n v="0.9"/>
    <x v="0"/>
    <n v="7"/>
    <n v="4"/>
    <n v="9"/>
    <n v="0"/>
    <x v="8"/>
    <m/>
    <x v="2"/>
  </r>
  <r>
    <n v="17"/>
    <x v="1"/>
    <x v="0"/>
    <n v="3.1"/>
    <x v="1"/>
    <n v="7.7"/>
    <n v="2.2000000000000002"/>
    <n v="5.3000000000000007"/>
    <n v="3.72"/>
    <x v="1"/>
    <n v="1.4"/>
    <x v="2"/>
    <n v="1"/>
    <n v="5"/>
    <n v="8"/>
    <n v="0"/>
    <x v="15"/>
    <m/>
    <x v="1"/>
  </r>
  <r>
    <n v="13"/>
    <x v="0"/>
    <x v="0"/>
    <n v="3"/>
    <x v="2"/>
    <n v="6.2"/>
    <n v="0.8"/>
    <n v="3.8"/>
    <n v="3.96"/>
    <x v="1"/>
    <n v="1.1000000000000001"/>
    <x v="0"/>
    <n v="9"/>
    <n v="10"/>
    <n v="3"/>
    <n v="0"/>
    <x v="10"/>
    <m/>
    <x v="2"/>
  </r>
  <r>
    <n v="17"/>
    <x v="1"/>
    <x v="1"/>
    <n v="6"/>
    <x v="2"/>
    <n v="4.2"/>
    <n v="2.2000000000000002"/>
    <n v="8.1999999999999993"/>
    <n v="2.27"/>
    <x v="2"/>
    <n v="0.5"/>
    <x v="2"/>
    <n v="1"/>
    <n v="4"/>
    <n v="5"/>
    <n v="0"/>
    <x v="4"/>
    <m/>
    <x v="1"/>
  </r>
  <r>
    <n v="13"/>
    <x v="0"/>
    <x v="0"/>
    <n v="5.9"/>
    <x v="0"/>
    <n v="8.6"/>
    <n v="1.9"/>
    <n v="7.8000000000000007"/>
    <n v="3.88"/>
    <x v="1"/>
    <n v="0.2"/>
    <x v="2"/>
    <n v="1"/>
    <n v="6"/>
    <n v="9"/>
    <n v="0"/>
    <x v="13"/>
    <m/>
    <x v="1"/>
  </r>
  <r>
    <n v="15"/>
    <x v="0"/>
    <x v="0"/>
    <n v="5.0999999999999996"/>
    <x v="1"/>
    <n v="5.5"/>
    <n v="0.7"/>
    <n v="5.8"/>
    <n v="2.13"/>
    <x v="2"/>
    <n v="0.5"/>
    <x v="2"/>
    <n v="6"/>
    <n v="10"/>
    <n v="8"/>
    <n v="0"/>
    <x v="16"/>
    <m/>
    <x v="2"/>
  </r>
  <r>
    <n v="19"/>
    <x v="1"/>
    <x v="1"/>
    <n v="3.5"/>
    <x v="0"/>
    <n v="4.9000000000000004"/>
    <n v="0.5"/>
    <n v="4"/>
    <n v="3.68"/>
    <x v="1"/>
    <n v="1.7"/>
    <x v="1"/>
    <n v="8"/>
    <n v="4"/>
    <n v="3"/>
    <n v="0"/>
    <x v="5"/>
    <m/>
    <x v="1"/>
  </r>
  <r>
    <n v="16"/>
    <x v="1"/>
    <x v="0"/>
    <n v="5.3"/>
    <x v="1"/>
    <n v="5.3"/>
    <n v="2.4"/>
    <n v="7.6999999999999993"/>
    <n v="3.01"/>
    <x v="0"/>
    <n v="1.6"/>
    <x v="2"/>
    <n v="2"/>
    <n v="9"/>
    <n v="1"/>
    <n v="0"/>
    <x v="17"/>
    <m/>
    <x v="1"/>
  </r>
  <r>
    <n v="13"/>
    <x v="0"/>
    <x v="1"/>
    <n v="4.0999999999999996"/>
    <x v="0"/>
    <n v="7.5"/>
    <n v="1.7"/>
    <n v="5.8"/>
    <n v="3.12"/>
    <x v="0"/>
    <n v="2"/>
    <x v="2"/>
    <n v="1"/>
    <n v="4"/>
    <n v="9"/>
    <n v="0"/>
    <x v="15"/>
    <m/>
    <x v="1"/>
  </r>
  <r>
    <n v="18"/>
    <x v="1"/>
    <x v="0"/>
    <n v="4.0999999999999996"/>
    <x v="0"/>
    <n v="6.7"/>
    <n v="2.1"/>
    <n v="6.1999999999999993"/>
    <n v="2.5"/>
    <x v="3"/>
    <n v="0.1"/>
    <x v="2"/>
    <n v="8"/>
    <n v="1"/>
    <n v="5"/>
    <n v="0"/>
    <x v="15"/>
    <m/>
    <x v="1"/>
  </r>
  <r>
    <n v="15"/>
    <x v="0"/>
    <x v="0"/>
    <n v="6.3"/>
    <x v="1"/>
    <n v="6.8"/>
    <n v="1.8"/>
    <n v="8.1"/>
    <n v="2.59"/>
    <x v="3"/>
    <n v="1.9"/>
    <x v="1"/>
    <n v="10"/>
    <n v="5"/>
    <n v="5"/>
    <n v="0"/>
    <x v="8"/>
    <m/>
    <x v="2"/>
  </r>
  <r>
    <n v="19"/>
    <x v="1"/>
    <x v="1"/>
    <n v="6.6"/>
    <x v="2"/>
    <n v="9"/>
    <n v="2.9"/>
    <n v="9.5"/>
    <n v="2.4700000000000002"/>
    <x v="2"/>
    <n v="1.7"/>
    <x v="2"/>
    <n v="3"/>
    <n v="7"/>
    <n v="9"/>
    <n v="0"/>
    <x v="1"/>
    <m/>
    <x v="1"/>
  </r>
  <r>
    <n v="19"/>
    <x v="1"/>
    <x v="0"/>
    <n v="1.4"/>
    <x v="2"/>
    <n v="4.5"/>
    <n v="2.2999999999999998"/>
    <n v="3.6999999999999997"/>
    <n v="3.9"/>
    <x v="1"/>
    <n v="0"/>
    <x v="2"/>
    <n v="2"/>
    <n v="8"/>
    <n v="10"/>
    <n v="0"/>
    <x v="8"/>
    <m/>
    <x v="2"/>
  </r>
  <r>
    <n v="19"/>
    <x v="1"/>
    <x v="0"/>
    <n v="2.4"/>
    <x v="1"/>
    <n v="9"/>
    <n v="2.4"/>
    <n v="4.8"/>
    <n v="3.13"/>
    <x v="0"/>
    <n v="0.5"/>
    <x v="1"/>
    <n v="5"/>
    <n v="3"/>
    <n v="3"/>
    <n v="0"/>
    <x v="12"/>
    <m/>
    <x v="1"/>
  </r>
  <r>
    <n v="18"/>
    <x v="1"/>
    <x v="0"/>
    <n v="1.6"/>
    <x v="2"/>
    <n v="5.4"/>
    <n v="2"/>
    <n v="3.6"/>
    <n v="3.2"/>
    <x v="0"/>
    <n v="1.8"/>
    <x v="0"/>
    <n v="8"/>
    <n v="8"/>
    <n v="3"/>
    <n v="0"/>
    <x v="1"/>
    <m/>
    <x v="1"/>
  </r>
  <r>
    <n v="18"/>
    <x v="1"/>
    <x v="0"/>
    <n v="2"/>
    <x v="0"/>
    <n v="8.9"/>
    <n v="0.8"/>
    <n v="2.8"/>
    <n v="2.96"/>
    <x v="3"/>
    <n v="0.5"/>
    <x v="2"/>
    <n v="6"/>
    <n v="2"/>
    <n v="2"/>
    <n v="0"/>
    <x v="4"/>
    <m/>
    <x v="1"/>
  </r>
  <r>
    <n v="17"/>
    <x v="1"/>
    <x v="1"/>
    <n v="7.4"/>
    <x v="0"/>
    <n v="7.4"/>
    <n v="2"/>
    <n v="9.4"/>
    <n v="3.76"/>
    <x v="1"/>
    <n v="1.7"/>
    <x v="1"/>
    <n v="10"/>
    <n v="1"/>
    <n v="4"/>
    <n v="0"/>
    <x v="5"/>
    <m/>
    <x v="1"/>
  </r>
  <r>
    <n v="14"/>
    <x v="0"/>
    <x v="1"/>
    <n v="1.6"/>
    <x v="1"/>
    <n v="4.8"/>
    <n v="2.4"/>
    <n v="4"/>
    <n v="2.97"/>
    <x v="3"/>
    <n v="1.9"/>
    <x v="0"/>
    <n v="9"/>
    <n v="9"/>
    <n v="10"/>
    <n v="0"/>
    <x v="24"/>
    <m/>
    <x v="2"/>
  </r>
  <r>
    <n v="17"/>
    <x v="1"/>
    <x v="1"/>
    <n v="3.8"/>
    <x v="0"/>
    <n v="8.4"/>
    <n v="0.9"/>
    <n v="4.7"/>
    <n v="3.6"/>
    <x v="1"/>
    <n v="1.9"/>
    <x v="1"/>
    <n v="1"/>
    <n v="2"/>
    <n v="2"/>
    <n v="0"/>
    <x v="0"/>
    <m/>
    <x v="0"/>
  </r>
  <r>
    <n v="19"/>
    <x v="1"/>
    <x v="0"/>
    <n v="8"/>
    <x v="1"/>
    <n v="4.7"/>
    <n v="0.5"/>
    <n v="8.5"/>
    <n v="2.1800000000000002"/>
    <x v="2"/>
    <n v="0.6"/>
    <x v="2"/>
    <n v="8"/>
    <n v="8"/>
    <n v="6"/>
    <n v="1"/>
    <x v="22"/>
    <m/>
    <x v="2"/>
  </r>
  <r>
    <n v="13"/>
    <x v="0"/>
    <x v="0"/>
    <n v="7.8"/>
    <x v="1"/>
    <n v="5.9"/>
    <n v="1.5"/>
    <n v="9.3000000000000007"/>
    <n v="3.31"/>
    <x v="0"/>
    <n v="1.9"/>
    <x v="1"/>
    <n v="10"/>
    <n v="1"/>
    <n v="10"/>
    <n v="0"/>
    <x v="7"/>
    <m/>
    <x v="2"/>
  </r>
  <r>
    <n v="13"/>
    <x v="0"/>
    <x v="1"/>
    <n v="7.2"/>
    <x v="0"/>
    <n v="8.1"/>
    <n v="2.1"/>
    <n v="9.3000000000000007"/>
    <n v="2.52"/>
    <x v="3"/>
    <n v="0.4"/>
    <x v="2"/>
    <n v="3"/>
    <n v="3"/>
    <n v="7"/>
    <n v="0"/>
    <x v="18"/>
    <m/>
    <x v="1"/>
  </r>
  <r>
    <n v="17"/>
    <x v="1"/>
    <x v="0"/>
    <n v="2"/>
    <x v="2"/>
    <n v="4.5"/>
    <n v="1.7"/>
    <n v="3.7"/>
    <n v="2.65"/>
    <x v="3"/>
    <n v="0"/>
    <x v="2"/>
    <n v="9"/>
    <n v="4"/>
    <n v="2"/>
    <n v="0"/>
    <x v="5"/>
    <m/>
    <x v="1"/>
  </r>
  <r>
    <n v="18"/>
    <x v="1"/>
    <x v="1"/>
    <n v="6.8"/>
    <x v="0"/>
    <n v="6.6"/>
    <n v="2"/>
    <n v="8.8000000000000007"/>
    <n v="2.76"/>
    <x v="3"/>
    <n v="1"/>
    <x v="0"/>
    <n v="3"/>
    <n v="4"/>
    <n v="4"/>
    <n v="0"/>
    <x v="12"/>
    <m/>
    <x v="1"/>
  </r>
  <r>
    <n v="16"/>
    <x v="1"/>
    <x v="0"/>
    <n v="2.2999999999999998"/>
    <x v="2"/>
    <n v="8"/>
    <n v="1.9"/>
    <n v="4.1999999999999993"/>
    <n v="2.12"/>
    <x v="2"/>
    <n v="0.4"/>
    <x v="1"/>
    <n v="7"/>
    <n v="4"/>
    <n v="4"/>
    <n v="0"/>
    <x v="5"/>
    <m/>
    <x v="1"/>
  </r>
  <r>
    <n v="14"/>
    <x v="0"/>
    <x v="1"/>
    <n v="1.7"/>
    <x v="2"/>
    <n v="8.6999999999999993"/>
    <n v="0.7"/>
    <n v="2.4"/>
    <n v="3.98"/>
    <x v="1"/>
    <n v="0.8"/>
    <x v="1"/>
    <n v="1"/>
    <n v="1"/>
    <n v="1"/>
    <n v="0"/>
    <x v="27"/>
    <m/>
    <x v="0"/>
  </r>
  <r>
    <n v="15"/>
    <x v="0"/>
    <x v="0"/>
    <n v="3.9"/>
    <x v="2"/>
    <n v="8.5"/>
    <n v="2.1"/>
    <n v="6"/>
    <n v="3.19"/>
    <x v="0"/>
    <n v="0.6"/>
    <x v="1"/>
    <n v="7"/>
    <n v="9"/>
    <n v="9"/>
    <n v="0"/>
    <x v="20"/>
    <m/>
    <x v="2"/>
  </r>
  <r>
    <n v="16"/>
    <x v="1"/>
    <x v="1"/>
    <n v="4.7"/>
    <x v="1"/>
    <n v="6.5"/>
    <n v="1"/>
    <n v="5.7"/>
    <n v="2.91"/>
    <x v="3"/>
    <n v="0.9"/>
    <x v="2"/>
    <n v="5"/>
    <n v="7"/>
    <n v="3"/>
    <n v="0"/>
    <x v="5"/>
    <m/>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FBBA881-5CB7-4ACA-A224-7C842516996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9:B13" firstHeaderRow="1" firstDataRow="1" firstDataCol="1"/>
  <pivotFields count="19">
    <pivotField showAll="0"/>
    <pivotField showAll="0">
      <items count="3">
        <item x="1"/>
        <item x="0"/>
        <item t="default"/>
      </items>
    </pivotField>
    <pivotField showAll="0"/>
    <pivotField showAll="0"/>
    <pivotField axis="axisRow" dataField="1" showAll="0" sortType="a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4">
        <item h="1" x="1"/>
        <item x="0"/>
        <item x="2"/>
        <item t="default"/>
      </items>
    </pivotField>
    <pivotField showAll="0"/>
    <pivotField showAll="0"/>
    <pivotField showAll="0"/>
    <pivotField showAll="0"/>
    <pivotField showAll="0"/>
    <pivotField showAll="0"/>
    <pivotField showAll="0">
      <items count="4">
        <item x="0"/>
        <item x="1"/>
        <item x="2"/>
        <item t="default"/>
      </items>
    </pivotField>
  </pivotFields>
  <rowFields count="1">
    <field x="4"/>
  </rowFields>
  <rowItems count="4">
    <i>
      <x v="2"/>
    </i>
    <i>
      <x v="1"/>
    </i>
    <i>
      <x/>
    </i>
    <i t="grand">
      <x/>
    </i>
  </rowItems>
  <colItems count="1">
    <i/>
  </colItems>
  <dataFields count="1">
    <dataField name="Count of platform_usage" fld="4"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FB23D3E-DFFC-4050-AD88-68FFD8BF0B8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9">
    <pivotField dataField="1"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items count="4">
        <item h="1" x="1"/>
        <item x="0"/>
        <item x="2"/>
        <item t="default"/>
      </items>
    </pivotField>
    <pivotField showAll="0"/>
    <pivotField showAll="0"/>
    <pivotField showAll="0"/>
    <pivotField showAll="0"/>
    <pivotField showAll="0"/>
    <pivotField showAll="0"/>
    <pivotField showAll="0">
      <items count="4">
        <item x="0"/>
        <item x="1"/>
        <item x="2"/>
        <item t="default"/>
      </items>
    </pivotField>
  </pivotFields>
  <rowItems count="1">
    <i/>
  </rowItems>
  <colItems count="1">
    <i/>
  </colItems>
  <dataFields count="1">
    <dataField name="Average of age" fld="0" subtotal="average" baseField="0" baseItem="0" numFmtId="164"/>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48EC539-0D51-4BAE-A47A-624CF4F1910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9">
    <pivotField dataField="1"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items count="4">
        <item h="1" x="1"/>
        <item x="0"/>
        <item x="2"/>
        <item t="default"/>
      </items>
    </pivotField>
    <pivotField showAll="0"/>
    <pivotField showAll="0"/>
    <pivotField showAll="0"/>
    <pivotField showAll="0"/>
    <pivotField showAll="0"/>
    <pivotField showAll="0"/>
    <pivotField showAll="0">
      <items count="4">
        <item x="0"/>
        <item x="1"/>
        <item x="2"/>
        <item t="default"/>
      </items>
    </pivotField>
  </pivotFields>
  <rowItems count="1">
    <i/>
  </rowItems>
  <colItems count="1">
    <i/>
  </colItems>
  <dataFields count="1">
    <dataField name="Count of ag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323EF10-B7CC-4BE2-BC99-69A52A902B45}"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8:B22" firstHeaderRow="1" firstDataRow="1" firstDataCol="1"/>
  <pivotFields count="19">
    <pivotField showAll="0"/>
    <pivotField showAll="0">
      <items count="3">
        <item x="1"/>
        <item x="0"/>
        <item t="default"/>
      </items>
    </pivotField>
    <pivotField showAll="0"/>
    <pivotField dataField="1" showAll="0"/>
    <pivotField showAll="0"/>
    <pivotField showAll="0"/>
    <pivotField showAll="0"/>
    <pivotField showAll="0"/>
    <pivotField showAll="0"/>
    <pivotField showAll="0"/>
    <pivotField showAll="0"/>
    <pivotField showAll="0">
      <items count="4">
        <item h="1" x="1"/>
        <item x="0"/>
        <item x="2"/>
        <item t="default"/>
      </items>
    </pivotField>
    <pivotField showAll="0"/>
    <pivotField showAll="0"/>
    <pivotField showAll="0"/>
    <pivotField showAll="0"/>
    <pivotField showAll="0"/>
    <pivotField showAll="0"/>
    <pivotField axis="axisRow" showAll="0">
      <items count="4">
        <item x="0"/>
        <item x="1"/>
        <item x="2"/>
        <item t="default"/>
      </items>
    </pivotField>
  </pivotFields>
  <rowFields count="1">
    <field x="18"/>
  </rowFields>
  <rowItems count="4">
    <i>
      <x/>
    </i>
    <i>
      <x v="1"/>
    </i>
    <i>
      <x v="2"/>
    </i>
    <i t="grand">
      <x/>
    </i>
  </rowItems>
  <colItems count="1">
    <i/>
  </colItems>
  <dataFields count="1">
    <dataField name="Sum of daily_social_media_hours" fld="3"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8" count="1" selected="0">
            <x v="0"/>
          </reference>
        </references>
      </pivotArea>
    </chartFormat>
    <chartFormat chart="0" format="2">
      <pivotArea type="data" outline="0" fieldPosition="0">
        <references count="2">
          <reference field="4294967294" count="1" selected="0">
            <x v="0"/>
          </reference>
          <reference field="18" count="1" selected="0">
            <x v="1"/>
          </reference>
        </references>
      </pivotArea>
    </chartFormat>
    <chartFormat chart="0" format="3">
      <pivotArea type="data" outline="0" fieldPosition="0">
        <references count="2">
          <reference field="4294967294" count="1" selected="0">
            <x v="0"/>
          </reference>
          <reference field="18" count="1" selected="0">
            <x v="2"/>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8" count="1" selected="0">
            <x v="0"/>
          </reference>
        </references>
      </pivotArea>
    </chartFormat>
    <chartFormat chart="2" format="10">
      <pivotArea type="data" outline="0" fieldPosition="0">
        <references count="2">
          <reference field="4294967294" count="1" selected="0">
            <x v="0"/>
          </reference>
          <reference field="18" count="1" selected="0">
            <x v="1"/>
          </reference>
        </references>
      </pivotArea>
    </chartFormat>
    <chartFormat chart="2" format="11">
      <pivotArea type="data" outline="0" fieldPosition="0">
        <references count="2">
          <reference field="4294967294" count="1" selected="0">
            <x v="0"/>
          </reference>
          <reference field="18" count="1" selected="0">
            <x v="2"/>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18" count="1" selected="0">
            <x v="0"/>
          </reference>
        </references>
      </pivotArea>
    </chartFormat>
    <chartFormat chart="6" format="10">
      <pivotArea type="data" outline="0" fieldPosition="0">
        <references count="2">
          <reference field="4294967294" count="1" selected="0">
            <x v="0"/>
          </reference>
          <reference field="18" count="1" selected="0">
            <x v="1"/>
          </reference>
        </references>
      </pivotArea>
    </chartFormat>
    <chartFormat chart="6" format="11">
      <pivotArea type="data" outline="0" fieldPosition="0">
        <references count="2">
          <reference field="4294967294" count="1" selected="0">
            <x v="0"/>
          </reference>
          <reference field="1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2411351-10B4-4340-9966-AF0A7970853D}"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19">
    <pivotField showAll="0"/>
    <pivotField showAll="0">
      <items count="3">
        <item x="1"/>
        <item x="0"/>
        <item t="default"/>
      </items>
    </pivotField>
    <pivotField showAll="0"/>
    <pivotField showAll="0"/>
    <pivotField showAll="0"/>
    <pivotField dataField="1" showAll="0"/>
    <pivotField showAll="0"/>
    <pivotField showAll="0"/>
    <pivotField showAll="0"/>
    <pivotField showAll="0"/>
    <pivotField showAll="0"/>
    <pivotField showAll="0">
      <items count="4">
        <item h="1" x="1"/>
        <item x="0"/>
        <item x="2"/>
        <item t="default"/>
      </items>
    </pivotField>
    <pivotField showAll="0"/>
    <pivotField showAll="0"/>
    <pivotField showAll="0"/>
    <pivotField showAll="0"/>
    <pivotField showAll="0"/>
    <pivotField showAll="0"/>
    <pivotField showAll="0">
      <items count="4">
        <item x="0"/>
        <item x="1"/>
        <item x="2"/>
        <item t="default"/>
      </items>
    </pivotField>
  </pivotFields>
  <rowItems count="1">
    <i/>
  </rowItems>
  <colItems count="1">
    <i/>
  </colItems>
  <dataFields count="1">
    <dataField name="Sum of sleep_hours" fld="5" baseField="0" baseItem="0"/>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B79AE46-1D0E-4A2F-9510-E666C8003E4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75:V83" firstHeaderRow="1" firstDataRow="4" firstDataCol="1"/>
  <pivotFields count="19">
    <pivotField showAll="0"/>
    <pivotField axis="axisCol" showAll="0">
      <items count="3">
        <item x="1"/>
        <item x="0"/>
        <item t="default"/>
      </items>
    </pivotField>
    <pivotField axis="axisCol" showAll="0">
      <items count="3">
        <item x="1"/>
        <item x="0"/>
        <item t="default"/>
      </items>
    </pivotField>
    <pivotField showAll="0"/>
    <pivotField axis="axisCol" showAll="0">
      <items count="4">
        <item x="2"/>
        <item x="0"/>
        <item x="1"/>
        <item t="default"/>
      </items>
    </pivotField>
    <pivotField showAll="0"/>
    <pivotField showAll="0"/>
    <pivotField showAll="0"/>
    <pivotField showAll="0"/>
    <pivotField axis="axisRow" showAll="0">
      <items count="5">
        <item x="1"/>
        <item x="3"/>
        <item x="0"/>
        <item x="2"/>
        <item t="default"/>
      </items>
    </pivotField>
    <pivotField showAll="0"/>
    <pivotField showAll="0">
      <items count="4">
        <item h="1" x="1"/>
        <item x="0"/>
        <item x="2"/>
        <item t="default"/>
      </items>
    </pivotField>
    <pivotField showAll="0"/>
    <pivotField showAll="0"/>
    <pivotField showAll="0"/>
    <pivotField showAll="0"/>
    <pivotField dataField="1" showAll="0"/>
    <pivotField showAll="0"/>
    <pivotField showAll="0">
      <items count="4">
        <item x="0"/>
        <item x="1"/>
        <item x="2"/>
        <item t="default"/>
      </items>
    </pivotField>
  </pivotFields>
  <rowFields count="1">
    <field x="9"/>
  </rowFields>
  <rowItems count="5">
    <i>
      <x/>
    </i>
    <i>
      <x v="1"/>
    </i>
    <i>
      <x v="2"/>
    </i>
    <i>
      <x v="3"/>
    </i>
    <i t="grand">
      <x/>
    </i>
  </rowItems>
  <colFields count="3">
    <field x="1"/>
    <field x="4"/>
    <field x="2"/>
  </colFields>
  <colItems count="21">
    <i>
      <x/>
      <x/>
      <x/>
    </i>
    <i r="2">
      <x v="1"/>
    </i>
    <i t="default" r="1">
      <x/>
    </i>
    <i r="1">
      <x v="1"/>
      <x/>
    </i>
    <i r="2">
      <x v="1"/>
    </i>
    <i t="default" r="1">
      <x v="1"/>
    </i>
    <i r="1">
      <x v="2"/>
      <x/>
    </i>
    <i r="2">
      <x v="1"/>
    </i>
    <i t="default" r="1">
      <x v="2"/>
    </i>
    <i t="default">
      <x/>
    </i>
    <i>
      <x v="1"/>
      <x/>
      <x/>
    </i>
    <i r="2">
      <x v="1"/>
    </i>
    <i t="default" r="1">
      <x/>
    </i>
    <i r="1">
      <x v="1"/>
      <x/>
    </i>
    <i r="2">
      <x v="1"/>
    </i>
    <i t="default" r="1">
      <x v="1"/>
    </i>
    <i r="1">
      <x v="2"/>
      <x/>
    </i>
    <i r="2">
      <x v="1"/>
    </i>
    <i t="default" r="1">
      <x v="2"/>
    </i>
    <i t="default">
      <x v="1"/>
    </i>
    <i t="grand">
      <x/>
    </i>
  </colItems>
  <dataFields count="1">
    <dataField name="Sum of mental distress score" fld="16" baseField="0" baseItem="0"/>
  </dataFields>
  <chartFormats count="12">
    <chartFormat chart="2" format="0" series="1">
      <pivotArea type="data" outline="0" fieldPosition="0">
        <references count="4">
          <reference field="4294967294" count="1" selected="0">
            <x v="0"/>
          </reference>
          <reference field="1" count="1" selected="0">
            <x v="0"/>
          </reference>
          <reference field="2" count="1" selected="0">
            <x v="0"/>
          </reference>
          <reference field="4" count="1" selected="0">
            <x v="0"/>
          </reference>
        </references>
      </pivotArea>
    </chartFormat>
    <chartFormat chart="2" format="1" series="1">
      <pivotArea type="data" outline="0" fieldPosition="0">
        <references count="4">
          <reference field="4294967294" count="1" selected="0">
            <x v="0"/>
          </reference>
          <reference field="1" count="1" selected="0">
            <x v="0"/>
          </reference>
          <reference field="2" count="1" selected="0">
            <x v="1"/>
          </reference>
          <reference field="4" count="1" selected="0">
            <x v="0"/>
          </reference>
        </references>
      </pivotArea>
    </chartFormat>
    <chartFormat chart="2" format="2" series="1">
      <pivotArea type="data" outline="0" fieldPosition="0">
        <references count="4">
          <reference field="4294967294" count="1" selected="0">
            <x v="0"/>
          </reference>
          <reference field="1" count="1" selected="0">
            <x v="0"/>
          </reference>
          <reference field="2" count="1" selected="0">
            <x v="0"/>
          </reference>
          <reference field="4" count="1" selected="0">
            <x v="1"/>
          </reference>
        </references>
      </pivotArea>
    </chartFormat>
    <chartFormat chart="2" format="3" series="1">
      <pivotArea type="data" outline="0" fieldPosition="0">
        <references count="4">
          <reference field="4294967294" count="1" selected="0">
            <x v="0"/>
          </reference>
          <reference field="1" count="1" selected="0">
            <x v="0"/>
          </reference>
          <reference field="2" count="1" selected="0">
            <x v="1"/>
          </reference>
          <reference field="4" count="1" selected="0">
            <x v="1"/>
          </reference>
        </references>
      </pivotArea>
    </chartFormat>
    <chartFormat chart="2" format="4" series="1">
      <pivotArea type="data" outline="0" fieldPosition="0">
        <references count="4">
          <reference field="4294967294" count="1" selected="0">
            <x v="0"/>
          </reference>
          <reference field="1" count="1" selected="0">
            <x v="0"/>
          </reference>
          <reference field="2" count="1" selected="0">
            <x v="0"/>
          </reference>
          <reference field="4" count="1" selected="0">
            <x v="2"/>
          </reference>
        </references>
      </pivotArea>
    </chartFormat>
    <chartFormat chart="2" format="5" series="1">
      <pivotArea type="data" outline="0" fieldPosition="0">
        <references count="4">
          <reference field="4294967294" count="1" selected="0">
            <x v="0"/>
          </reference>
          <reference field="1" count="1" selected="0">
            <x v="0"/>
          </reference>
          <reference field="2" count="1" selected="0">
            <x v="1"/>
          </reference>
          <reference field="4" count="1" selected="0">
            <x v="2"/>
          </reference>
        </references>
      </pivotArea>
    </chartFormat>
    <chartFormat chart="2" format="6" series="1">
      <pivotArea type="data" outline="0" fieldPosition="0">
        <references count="4">
          <reference field="4294967294" count="1" selected="0">
            <x v="0"/>
          </reference>
          <reference field="1" count="1" selected="0">
            <x v="1"/>
          </reference>
          <reference field="2" count="1" selected="0">
            <x v="0"/>
          </reference>
          <reference field="4" count="1" selected="0">
            <x v="0"/>
          </reference>
        </references>
      </pivotArea>
    </chartFormat>
    <chartFormat chart="2" format="7" series="1">
      <pivotArea type="data" outline="0" fieldPosition="0">
        <references count="4">
          <reference field="4294967294" count="1" selected="0">
            <x v="0"/>
          </reference>
          <reference field="1" count="1" selected="0">
            <x v="1"/>
          </reference>
          <reference field="2" count="1" selected="0">
            <x v="1"/>
          </reference>
          <reference field="4" count="1" selected="0">
            <x v="0"/>
          </reference>
        </references>
      </pivotArea>
    </chartFormat>
    <chartFormat chart="2" format="8" series="1">
      <pivotArea type="data" outline="0" fieldPosition="0">
        <references count="4">
          <reference field="4294967294" count="1" selected="0">
            <x v="0"/>
          </reference>
          <reference field="1" count="1" selected="0">
            <x v="1"/>
          </reference>
          <reference field="2" count="1" selected="0">
            <x v="0"/>
          </reference>
          <reference field="4" count="1" selected="0">
            <x v="1"/>
          </reference>
        </references>
      </pivotArea>
    </chartFormat>
    <chartFormat chart="2" format="9" series="1">
      <pivotArea type="data" outline="0" fieldPosition="0">
        <references count="4">
          <reference field="4294967294" count="1" selected="0">
            <x v="0"/>
          </reference>
          <reference field="1" count="1" selected="0">
            <x v="1"/>
          </reference>
          <reference field="2" count="1" selected="0">
            <x v="1"/>
          </reference>
          <reference field="4" count="1" selected="0">
            <x v="1"/>
          </reference>
        </references>
      </pivotArea>
    </chartFormat>
    <chartFormat chart="2" format="10" series="1">
      <pivotArea type="data" outline="0" fieldPosition="0">
        <references count="4">
          <reference field="4294967294" count="1" selected="0">
            <x v="0"/>
          </reference>
          <reference field="1" count="1" selected="0">
            <x v="1"/>
          </reference>
          <reference field="2" count="1" selected="0">
            <x v="0"/>
          </reference>
          <reference field="4" count="1" selected="0">
            <x v="2"/>
          </reference>
        </references>
      </pivotArea>
    </chartFormat>
    <chartFormat chart="2" format="11" series="1">
      <pivotArea type="data" outline="0" fieldPosition="0">
        <references count="4">
          <reference field="4294967294" count="1" selected="0">
            <x v="0"/>
          </reference>
          <reference field="1" count="1" selected="0">
            <x v="1"/>
          </reference>
          <reference field="2" count="1" selected="0">
            <x v="1"/>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D642D86-6E46-480F-B3C8-7A7F51319AD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49:B53" firstHeaderRow="1" firstDataRow="1" firstDataCol="1"/>
  <pivotFields count="19">
    <pivotField showAll="0"/>
    <pivotField showAll="0">
      <items count="3">
        <item x="1"/>
        <item x="0"/>
        <item t="default"/>
      </items>
    </pivotField>
    <pivotField showAll="0"/>
    <pivotField showAll="0"/>
    <pivotField axis="axisRow" showAll="0">
      <items count="4">
        <item x="2"/>
        <item x="0"/>
        <item x="1"/>
        <item t="default"/>
      </items>
    </pivotField>
    <pivotField showAll="0"/>
    <pivotField showAll="0"/>
    <pivotField showAll="0"/>
    <pivotField showAll="0"/>
    <pivotField showAll="0"/>
    <pivotField showAll="0"/>
    <pivotField showAll="0">
      <items count="4">
        <item h="1" x="1"/>
        <item x="0"/>
        <item x="2"/>
        <item t="default"/>
      </items>
    </pivotField>
    <pivotField showAll="0"/>
    <pivotField showAll="0"/>
    <pivotField showAll="0"/>
    <pivotField showAll="0"/>
    <pivotField dataField="1" showAll="0">
      <items count="29">
        <item x="27"/>
        <item x="23"/>
        <item x="0"/>
        <item x="9"/>
        <item x="21"/>
        <item x="2"/>
        <item x="6"/>
        <item x="4"/>
        <item x="12"/>
        <item x="17"/>
        <item x="18"/>
        <item x="15"/>
        <item x="5"/>
        <item x="13"/>
        <item x="3"/>
        <item x="11"/>
        <item x="1"/>
        <item x="8"/>
        <item x="7"/>
        <item x="10"/>
        <item x="22"/>
        <item x="16"/>
        <item x="20"/>
        <item x="19"/>
        <item x="14"/>
        <item x="24"/>
        <item x="25"/>
        <item x="26"/>
        <item t="default"/>
      </items>
    </pivotField>
    <pivotField showAll="0"/>
    <pivotField showAll="0">
      <items count="4">
        <item x="0"/>
        <item x="1"/>
        <item x="2"/>
        <item t="default"/>
      </items>
    </pivotField>
  </pivotFields>
  <rowFields count="1">
    <field x="4"/>
  </rowFields>
  <rowItems count="4">
    <i>
      <x/>
    </i>
    <i>
      <x v="1"/>
    </i>
    <i>
      <x v="2"/>
    </i>
    <i t="grand">
      <x/>
    </i>
  </rowItems>
  <colItems count="1">
    <i/>
  </colItems>
  <dataFields count="1">
    <dataField name="Sum of mental distress score" fld="16" baseField="0" baseItem="0"/>
  </dataFields>
  <chartFormats count="12">
    <chartFormat chart="4"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4" count="1" selected="0">
            <x v="0"/>
          </reference>
        </references>
      </pivotArea>
    </chartFormat>
    <chartFormat chart="7" format="7">
      <pivotArea type="data" outline="0" fieldPosition="0">
        <references count="2">
          <reference field="4294967294" count="1" selected="0">
            <x v="0"/>
          </reference>
          <reference field="4" count="1" selected="0">
            <x v="1"/>
          </reference>
        </references>
      </pivotArea>
    </chartFormat>
    <chartFormat chart="7" format="8">
      <pivotArea type="data" outline="0" fieldPosition="0">
        <references count="2">
          <reference field="4294967294" count="1" selected="0">
            <x v="0"/>
          </reference>
          <reference field="4" count="1" selected="0">
            <x v="2"/>
          </reference>
        </references>
      </pivotArea>
    </chartFormat>
    <chartFormat chart="4" format="1">
      <pivotArea type="data" outline="0" fieldPosition="0">
        <references count="2">
          <reference field="4294967294" count="1" selected="0">
            <x v="0"/>
          </reference>
          <reference field="4" count="1" selected="0">
            <x v="0"/>
          </reference>
        </references>
      </pivotArea>
    </chartFormat>
    <chartFormat chart="4" format="2">
      <pivotArea type="data" outline="0" fieldPosition="0">
        <references count="2">
          <reference field="4294967294" count="1" selected="0">
            <x v="0"/>
          </reference>
          <reference field="4" count="1" selected="0">
            <x v="1"/>
          </reference>
        </references>
      </pivotArea>
    </chartFormat>
    <chartFormat chart="4" format="3">
      <pivotArea type="data" outline="0" fieldPosition="0">
        <references count="2">
          <reference field="4294967294" count="1" selected="0">
            <x v="0"/>
          </reference>
          <reference field="4" count="1" selected="0">
            <x v="2"/>
          </reference>
        </references>
      </pivotArea>
    </chartFormat>
    <chartFormat chart="17" format="8" series="1">
      <pivotArea type="data" outline="0" fieldPosition="0">
        <references count="1">
          <reference field="4294967294" count="1" selected="0">
            <x v="0"/>
          </reference>
        </references>
      </pivotArea>
    </chartFormat>
    <chartFormat chart="17" format="9">
      <pivotArea type="data" outline="0" fieldPosition="0">
        <references count="2">
          <reference field="4294967294" count="1" selected="0">
            <x v="0"/>
          </reference>
          <reference field="4" count="1" selected="0">
            <x v="0"/>
          </reference>
        </references>
      </pivotArea>
    </chartFormat>
    <chartFormat chart="17" format="10">
      <pivotArea type="data" outline="0" fieldPosition="0">
        <references count="2">
          <reference field="4294967294" count="1" selected="0">
            <x v="0"/>
          </reference>
          <reference field="4" count="1" selected="0">
            <x v="1"/>
          </reference>
        </references>
      </pivotArea>
    </chartFormat>
    <chartFormat chart="17" format="1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FA6314F-E536-4062-9858-F1A363B14706}"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19">
    <pivotField showAll="0"/>
    <pivotField showAll="0">
      <items count="3">
        <item x="1"/>
        <item x="0"/>
        <item t="default"/>
      </items>
    </pivotField>
    <pivotField showAll="0"/>
    <pivotField showAll="0"/>
    <pivotField showAll="0"/>
    <pivotField showAll="0"/>
    <pivotField showAll="0"/>
    <pivotField dataField="1" showAll="0"/>
    <pivotField showAll="0"/>
    <pivotField showAll="0"/>
    <pivotField showAll="0"/>
    <pivotField showAll="0">
      <items count="4">
        <item h="1" x="1"/>
        <item x="0"/>
        <item x="2"/>
        <item t="default"/>
      </items>
    </pivotField>
    <pivotField showAll="0"/>
    <pivotField showAll="0"/>
    <pivotField showAll="0"/>
    <pivotField showAll="0"/>
    <pivotField showAll="0"/>
    <pivotField showAll="0"/>
    <pivotField showAll="0">
      <items count="4">
        <item x="0"/>
        <item x="1"/>
        <item x="2"/>
        <item t="default"/>
      </items>
    </pivotField>
  </pivotFields>
  <rowItems count="1">
    <i/>
  </rowItems>
  <colItems count="1">
    <i/>
  </colItems>
  <dataFields count="1">
    <dataField name="Sum of Total screen time" fld="7" baseField="0" baseItem="0"/>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7C6DC3D-56D9-41E1-88C1-43362EBC738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2:D38" firstHeaderRow="1" firstDataRow="2" firstDataCol="1"/>
  <pivotFields count="19">
    <pivotField showAll="0"/>
    <pivotField axis="axisCol" showAll="0">
      <items count="3">
        <item x="1"/>
        <item x="0"/>
        <item t="default"/>
      </items>
    </pivotField>
    <pivotField showAll="0">
      <items count="3">
        <item x="1"/>
        <item x="0"/>
        <item t="default"/>
      </items>
    </pivotField>
    <pivotField showAll="0"/>
    <pivotField showAll="0"/>
    <pivotField showAll="0"/>
    <pivotField showAll="0"/>
    <pivotField showAll="0"/>
    <pivotField showAll="0"/>
    <pivotField axis="axisRow" showAll="0">
      <items count="5">
        <item x="1"/>
        <item x="3"/>
        <item x="0"/>
        <item x="2"/>
        <item t="default"/>
      </items>
    </pivotField>
    <pivotField showAll="0"/>
    <pivotField showAll="0">
      <items count="4">
        <item h="1" x="1"/>
        <item x="0"/>
        <item x="2"/>
        <item t="default"/>
      </items>
    </pivotField>
    <pivotField showAll="0"/>
    <pivotField showAll="0"/>
    <pivotField showAll="0"/>
    <pivotField showAll="0"/>
    <pivotField dataField="1" showAll="0"/>
    <pivotField showAll="0"/>
    <pivotField showAll="0">
      <items count="4">
        <item x="0"/>
        <item x="1"/>
        <item x="2"/>
        <item t="default"/>
      </items>
    </pivotField>
  </pivotFields>
  <rowFields count="1">
    <field x="9"/>
  </rowFields>
  <rowItems count="5">
    <i>
      <x/>
    </i>
    <i>
      <x v="1"/>
    </i>
    <i>
      <x v="2"/>
    </i>
    <i>
      <x v="3"/>
    </i>
    <i t="grand">
      <x/>
    </i>
  </rowItems>
  <colFields count="1">
    <field x="1"/>
  </colFields>
  <colItems count="3">
    <i>
      <x/>
    </i>
    <i>
      <x v="1"/>
    </i>
    <i t="grand">
      <x/>
    </i>
  </colItems>
  <dataFields count="1">
    <dataField name="Sum of mental distress score" fld="16" baseField="0" baseItem="0"/>
  </dataFields>
  <chartFormats count="10">
    <chartFormat chart="1" format="6" series="1">
      <pivotArea type="data" outline="0" fieldPosition="0">
        <references count="1">
          <reference field="1" count="1" selected="0">
            <x v="0"/>
          </reference>
        </references>
      </pivotArea>
    </chartFormat>
    <chartFormat chart="1" format="7" series="1">
      <pivotArea type="data" outline="0" fieldPosition="0">
        <references count="1">
          <reference field="1" count="1" selected="0">
            <x v="1"/>
          </reference>
        </references>
      </pivotArea>
    </chartFormat>
    <chartFormat chart="6" format="10" series="1">
      <pivotArea type="data" outline="0" fieldPosition="0">
        <references count="2">
          <reference field="4294967294" count="1" selected="0">
            <x v="0"/>
          </reference>
          <reference field="1" count="1" selected="0">
            <x v="0"/>
          </reference>
        </references>
      </pivotArea>
    </chartFormat>
    <chartFormat chart="6" format="11" series="1">
      <pivotArea type="data" outline="0" fieldPosition="0">
        <references count="2">
          <reference field="4294967294" count="1" selected="0">
            <x v="0"/>
          </reference>
          <reference field="1" count="1" selected="0">
            <x v="1"/>
          </reference>
        </references>
      </pivotArea>
    </chartFormat>
    <chartFormat chart="1" format="8" series="1">
      <pivotArea type="data" outline="0" fieldPosition="0">
        <references count="2">
          <reference field="4294967294" count="1" selected="0">
            <x v="0"/>
          </reference>
          <reference field="1" count="1" selected="0">
            <x v="0"/>
          </reference>
        </references>
      </pivotArea>
    </chartFormat>
    <chartFormat chart="1" format="9" series="1">
      <pivotArea type="data" outline="0" fieldPosition="0">
        <references count="2">
          <reference field="4294967294" count="1" selected="0">
            <x v="0"/>
          </reference>
          <reference field="1" count="1" selected="0">
            <x v="1"/>
          </reference>
        </references>
      </pivotArea>
    </chartFormat>
    <chartFormat chart="8" format="10" series="1">
      <pivotArea type="data" outline="0" fieldPosition="0">
        <references count="2">
          <reference field="4294967294" count="1" selected="0">
            <x v="0"/>
          </reference>
          <reference field="1" count="1" selected="0">
            <x v="0"/>
          </reference>
        </references>
      </pivotArea>
    </chartFormat>
    <chartFormat chart="8" format="11" series="1">
      <pivotArea type="data" outline="0" fieldPosition="0">
        <references count="2">
          <reference field="4294967294" count="1" selected="0">
            <x v="0"/>
          </reference>
          <reference field="1" count="1" selected="0">
            <x v="1"/>
          </reference>
        </references>
      </pivotArea>
    </chartFormat>
    <chartFormat chart="9" format="12" series="1">
      <pivotArea type="data" outline="0" fieldPosition="0">
        <references count="2">
          <reference field="4294967294" count="1" selected="0">
            <x v="0"/>
          </reference>
          <reference field="1" count="1" selected="0">
            <x v="0"/>
          </reference>
        </references>
      </pivotArea>
    </chartFormat>
    <chartFormat chart="9" format="13"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F532C9A-1747-43B4-97D7-6505FFA7BA6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60:B63" firstHeaderRow="1" firstDataRow="1" firstDataCol="1"/>
  <pivotFields count="19">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axis="axisRow" showAll="0">
      <items count="4">
        <item h="1" x="1"/>
        <item x="0"/>
        <item x="2"/>
        <item t="default"/>
      </items>
    </pivotField>
    <pivotField dataField="1" showAll="0"/>
    <pivotField showAll="0"/>
    <pivotField showAll="0"/>
    <pivotField showAll="0"/>
    <pivotField showAll="0"/>
    <pivotField showAll="0"/>
    <pivotField showAll="0">
      <items count="4">
        <item x="0"/>
        <item x="1"/>
        <item x="2"/>
        <item t="default"/>
      </items>
    </pivotField>
  </pivotFields>
  <rowFields count="1">
    <field x="11"/>
  </rowFields>
  <rowItems count="3">
    <i>
      <x v="1"/>
    </i>
    <i>
      <x v="2"/>
    </i>
    <i t="grand">
      <x/>
    </i>
  </rowItems>
  <colItems count="1">
    <i/>
  </colItems>
  <dataFields count="1">
    <dataField name="Sum of stress_level" fld="12" baseField="0" baseItem="0"/>
  </dataFields>
  <chartFormats count="2">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ocial_interaction_level" xr10:uid="{CA181296-55D5-4DA0-9E46-39A238DDDB5A}" sourceName="social_interaction_level">
  <pivotTables>
    <pivotTable tabId="5" name="PivotTable8"/>
    <pivotTable tabId="5" name="PivotTable1"/>
    <pivotTable tabId="5" name="PivotTable10"/>
    <pivotTable tabId="5" name="PivotTable2"/>
    <pivotTable tabId="5" name="PivotTable3"/>
    <pivotTable tabId="5" name="PivotTable4"/>
    <pivotTable tabId="5" name="PivotTable5"/>
    <pivotTable tabId="5" name="PivotTable6"/>
    <pivotTable tabId="5" name="PivotTable7"/>
    <pivotTable tabId="5" name="PivotTable9"/>
  </pivotTables>
  <data>
    <tabular pivotCacheId="1020956283">
      <items count="3">
        <i x="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ntal_State" xr10:uid="{6EB209DD-9AB9-4548-8B89-E105D8539074}" sourceName="Mental State">
  <pivotTables>
    <pivotTable tabId="5" name="PivotTable6"/>
    <pivotTable tabId="5" name="PivotTable1"/>
    <pivotTable tabId="5" name="PivotTable10"/>
    <pivotTable tabId="5" name="PivotTable2"/>
    <pivotTable tabId="5" name="PivotTable3"/>
    <pivotTable tabId="5" name="PivotTable4"/>
    <pivotTable tabId="5" name="PivotTable5"/>
    <pivotTable tabId="5" name="PivotTable7"/>
    <pivotTable tabId="5" name="PivotTable8"/>
    <pivotTable tabId="5" name="PivotTable9"/>
  </pivotTables>
  <data>
    <tabular pivotCacheId="1020956283">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A33639D-6E4D-4028-BA4F-21D15BB8875D}" sourceName="Category">
  <pivotTables>
    <pivotTable tabId="5" name="PivotTable1"/>
    <pivotTable tabId="5" name="PivotTable10"/>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s>
  <data>
    <tabular pivotCacheId="1020956283">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ocial_interaction_level" xr10:uid="{6ADB93E8-9C57-459E-9656-1D6F84E80E23}" cache="Slicer_social_interaction_level" caption="social_interaction_level" style="Slicer Style 1" rowHeight="257175"/>
  <slicer name="Mental State" xr10:uid="{8AD6C4F6-DECD-48E1-AC84-FAC4BB4AACE6}" cache="Slicer_Mental_State" caption="Mental State" style="Slicer Style 1" rowHeight="257175"/>
  <slicer name="Category" xr10:uid="{DD5E24B2-ADE7-4365-A0D9-C0E41B4EC2AB}" cache="Slicer_Category" caption="Category" style="Slicer Style 1"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0985E-B603-44D0-BFE0-CA84FBCEC9B4}">
  <dimension ref="A1:M1201"/>
  <sheetViews>
    <sheetView topLeftCell="K1" workbookViewId="0"/>
  </sheetViews>
  <sheetFormatPr defaultRowHeight="15" x14ac:dyDescent="0.25"/>
  <cols>
    <col min="6" max="6" width="24" bestFit="1"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14</v>
      </c>
      <c r="B2" t="s">
        <v>16</v>
      </c>
      <c r="C2">
        <v>7.9</v>
      </c>
      <c r="D2" t="s">
        <v>17</v>
      </c>
      <c r="E2">
        <v>7.4</v>
      </c>
      <c r="F2">
        <v>2.9</v>
      </c>
      <c r="G2">
        <v>3.01</v>
      </c>
      <c r="H2">
        <v>1.5</v>
      </c>
      <c r="I2" t="s">
        <v>18</v>
      </c>
      <c r="J2">
        <v>2</v>
      </c>
      <c r="K2">
        <v>2</v>
      </c>
      <c r="L2">
        <v>1</v>
      </c>
      <c r="M2">
        <v>0</v>
      </c>
    </row>
    <row r="3" spans="1:13" x14ac:dyDescent="0.25">
      <c r="A3">
        <v>19</v>
      </c>
      <c r="B3" t="s">
        <v>19</v>
      </c>
      <c r="C3">
        <v>1.9</v>
      </c>
      <c r="D3" t="s">
        <v>20</v>
      </c>
      <c r="E3">
        <v>8</v>
      </c>
      <c r="F3">
        <v>2.9</v>
      </c>
      <c r="G3">
        <v>3.22</v>
      </c>
      <c r="H3">
        <v>0.8</v>
      </c>
      <c r="I3" t="s">
        <v>21</v>
      </c>
      <c r="J3">
        <v>8</v>
      </c>
      <c r="K3">
        <v>1</v>
      </c>
      <c r="L3">
        <v>10</v>
      </c>
      <c r="M3">
        <v>0</v>
      </c>
    </row>
    <row r="4" spans="1:13" x14ac:dyDescent="0.25">
      <c r="A4">
        <v>17</v>
      </c>
      <c r="B4" t="s">
        <v>19</v>
      </c>
      <c r="C4">
        <v>1.3</v>
      </c>
      <c r="D4" t="s">
        <v>17</v>
      </c>
      <c r="E4">
        <v>7.6</v>
      </c>
      <c r="F4">
        <v>0.5</v>
      </c>
      <c r="G4">
        <v>3.92</v>
      </c>
      <c r="H4">
        <v>0</v>
      </c>
      <c r="I4" t="s">
        <v>21</v>
      </c>
      <c r="J4">
        <v>2</v>
      </c>
      <c r="K4">
        <v>4</v>
      </c>
      <c r="L4">
        <v>2</v>
      </c>
      <c r="M4">
        <v>0</v>
      </c>
    </row>
    <row r="5" spans="1:13" x14ac:dyDescent="0.25">
      <c r="A5">
        <v>15</v>
      </c>
      <c r="B5" t="s">
        <v>16</v>
      </c>
      <c r="C5">
        <v>7.4</v>
      </c>
      <c r="D5" t="s">
        <v>20</v>
      </c>
      <c r="E5">
        <v>6.9</v>
      </c>
      <c r="F5">
        <v>1.6</v>
      </c>
      <c r="G5">
        <v>3.48</v>
      </c>
      <c r="H5">
        <v>0.8</v>
      </c>
      <c r="I5" t="s">
        <v>22</v>
      </c>
      <c r="J5">
        <v>1</v>
      </c>
      <c r="K5">
        <v>7</v>
      </c>
      <c r="L5">
        <v>9</v>
      </c>
      <c r="M5">
        <v>0</v>
      </c>
    </row>
    <row r="6" spans="1:13" x14ac:dyDescent="0.25">
      <c r="A6">
        <v>15</v>
      </c>
      <c r="B6" t="s">
        <v>19</v>
      </c>
      <c r="C6">
        <v>4.7</v>
      </c>
      <c r="D6" t="s">
        <v>23</v>
      </c>
      <c r="E6">
        <v>4.9000000000000004</v>
      </c>
      <c r="F6">
        <v>3</v>
      </c>
      <c r="G6">
        <v>2.37</v>
      </c>
      <c r="H6">
        <v>1.4</v>
      </c>
      <c r="I6" t="s">
        <v>22</v>
      </c>
      <c r="J6">
        <v>3</v>
      </c>
      <c r="K6">
        <v>5</v>
      </c>
      <c r="L6">
        <v>2</v>
      </c>
      <c r="M6">
        <v>0</v>
      </c>
    </row>
    <row r="7" spans="1:13" x14ac:dyDescent="0.25">
      <c r="A7">
        <v>19</v>
      </c>
      <c r="B7" t="s">
        <v>19</v>
      </c>
      <c r="C7">
        <v>7.4</v>
      </c>
      <c r="D7" t="s">
        <v>23</v>
      </c>
      <c r="E7">
        <v>4.4000000000000004</v>
      </c>
      <c r="F7">
        <v>2.4</v>
      </c>
      <c r="G7">
        <v>2.63</v>
      </c>
      <c r="H7">
        <v>0.6</v>
      </c>
      <c r="I7" t="s">
        <v>21</v>
      </c>
      <c r="J7">
        <v>3</v>
      </c>
      <c r="K7">
        <v>5</v>
      </c>
      <c r="L7">
        <v>7</v>
      </c>
      <c r="M7">
        <v>0</v>
      </c>
    </row>
    <row r="8" spans="1:13" x14ac:dyDescent="0.25">
      <c r="A8">
        <v>18</v>
      </c>
      <c r="B8" t="s">
        <v>19</v>
      </c>
      <c r="C8">
        <v>2.5</v>
      </c>
      <c r="D8" t="s">
        <v>17</v>
      </c>
      <c r="E8">
        <v>6.4</v>
      </c>
      <c r="F8">
        <v>2.4</v>
      </c>
      <c r="G8">
        <v>2.63</v>
      </c>
      <c r="H8">
        <v>0.7</v>
      </c>
      <c r="I8" t="s">
        <v>18</v>
      </c>
      <c r="J8">
        <v>2</v>
      </c>
      <c r="K8">
        <v>2</v>
      </c>
      <c r="L8">
        <v>5</v>
      </c>
      <c r="M8">
        <v>0</v>
      </c>
    </row>
    <row r="9" spans="1:13" x14ac:dyDescent="0.25">
      <c r="A9">
        <v>16</v>
      </c>
      <c r="B9" t="s">
        <v>16</v>
      </c>
      <c r="C9">
        <v>4</v>
      </c>
      <c r="D9" t="s">
        <v>23</v>
      </c>
      <c r="E9">
        <v>4.2</v>
      </c>
      <c r="F9">
        <v>0.5</v>
      </c>
      <c r="G9">
        <v>2.4</v>
      </c>
      <c r="H9">
        <v>1.3</v>
      </c>
      <c r="I9" t="s">
        <v>18</v>
      </c>
      <c r="J9">
        <v>6</v>
      </c>
      <c r="K9">
        <v>10</v>
      </c>
      <c r="L9">
        <v>5</v>
      </c>
      <c r="M9">
        <v>0</v>
      </c>
    </row>
    <row r="10" spans="1:13" x14ac:dyDescent="0.25">
      <c r="A10">
        <v>19</v>
      </c>
      <c r="B10" t="s">
        <v>19</v>
      </c>
      <c r="C10">
        <v>3.3</v>
      </c>
      <c r="D10" t="s">
        <v>20</v>
      </c>
      <c r="E10">
        <v>5</v>
      </c>
      <c r="F10">
        <v>2.1</v>
      </c>
      <c r="G10">
        <v>2.04</v>
      </c>
      <c r="H10">
        <v>0.9</v>
      </c>
      <c r="I10" t="s">
        <v>21</v>
      </c>
      <c r="J10">
        <v>1</v>
      </c>
      <c r="K10">
        <v>10</v>
      </c>
      <c r="L10">
        <v>9</v>
      </c>
      <c r="M10">
        <v>0</v>
      </c>
    </row>
    <row r="11" spans="1:13" x14ac:dyDescent="0.25">
      <c r="A11">
        <v>15</v>
      </c>
      <c r="B11" t="s">
        <v>16</v>
      </c>
      <c r="C11">
        <v>1.9</v>
      </c>
      <c r="D11" t="s">
        <v>20</v>
      </c>
      <c r="E11">
        <v>4.9000000000000004</v>
      </c>
      <c r="F11">
        <v>1.5</v>
      </c>
      <c r="G11">
        <v>3.77</v>
      </c>
      <c r="H11">
        <v>1.1000000000000001</v>
      </c>
      <c r="I11" t="s">
        <v>21</v>
      </c>
      <c r="J11">
        <v>1</v>
      </c>
      <c r="K11">
        <v>1</v>
      </c>
      <c r="L11">
        <v>4</v>
      </c>
      <c r="M11">
        <v>0</v>
      </c>
    </row>
    <row r="12" spans="1:13" x14ac:dyDescent="0.25">
      <c r="A12">
        <v>16</v>
      </c>
      <c r="B12" t="s">
        <v>16</v>
      </c>
      <c r="C12">
        <v>7.2</v>
      </c>
      <c r="D12" t="s">
        <v>23</v>
      </c>
      <c r="E12">
        <v>5.8</v>
      </c>
      <c r="F12">
        <v>2.9</v>
      </c>
      <c r="G12">
        <v>3.16</v>
      </c>
      <c r="H12">
        <v>1.2</v>
      </c>
      <c r="I12" t="s">
        <v>22</v>
      </c>
      <c r="J12">
        <v>5</v>
      </c>
      <c r="K12">
        <v>8</v>
      </c>
      <c r="L12">
        <v>9</v>
      </c>
      <c r="M12">
        <v>0</v>
      </c>
    </row>
    <row r="13" spans="1:13" x14ac:dyDescent="0.25">
      <c r="A13">
        <v>13</v>
      </c>
      <c r="B13" t="s">
        <v>16</v>
      </c>
      <c r="C13">
        <v>4.9000000000000004</v>
      </c>
      <c r="D13" t="s">
        <v>17</v>
      </c>
      <c r="E13">
        <v>4.7</v>
      </c>
      <c r="F13">
        <v>2.5</v>
      </c>
      <c r="G13">
        <v>3.92</v>
      </c>
      <c r="H13">
        <v>1.2</v>
      </c>
      <c r="I13" t="s">
        <v>18</v>
      </c>
      <c r="J13">
        <v>1</v>
      </c>
      <c r="K13">
        <v>10</v>
      </c>
      <c r="L13">
        <v>8</v>
      </c>
      <c r="M13">
        <v>0</v>
      </c>
    </row>
    <row r="14" spans="1:13" x14ac:dyDescent="0.25">
      <c r="A14">
        <v>16</v>
      </c>
      <c r="B14" t="s">
        <v>16</v>
      </c>
      <c r="C14">
        <v>6.2</v>
      </c>
      <c r="D14" t="s">
        <v>23</v>
      </c>
      <c r="E14">
        <v>7.2</v>
      </c>
      <c r="F14">
        <v>2.6</v>
      </c>
      <c r="G14">
        <v>2.02</v>
      </c>
      <c r="H14">
        <v>1.7</v>
      </c>
      <c r="I14" t="s">
        <v>22</v>
      </c>
      <c r="J14">
        <v>5</v>
      </c>
      <c r="K14">
        <v>7</v>
      </c>
      <c r="L14">
        <v>6</v>
      </c>
      <c r="M14">
        <v>0</v>
      </c>
    </row>
    <row r="15" spans="1:13" x14ac:dyDescent="0.25">
      <c r="A15">
        <v>17</v>
      </c>
      <c r="B15" t="s">
        <v>19</v>
      </c>
      <c r="C15">
        <v>6.8</v>
      </c>
      <c r="D15" t="s">
        <v>20</v>
      </c>
      <c r="E15">
        <v>5.7</v>
      </c>
      <c r="F15">
        <v>1.1000000000000001</v>
      </c>
      <c r="G15">
        <v>3.29</v>
      </c>
      <c r="H15">
        <v>1.3</v>
      </c>
      <c r="I15" t="s">
        <v>22</v>
      </c>
      <c r="J15">
        <v>1</v>
      </c>
      <c r="K15">
        <v>10</v>
      </c>
      <c r="L15">
        <v>10</v>
      </c>
      <c r="M15">
        <v>0</v>
      </c>
    </row>
    <row r="16" spans="1:13" x14ac:dyDescent="0.25">
      <c r="A16">
        <v>15</v>
      </c>
      <c r="B16" t="s">
        <v>16</v>
      </c>
      <c r="C16">
        <v>5.7</v>
      </c>
      <c r="D16" t="s">
        <v>20</v>
      </c>
      <c r="E16">
        <v>5.9</v>
      </c>
      <c r="F16">
        <v>0.8</v>
      </c>
      <c r="G16">
        <v>3.5</v>
      </c>
      <c r="H16">
        <v>0.7</v>
      </c>
      <c r="I16" t="s">
        <v>18</v>
      </c>
      <c r="J16">
        <v>1</v>
      </c>
      <c r="K16">
        <v>9</v>
      </c>
      <c r="L16">
        <v>1</v>
      </c>
      <c r="M16">
        <v>0</v>
      </c>
    </row>
    <row r="17" spans="1:13" x14ac:dyDescent="0.25">
      <c r="A17">
        <v>14</v>
      </c>
      <c r="B17" t="s">
        <v>19</v>
      </c>
      <c r="C17">
        <v>3.6</v>
      </c>
      <c r="D17" t="s">
        <v>23</v>
      </c>
      <c r="E17">
        <v>5.3</v>
      </c>
      <c r="F17">
        <v>0.6</v>
      </c>
      <c r="G17">
        <v>2.99</v>
      </c>
      <c r="H17">
        <v>0.3</v>
      </c>
      <c r="I17" t="s">
        <v>21</v>
      </c>
      <c r="J17">
        <v>4</v>
      </c>
      <c r="K17">
        <v>10</v>
      </c>
      <c r="L17">
        <v>2</v>
      </c>
      <c r="M17">
        <v>0</v>
      </c>
    </row>
    <row r="18" spans="1:13" x14ac:dyDescent="0.25">
      <c r="A18">
        <v>13</v>
      </c>
      <c r="B18" t="s">
        <v>16</v>
      </c>
      <c r="C18">
        <v>1.5</v>
      </c>
      <c r="D18" t="s">
        <v>23</v>
      </c>
      <c r="E18">
        <v>4.2</v>
      </c>
      <c r="F18">
        <v>1.4</v>
      </c>
      <c r="G18">
        <v>2.59</v>
      </c>
      <c r="H18">
        <v>0.5</v>
      </c>
      <c r="I18" t="s">
        <v>21</v>
      </c>
      <c r="J18">
        <v>4</v>
      </c>
      <c r="K18">
        <v>5</v>
      </c>
      <c r="L18">
        <v>8</v>
      </c>
      <c r="M18">
        <v>0</v>
      </c>
    </row>
    <row r="19" spans="1:13" x14ac:dyDescent="0.25">
      <c r="A19">
        <v>16</v>
      </c>
      <c r="B19" t="s">
        <v>16</v>
      </c>
      <c r="C19">
        <v>3.1</v>
      </c>
      <c r="D19" t="s">
        <v>23</v>
      </c>
      <c r="E19">
        <v>6.1</v>
      </c>
      <c r="F19">
        <v>0.8</v>
      </c>
      <c r="G19">
        <v>2.11</v>
      </c>
      <c r="H19">
        <v>1.9</v>
      </c>
      <c r="I19" t="s">
        <v>21</v>
      </c>
      <c r="J19">
        <v>10</v>
      </c>
      <c r="K19">
        <v>7</v>
      </c>
      <c r="L19">
        <v>10</v>
      </c>
      <c r="M19">
        <v>0</v>
      </c>
    </row>
    <row r="20" spans="1:13" x14ac:dyDescent="0.25">
      <c r="A20">
        <v>16</v>
      </c>
      <c r="B20" t="s">
        <v>19</v>
      </c>
      <c r="C20">
        <v>6.7</v>
      </c>
      <c r="D20" t="s">
        <v>23</v>
      </c>
      <c r="E20">
        <v>6.8</v>
      </c>
      <c r="F20">
        <v>1.9</v>
      </c>
      <c r="G20">
        <v>3.08</v>
      </c>
      <c r="H20">
        <v>1.4</v>
      </c>
      <c r="I20" t="s">
        <v>21</v>
      </c>
      <c r="J20">
        <v>10</v>
      </c>
      <c r="K20">
        <v>9</v>
      </c>
      <c r="L20">
        <v>1</v>
      </c>
      <c r="M20">
        <v>0</v>
      </c>
    </row>
    <row r="21" spans="1:13" x14ac:dyDescent="0.25">
      <c r="A21">
        <v>14</v>
      </c>
      <c r="B21" t="s">
        <v>19</v>
      </c>
      <c r="C21">
        <v>1.2</v>
      </c>
      <c r="D21" t="s">
        <v>17</v>
      </c>
      <c r="E21">
        <v>7.6</v>
      </c>
      <c r="F21">
        <v>1</v>
      </c>
      <c r="G21">
        <v>3.85</v>
      </c>
      <c r="H21">
        <v>0.8</v>
      </c>
      <c r="I21" t="s">
        <v>21</v>
      </c>
      <c r="J21">
        <v>8</v>
      </c>
      <c r="K21">
        <v>4</v>
      </c>
      <c r="L21">
        <v>6</v>
      </c>
      <c r="M21">
        <v>0</v>
      </c>
    </row>
    <row r="22" spans="1:13" x14ac:dyDescent="0.25">
      <c r="A22">
        <v>16</v>
      </c>
      <c r="B22" t="s">
        <v>16</v>
      </c>
      <c r="C22">
        <v>3.4</v>
      </c>
      <c r="D22" t="s">
        <v>20</v>
      </c>
      <c r="E22">
        <v>4.5999999999999996</v>
      </c>
      <c r="F22">
        <v>2.1</v>
      </c>
      <c r="G22">
        <v>2.2400000000000002</v>
      </c>
      <c r="H22">
        <v>0.4</v>
      </c>
      <c r="I22" t="s">
        <v>21</v>
      </c>
      <c r="J22">
        <v>4</v>
      </c>
      <c r="K22">
        <v>1</v>
      </c>
      <c r="L22">
        <v>3</v>
      </c>
      <c r="M22">
        <v>0</v>
      </c>
    </row>
    <row r="23" spans="1:13" x14ac:dyDescent="0.25">
      <c r="A23">
        <v>18</v>
      </c>
      <c r="B23" t="s">
        <v>16</v>
      </c>
      <c r="C23">
        <v>4.0999999999999996</v>
      </c>
      <c r="D23" t="s">
        <v>23</v>
      </c>
      <c r="E23">
        <v>7.4</v>
      </c>
      <c r="F23">
        <v>2.4</v>
      </c>
      <c r="G23">
        <v>2.38</v>
      </c>
      <c r="H23">
        <v>1.5</v>
      </c>
      <c r="I23" t="s">
        <v>22</v>
      </c>
      <c r="J23">
        <v>8</v>
      </c>
      <c r="K23">
        <v>4</v>
      </c>
      <c r="L23">
        <v>9</v>
      </c>
      <c r="M23">
        <v>0</v>
      </c>
    </row>
    <row r="24" spans="1:13" x14ac:dyDescent="0.25">
      <c r="A24">
        <v>18</v>
      </c>
      <c r="B24" t="s">
        <v>16</v>
      </c>
      <c r="C24">
        <v>5.3</v>
      </c>
      <c r="D24" t="s">
        <v>17</v>
      </c>
      <c r="E24">
        <v>4.9000000000000004</v>
      </c>
      <c r="F24">
        <v>1.2</v>
      </c>
      <c r="G24">
        <v>3.69</v>
      </c>
      <c r="H24">
        <v>1.2</v>
      </c>
      <c r="I24" t="s">
        <v>18</v>
      </c>
      <c r="J24">
        <v>5</v>
      </c>
      <c r="K24">
        <v>4</v>
      </c>
      <c r="L24">
        <v>5</v>
      </c>
      <c r="M24">
        <v>0</v>
      </c>
    </row>
    <row r="25" spans="1:13" x14ac:dyDescent="0.25">
      <c r="A25">
        <v>18</v>
      </c>
      <c r="B25" t="s">
        <v>19</v>
      </c>
      <c r="C25">
        <v>2.2999999999999998</v>
      </c>
      <c r="D25" t="s">
        <v>20</v>
      </c>
      <c r="E25">
        <v>7.6</v>
      </c>
      <c r="F25">
        <v>0.5</v>
      </c>
      <c r="G25">
        <v>2.96</v>
      </c>
      <c r="H25">
        <v>1.7</v>
      </c>
      <c r="I25" t="s">
        <v>22</v>
      </c>
      <c r="J25">
        <v>9</v>
      </c>
      <c r="K25">
        <v>8</v>
      </c>
      <c r="L25">
        <v>7</v>
      </c>
      <c r="M25">
        <v>0</v>
      </c>
    </row>
    <row r="26" spans="1:13" x14ac:dyDescent="0.25">
      <c r="A26">
        <v>18</v>
      </c>
      <c r="B26" t="s">
        <v>19</v>
      </c>
      <c r="C26">
        <v>2.4</v>
      </c>
      <c r="D26" t="s">
        <v>23</v>
      </c>
      <c r="E26">
        <v>6.7</v>
      </c>
      <c r="F26">
        <v>1.9</v>
      </c>
      <c r="G26">
        <v>2.5299999999999998</v>
      </c>
      <c r="H26">
        <v>0.4</v>
      </c>
      <c r="I26" t="s">
        <v>21</v>
      </c>
      <c r="J26">
        <v>8</v>
      </c>
      <c r="K26">
        <v>8</v>
      </c>
      <c r="L26">
        <v>2</v>
      </c>
      <c r="M26">
        <v>0</v>
      </c>
    </row>
    <row r="27" spans="1:13" x14ac:dyDescent="0.25">
      <c r="A27">
        <v>13</v>
      </c>
      <c r="B27" t="s">
        <v>19</v>
      </c>
      <c r="C27">
        <v>1.5</v>
      </c>
      <c r="D27" t="s">
        <v>23</v>
      </c>
      <c r="E27">
        <v>7.2</v>
      </c>
      <c r="F27">
        <v>2.5</v>
      </c>
      <c r="G27">
        <v>2.15</v>
      </c>
      <c r="H27">
        <v>1.3</v>
      </c>
      <c r="I27" t="s">
        <v>22</v>
      </c>
      <c r="J27">
        <v>4</v>
      </c>
      <c r="K27">
        <v>6</v>
      </c>
      <c r="L27">
        <v>2</v>
      </c>
      <c r="M27">
        <v>0</v>
      </c>
    </row>
    <row r="28" spans="1:13" x14ac:dyDescent="0.25">
      <c r="A28">
        <v>14</v>
      </c>
      <c r="B28" t="s">
        <v>19</v>
      </c>
      <c r="C28">
        <v>5.7</v>
      </c>
      <c r="D28" t="s">
        <v>23</v>
      </c>
      <c r="E28">
        <v>8.6999999999999993</v>
      </c>
      <c r="F28">
        <v>0.6</v>
      </c>
      <c r="G28">
        <v>2.64</v>
      </c>
      <c r="H28">
        <v>0.1</v>
      </c>
      <c r="I28" t="s">
        <v>18</v>
      </c>
      <c r="J28">
        <v>8</v>
      </c>
      <c r="K28">
        <v>9</v>
      </c>
      <c r="L28">
        <v>4</v>
      </c>
      <c r="M28">
        <v>0</v>
      </c>
    </row>
    <row r="29" spans="1:13" x14ac:dyDescent="0.25">
      <c r="A29">
        <v>19</v>
      </c>
      <c r="B29" t="s">
        <v>16</v>
      </c>
      <c r="C29">
        <v>2</v>
      </c>
      <c r="D29" t="s">
        <v>20</v>
      </c>
      <c r="E29">
        <v>7.1</v>
      </c>
      <c r="F29">
        <v>0.9</v>
      </c>
      <c r="G29">
        <v>3.26</v>
      </c>
      <c r="H29">
        <v>1.6</v>
      </c>
      <c r="I29" t="s">
        <v>21</v>
      </c>
      <c r="J29">
        <v>7</v>
      </c>
      <c r="K29">
        <v>5</v>
      </c>
      <c r="L29">
        <v>9</v>
      </c>
      <c r="M29">
        <v>0</v>
      </c>
    </row>
    <row r="30" spans="1:13" x14ac:dyDescent="0.25">
      <c r="A30">
        <v>14</v>
      </c>
      <c r="B30" t="s">
        <v>16</v>
      </c>
      <c r="C30">
        <v>2.5</v>
      </c>
      <c r="D30" t="s">
        <v>20</v>
      </c>
      <c r="E30">
        <v>5.6</v>
      </c>
      <c r="F30">
        <v>2.9</v>
      </c>
      <c r="G30">
        <v>2.2400000000000002</v>
      </c>
      <c r="H30">
        <v>0.5</v>
      </c>
      <c r="I30" t="s">
        <v>18</v>
      </c>
      <c r="J30">
        <v>3</v>
      </c>
      <c r="K30">
        <v>9</v>
      </c>
      <c r="L30">
        <v>5</v>
      </c>
      <c r="M30">
        <v>0</v>
      </c>
    </row>
    <row r="31" spans="1:13" x14ac:dyDescent="0.25">
      <c r="A31">
        <v>16</v>
      </c>
      <c r="B31" t="s">
        <v>19</v>
      </c>
      <c r="C31">
        <v>3.4</v>
      </c>
      <c r="D31" t="s">
        <v>20</v>
      </c>
      <c r="E31">
        <v>7.8</v>
      </c>
      <c r="F31">
        <v>2.8</v>
      </c>
      <c r="G31">
        <v>3.83</v>
      </c>
      <c r="H31">
        <v>1.8</v>
      </c>
      <c r="I31" t="s">
        <v>22</v>
      </c>
      <c r="J31">
        <v>6</v>
      </c>
      <c r="K31">
        <v>6</v>
      </c>
      <c r="L31">
        <v>4</v>
      </c>
      <c r="M31">
        <v>0</v>
      </c>
    </row>
    <row r="32" spans="1:13" x14ac:dyDescent="0.25">
      <c r="A32">
        <v>13</v>
      </c>
      <c r="B32" t="s">
        <v>16</v>
      </c>
      <c r="C32">
        <v>6.6</v>
      </c>
      <c r="D32" t="s">
        <v>20</v>
      </c>
      <c r="E32">
        <v>5.7</v>
      </c>
      <c r="F32">
        <v>2.5</v>
      </c>
      <c r="G32">
        <v>2.67</v>
      </c>
      <c r="H32">
        <v>1.1000000000000001</v>
      </c>
      <c r="I32" t="s">
        <v>18</v>
      </c>
      <c r="J32">
        <v>2</v>
      </c>
      <c r="K32">
        <v>1</v>
      </c>
      <c r="L32">
        <v>10</v>
      </c>
      <c r="M32">
        <v>0</v>
      </c>
    </row>
    <row r="33" spans="1:13" x14ac:dyDescent="0.25">
      <c r="A33">
        <v>13</v>
      </c>
      <c r="B33" t="s">
        <v>19</v>
      </c>
      <c r="C33">
        <v>1.6</v>
      </c>
      <c r="D33" t="s">
        <v>17</v>
      </c>
      <c r="E33">
        <v>8.6999999999999993</v>
      </c>
      <c r="F33">
        <v>2.5</v>
      </c>
      <c r="G33">
        <v>3.69</v>
      </c>
      <c r="H33">
        <v>0.4</v>
      </c>
      <c r="I33" t="s">
        <v>21</v>
      </c>
      <c r="J33">
        <v>8</v>
      </c>
      <c r="K33">
        <v>2</v>
      </c>
      <c r="L33">
        <v>9</v>
      </c>
      <c r="M33">
        <v>0</v>
      </c>
    </row>
    <row r="34" spans="1:13" x14ac:dyDescent="0.25">
      <c r="A34">
        <v>16</v>
      </c>
      <c r="B34" t="s">
        <v>16</v>
      </c>
      <c r="C34">
        <v>2.7</v>
      </c>
      <c r="D34" t="s">
        <v>17</v>
      </c>
      <c r="E34">
        <v>4.2</v>
      </c>
      <c r="F34">
        <v>2.4</v>
      </c>
      <c r="G34">
        <v>3.05</v>
      </c>
      <c r="H34">
        <v>0.2</v>
      </c>
      <c r="I34" t="s">
        <v>21</v>
      </c>
      <c r="J34">
        <v>1</v>
      </c>
      <c r="K34">
        <v>8</v>
      </c>
      <c r="L34">
        <v>4</v>
      </c>
      <c r="M34">
        <v>0</v>
      </c>
    </row>
    <row r="35" spans="1:13" x14ac:dyDescent="0.25">
      <c r="A35">
        <v>14</v>
      </c>
      <c r="B35" t="s">
        <v>16</v>
      </c>
      <c r="C35">
        <v>4.0999999999999996</v>
      </c>
      <c r="D35" t="s">
        <v>20</v>
      </c>
      <c r="E35">
        <v>8</v>
      </c>
      <c r="F35">
        <v>3</v>
      </c>
      <c r="G35">
        <v>2.31</v>
      </c>
      <c r="H35">
        <v>0.8</v>
      </c>
      <c r="I35" t="s">
        <v>18</v>
      </c>
      <c r="J35">
        <v>8</v>
      </c>
      <c r="K35">
        <v>4</v>
      </c>
      <c r="L35">
        <v>1</v>
      </c>
      <c r="M35">
        <v>0</v>
      </c>
    </row>
    <row r="36" spans="1:13" x14ac:dyDescent="0.25">
      <c r="A36">
        <v>13</v>
      </c>
      <c r="B36" t="s">
        <v>19</v>
      </c>
      <c r="C36">
        <v>6.6</v>
      </c>
      <c r="D36" t="s">
        <v>20</v>
      </c>
      <c r="E36">
        <v>7.3</v>
      </c>
      <c r="F36">
        <v>1.6</v>
      </c>
      <c r="G36">
        <v>3.27</v>
      </c>
      <c r="H36">
        <v>0.1</v>
      </c>
      <c r="I36" t="s">
        <v>22</v>
      </c>
      <c r="J36">
        <v>10</v>
      </c>
      <c r="K36">
        <v>2</v>
      </c>
      <c r="L36">
        <v>1</v>
      </c>
      <c r="M36">
        <v>0</v>
      </c>
    </row>
    <row r="37" spans="1:13" x14ac:dyDescent="0.25">
      <c r="A37">
        <v>17</v>
      </c>
      <c r="B37" t="s">
        <v>19</v>
      </c>
      <c r="C37">
        <v>5</v>
      </c>
      <c r="D37" t="s">
        <v>23</v>
      </c>
      <c r="E37">
        <v>4.9000000000000004</v>
      </c>
      <c r="F37">
        <v>2.1</v>
      </c>
      <c r="G37">
        <v>2.0099999999999998</v>
      </c>
      <c r="H37">
        <v>1</v>
      </c>
      <c r="I37" t="s">
        <v>18</v>
      </c>
      <c r="J37">
        <v>9</v>
      </c>
      <c r="K37">
        <v>4</v>
      </c>
      <c r="L37">
        <v>9</v>
      </c>
      <c r="M37">
        <v>0</v>
      </c>
    </row>
    <row r="38" spans="1:13" x14ac:dyDescent="0.25">
      <c r="A38">
        <v>19</v>
      </c>
      <c r="B38" t="s">
        <v>19</v>
      </c>
      <c r="C38">
        <v>4.5999999999999996</v>
      </c>
      <c r="D38" t="s">
        <v>17</v>
      </c>
      <c r="E38">
        <v>5.5</v>
      </c>
      <c r="F38">
        <v>2.5</v>
      </c>
      <c r="G38">
        <v>3.96</v>
      </c>
      <c r="H38">
        <v>0.8</v>
      </c>
      <c r="I38" t="s">
        <v>21</v>
      </c>
      <c r="J38">
        <v>3</v>
      </c>
      <c r="K38">
        <v>10</v>
      </c>
      <c r="L38">
        <v>7</v>
      </c>
      <c r="M38">
        <v>0</v>
      </c>
    </row>
    <row r="39" spans="1:13" x14ac:dyDescent="0.25">
      <c r="A39">
        <v>17</v>
      </c>
      <c r="B39" t="s">
        <v>19</v>
      </c>
      <c r="C39">
        <v>4.8</v>
      </c>
      <c r="D39" t="s">
        <v>17</v>
      </c>
      <c r="E39">
        <v>4.4000000000000004</v>
      </c>
      <c r="F39">
        <v>1.3</v>
      </c>
      <c r="G39">
        <v>2.02</v>
      </c>
      <c r="H39">
        <v>0.5</v>
      </c>
      <c r="I39" t="s">
        <v>18</v>
      </c>
      <c r="J39">
        <v>5</v>
      </c>
      <c r="K39">
        <v>10</v>
      </c>
      <c r="L39">
        <v>6</v>
      </c>
      <c r="M39">
        <v>0</v>
      </c>
    </row>
    <row r="40" spans="1:13" x14ac:dyDescent="0.25">
      <c r="A40">
        <v>17</v>
      </c>
      <c r="B40" t="s">
        <v>19</v>
      </c>
      <c r="C40">
        <v>1.3</v>
      </c>
      <c r="D40" t="s">
        <v>20</v>
      </c>
      <c r="E40">
        <v>8</v>
      </c>
      <c r="F40">
        <v>2</v>
      </c>
      <c r="G40">
        <v>2.84</v>
      </c>
      <c r="H40">
        <v>1.8</v>
      </c>
      <c r="I40" t="s">
        <v>21</v>
      </c>
      <c r="J40">
        <v>1</v>
      </c>
      <c r="K40">
        <v>7</v>
      </c>
      <c r="L40">
        <v>8</v>
      </c>
      <c r="M40">
        <v>0</v>
      </c>
    </row>
    <row r="41" spans="1:13" x14ac:dyDescent="0.25">
      <c r="A41">
        <v>17</v>
      </c>
      <c r="B41" t="s">
        <v>19</v>
      </c>
      <c r="C41">
        <v>6.3</v>
      </c>
      <c r="D41" t="s">
        <v>17</v>
      </c>
      <c r="E41">
        <v>4</v>
      </c>
      <c r="F41">
        <v>1</v>
      </c>
      <c r="G41">
        <v>2.4300000000000002</v>
      </c>
      <c r="H41">
        <v>1.2</v>
      </c>
      <c r="I41" t="s">
        <v>21</v>
      </c>
      <c r="J41">
        <v>1</v>
      </c>
      <c r="K41">
        <v>10</v>
      </c>
      <c r="L41">
        <v>9</v>
      </c>
      <c r="M41">
        <v>0</v>
      </c>
    </row>
    <row r="42" spans="1:13" x14ac:dyDescent="0.25">
      <c r="A42">
        <v>14</v>
      </c>
      <c r="B42" t="s">
        <v>16</v>
      </c>
      <c r="C42">
        <v>6.4</v>
      </c>
      <c r="D42" t="s">
        <v>17</v>
      </c>
      <c r="E42">
        <v>5.7</v>
      </c>
      <c r="F42">
        <v>0.9</v>
      </c>
      <c r="G42">
        <v>2.06</v>
      </c>
      <c r="H42">
        <v>1.8</v>
      </c>
      <c r="I42" t="s">
        <v>21</v>
      </c>
      <c r="J42">
        <v>10</v>
      </c>
      <c r="K42">
        <v>4</v>
      </c>
      <c r="L42">
        <v>2</v>
      </c>
      <c r="M42">
        <v>0</v>
      </c>
    </row>
    <row r="43" spans="1:13" x14ac:dyDescent="0.25">
      <c r="A43">
        <v>19</v>
      </c>
      <c r="B43" t="s">
        <v>16</v>
      </c>
      <c r="C43">
        <v>1.6</v>
      </c>
      <c r="D43" t="s">
        <v>17</v>
      </c>
      <c r="E43">
        <v>8.6</v>
      </c>
      <c r="F43">
        <v>2.4</v>
      </c>
      <c r="G43">
        <v>3.81</v>
      </c>
      <c r="H43">
        <v>0.4</v>
      </c>
      <c r="I43" t="s">
        <v>18</v>
      </c>
      <c r="J43">
        <v>10</v>
      </c>
      <c r="K43">
        <v>4</v>
      </c>
      <c r="L43">
        <v>1</v>
      </c>
      <c r="M43">
        <v>0</v>
      </c>
    </row>
    <row r="44" spans="1:13" x14ac:dyDescent="0.25">
      <c r="A44">
        <v>14</v>
      </c>
      <c r="B44" t="s">
        <v>19</v>
      </c>
      <c r="C44">
        <v>7.3</v>
      </c>
      <c r="D44" t="s">
        <v>17</v>
      </c>
      <c r="E44">
        <v>7.7</v>
      </c>
      <c r="F44">
        <v>1.4</v>
      </c>
      <c r="G44">
        <v>3.42</v>
      </c>
      <c r="H44">
        <v>0.3</v>
      </c>
      <c r="I44" t="s">
        <v>22</v>
      </c>
      <c r="J44">
        <v>6</v>
      </c>
      <c r="K44">
        <v>1</v>
      </c>
      <c r="L44">
        <v>8</v>
      </c>
      <c r="M44">
        <v>0</v>
      </c>
    </row>
    <row r="45" spans="1:13" x14ac:dyDescent="0.25">
      <c r="A45">
        <v>15</v>
      </c>
      <c r="B45" t="s">
        <v>16</v>
      </c>
      <c r="C45">
        <v>4</v>
      </c>
      <c r="D45" t="s">
        <v>23</v>
      </c>
      <c r="E45">
        <v>8.8000000000000007</v>
      </c>
      <c r="F45">
        <v>1.3</v>
      </c>
      <c r="G45">
        <v>3.59</v>
      </c>
      <c r="H45">
        <v>1.9</v>
      </c>
      <c r="I45" t="s">
        <v>22</v>
      </c>
      <c r="J45">
        <v>10</v>
      </c>
      <c r="K45">
        <v>6</v>
      </c>
      <c r="L45">
        <v>10</v>
      </c>
      <c r="M45">
        <v>0</v>
      </c>
    </row>
    <row r="46" spans="1:13" x14ac:dyDescent="0.25">
      <c r="A46">
        <v>14</v>
      </c>
      <c r="B46" t="s">
        <v>16</v>
      </c>
      <c r="C46">
        <v>5.2</v>
      </c>
      <c r="D46" t="s">
        <v>23</v>
      </c>
      <c r="E46">
        <v>4.0999999999999996</v>
      </c>
      <c r="F46">
        <v>2.1</v>
      </c>
      <c r="G46">
        <v>3.07</v>
      </c>
      <c r="H46">
        <v>0.2</v>
      </c>
      <c r="I46" t="s">
        <v>22</v>
      </c>
      <c r="J46">
        <v>9</v>
      </c>
      <c r="K46">
        <v>3</v>
      </c>
      <c r="L46">
        <v>8</v>
      </c>
      <c r="M46">
        <v>0</v>
      </c>
    </row>
    <row r="47" spans="1:13" x14ac:dyDescent="0.25">
      <c r="A47">
        <v>14</v>
      </c>
      <c r="B47" t="s">
        <v>19</v>
      </c>
      <c r="C47">
        <v>4.5</v>
      </c>
      <c r="D47" t="s">
        <v>20</v>
      </c>
      <c r="E47">
        <v>4.8</v>
      </c>
      <c r="F47">
        <v>0.9</v>
      </c>
      <c r="G47">
        <v>2.2200000000000002</v>
      </c>
      <c r="H47">
        <v>0.8</v>
      </c>
      <c r="I47" t="s">
        <v>18</v>
      </c>
      <c r="J47">
        <v>1</v>
      </c>
      <c r="K47">
        <v>4</v>
      </c>
      <c r="L47">
        <v>10</v>
      </c>
      <c r="M47">
        <v>0</v>
      </c>
    </row>
    <row r="48" spans="1:13" x14ac:dyDescent="0.25">
      <c r="A48">
        <v>18</v>
      </c>
      <c r="B48" t="s">
        <v>16</v>
      </c>
      <c r="C48">
        <v>6.8</v>
      </c>
      <c r="D48" t="s">
        <v>20</v>
      </c>
      <c r="E48">
        <v>8.6</v>
      </c>
      <c r="F48">
        <v>1.1000000000000001</v>
      </c>
      <c r="G48">
        <v>2.36</v>
      </c>
      <c r="H48">
        <v>1.6</v>
      </c>
      <c r="I48" t="s">
        <v>21</v>
      </c>
      <c r="J48">
        <v>1</v>
      </c>
      <c r="K48">
        <v>10</v>
      </c>
      <c r="L48">
        <v>10</v>
      </c>
      <c r="M48">
        <v>0</v>
      </c>
    </row>
    <row r="49" spans="1:13" x14ac:dyDescent="0.25">
      <c r="A49">
        <v>13</v>
      </c>
      <c r="B49" t="s">
        <v>19</v>
      </c>
      <c r="C49">
        <v>3.5</v>
      </c>
      <c r="D49" t="s">
        <v>17</v>
      </c>
      <c r="E49">
        <v>5.0999999999999996</v>
      </c>
      <c r="F49">
        <v>1.1000000000000001</v>
      </c>
      <c r="G49">
        <v>2.27</v>
      </c>
      <c r="H49">
        <v>1.8</v>
      </c>
      <c r="I49" t="s">
        <v>22</v>
      </c>
      <c r="J49">
        <v>2</v>
      </c>
      <c r="K49">
        <v>5</v>
      </c>
      <c r="L49">
        <v>6</v>
      </c>
      <c r="M49">
        <v>0</v>
      </c>
    </row>
    <row r="50" spans="1:13" x14ac:dyDescent="0.25">
      <c r="A50">
        <v>16</v>
      </c>
      <c r="B50" t="s">
        <v>16</v>
      </c>
      <c r="C50">
        <v>2.2999999999999998</v>
      </c>
      <c r="D50" t="s">
        <v>20</v>
      </c>
      <c r="E50">
        <v>6.3</v>
      </c>
      <c r="F50">
        <v>3</v>
      </c>
      <c r="G50">
        <v>3.24</v>
      </c>
      <c r="H50">
        <v>1.9</v>
      </c>
      <c r="I50" t="s">
        <v>22</v>
      </c>
      <c r="J50">
        <v>4</v>
      </c>
      <c r="K50">
        <v>4</v>
      </c>
      <c r="L50">
        <v>9</v>
      </c>
      <c r="M50">
        <v>0</v>
      </c>
    </row>
    <row r="51" spans="1:13" x14ac:dyDescent="0.25">
      <c r="A51">
        <v>14</v>
      </c>
      <c r="B51" t="s">
        <v>16</v>
      </c>
      <c r="C51">
        <v>1.2</v>
      </c>
      <c r="D51" t="s">
        <v>17</v>
      </c>
      <c r="E51">
        <v>8.5</v>
      </c>
      <c r="F51">
        <v>1.8</v>
      </c>
      <c r="G51">
        <v>3.65</v>
      </c>
      <c r="H51">
        <v>1.8</v>
      </c>
      <c r="I51" t="s">
        <v>21</v>
      </c>
      <c r="J51">
        <v>5</v>
      </c>
      <c r="K51">
        <v>10</v>
      </c>
      <c r="L51">
        <v>10</v>
      </c>
      <c r="M51">
        <v>0</v>
      </c>
    </row>
    <row r="52" spans="1:13" x14ac:dyDescent="0.25">
      <c r="A52">
        <v>13</v>
      </c>
      <c r="B52" t="s">
        <v>16</v>
      </c>
      <c r="C52">
        <v>6.2</v>
      </c>
      <c r="D52" t="s">
        <v>23</v>
      </c>
      <c r="E52">
        <v>7.1</v>
      </c>
      <c r="F52">
        <v>2.2000000000000002</v>
      </c>
      <c r="G52">
        <v>3.43</v>
      </c>
      <c r="H52">
        <v>0.2</v>
      </c>
      <c r="I52" t="s">
        <v>22</v>
      </c>
      <c r="J52">
        <v>5</v>
      </c>
      <c r="K52">
        <v>2</v>
      </c>
      <c r="L52">
        <v>2</v>
      </c>
      <c r="M52">
        <v>0</v>
      </c>
    </row>
    <row r="53" spans="1:13" x14ac:dyDescent="0.25">
      <c r="A53">
        <v>18</v>
      </c>
      <c r="B53" t="s">
        <v>16</v>
      </c>
      <c r="C53">
        <v>4.5</v>
      </c>
      <c r="D53" t="s">
        <v>20</v>
      </c>
      <c r="E53">
        <v>4.0999999999999996</v>
      </c>
      <c r="F53">
        <v>1.9</v>
      </c>
      <c r="G53">
        <v>3.42</v>
      </c>
      <c r="H53">
        <v>0.1</v>
      </c>
      <c r="I53" t="s">
        <v>22</v>
      </c>
      <c r="J53">
        <v>6</v>
      </c>
      <c r="K53">
        <v>7</v>
      </c>
      <c r="L53">
        <v>8</v>
      </c>
      <c r="M53">
        <v>0</v>
      </c>
    </row>
    <row r="54" spans="1:13" x14ac:dyDescent="0.25">
      <c r="A54">
        <v>18</v>
      </c>
      <c r="B54" t="s">
        <v>16</v>
      </c>
      <c r="C54">
        <v>2.9</v>
      </c>
      <c r="D54" t="s">
        <v>17</v>
      </c>
      <c r="E54">
        <v>4.5</v>
      </c>
      <c r="F54">
        <v>2.5</v>
      </c>
      <c r="G54">
        <v>3.16</v>
      </c>
      <c r="H54">
        <v>1.3</v>
      </c>
      <c r="I54" t="s">
        <v>18</v>
      </c>
      <c r="J54">
        <v>3</v>
      </c>
      <c r="K54">
        <v>7</v>
      </c>
      <c r="L54">
        <v>8</v>
      </c>
      <c r="M54">
        <v>0</v>
      </c>
    </row>
    <row r="55" spans="1:13" x14ac:dyDescent="0.25">
      <c r="A55">
        <v>13</v>
      </c>
      <c r="B55" t="s">
        <v>19</v>
      </c>
      <c r="C55">
        <v>5.8</v>
      </c>
      <c r="D55" t="s">
        <v>20</v>
      </c>
      <c r="E55">
        <v>8.5</v>
      </c>
      <c r="F55">
        <v>2.2999999999999998</v>
      </c>
      <c r="G55">
        <v>3.3</v>
      </c>
      <c r="H55">
        <v>1.9</v>
      </c>
      <c r="I55" t="s">
        <v>21</v>
      </c>
      <c r="J55">
        <v>1</v>
      </c>
      <c r="K55">
        <v>1</v>
      </c>
      <c r="L55">
        <v>5</v>
      </c>
      <c r="M55">
        <v>0</v>
      </c>
    </row>
    <row r="56" spans="1:13" x14ac:dyDescent="0.25">
      <c r="A56">
        <v>18</v>
      </c>
      <c r="B56" t="s">
        <v>16</v>
      </c>
      <c r="C56">
        <v>6.8</v>
      </c>
      <c r="D56" t="s">
        <v>17</v>
      </c>
      <c r="E56">
        <v>6.5</v>
      </c>
      <c r="F56">
        <v>2.7</v>
      </c>
      <c r="G56">
        <v>2.97</v>
      </c>
      <c r="H56">
        <v>1.9</v>
      </c>
      <c r="I56" t="s">
        <v>18</v>
      </c>
      <c r="J56">
        <v>4</v>
      </c>
      <c r="K56">
        <v>4</v>
      </c>
      <c r="L56">
        <v>5</v>
      </c>
      <c r="M56">
        <v>0</v>
      </c>
    </row>
    <row r="57" spans="1:13" x14ac:dyDescent="0.25">
      <c r="A57">
        <v>15</v>
      </c>
      <c r="B57" t="s">
        <v>19</v>
      </c>
      <c r="C57">
        <v>7.4</v>
      </c>
      <c r="D57" t="s">
        <v>17</v>
      </c>
      <c r="E57">
        <v>8.6</v>
      </c>
      <c r="F57">
        <v>0.9</v>
      </c>
      <c r="G57">
        <v>2.2999999999999998</v>
      </c>
      <c r="H57">
        <v>0</v>
      </c>
      <c r="I57" t="s">
        <v>18</v>
      </c>
      <c r="J57">
        <v>1</v>
      </c>
      <c r="K57">
        <v>5</v>
      </c>
      <c r="L57">
        <v>3</v>
      </c>
      <c r="M57">
        <v>0</v>
      </c>
    </row>
    <row r="58" spans="1:13" x14ac:dyDescent="0.25">
      <c r="A58">
        <v>18</v>
      </c>
      <c r="B58" t="s">
        <v>16</v>
      </c>
      <c r="C58">
        <v>4.5</v>
      </c>
      <c r="D58" t="s">
        <v>20</v>
      </c>
      <c r="E58">
        <v>5</v>
      </c>
      <c r="F58">
        <v>2.5</v>
      </c>
      <c r="G58">
        <v>2.65</v>
      </c>
      <c r="H58">
        <v>0.7</v>
      </c>
      <c r="I58" t="s">
        <v>22</v>
      </c>
      <c r="J58">
        <v>8</v>
      </c>
      <c r="K58">
        <v>9</v>
      </c>
      <c r="L58">
        <v>1</v>
      </c>
      <c r="M58">
        <v>0</v>
      </c>
    </row>
    <row r="59" spans="1:13" x14ac:dyDescent="0.25">
      <c r="A59">
        <v>16</v>
      </c>
      <c r="B59" t="s">
        <v>16</v>
      </c>
      <c r="C59">
        <v>6.4</v>
      </c>
      <c r="D59" t="s">
        <v>20</v>
      </c>
      <c r="E59">
        <v>5.3</v>
      </c>
      <c r="F59">
        <v>2.4</v>
      </c>
      <c r="G59">
        <v>2.0299999999999998</v>
      </c>
      <c r="H59">
        <v>1.7</v>
      </c>
      <c r="I59" t="s">
        <v>22</v>
      </c>
      <c r="J59">
        <v>7</v>
      </c>
      <c r="K59">
        <v>5</v>
      </c>
      <c r="L59">
        <v>10</v>
      </c>
      <c r="M59">
        <v>0</v>
      </c>
    </row>
    <row r="60" spans="1:13" x14ac:dyDescent="0.25">
      <c r="A60">
        <v>13</v>
      </c>
      <c r="B60" t="s">
        <v>16</v>
      </c>
      <c r="C60">
        <v>7.3</v>
      </c>
      <c r="D60" t="s">
        <v>23</v>
      </c>
      <c r="E60">
        <v>4.2</v>
      </c>
      <c r="F60">
        <v>1.3</v>
      </c>
      <c r="G60">
        <v>2.16</v>
      </c>
      <c r="H60">
        <v>1</v>
      </c>
      <c r="I60" t="s">
        <v>21</v>
      </c>
      <c r="J60">
        <v>4</v>
      </c>
      <c r="K60">
        <v>5</v>
      </c>
      <c r="L60">
        <v>2</v>
      </c>
      <c r="M60">
        <v>0</v>
      </c>
    </row>
    <row r="61" spans="1:13" x14ac:dyDescent="0.25">
      <c r="A61">
        <v>17</v>
      </c>
      <c r="B61" t="s">
        <v>19</v>
      </c>
      <c r="C61">
        <v>7.1</v>
      </c>
      <c r="D61" t="s">
        <v>17</v>
      </c>
      <c r="E61">
        <v>5.6</v>
      </c>
      <c r="F61">
        <v>0.6</v>
      </c>
      <c r="G61">
        <v>3.07</v>
      </c>
      <c r="H61">
        <v>1</v>
      </c>
      <c r="I61" t="s">
        <v>22</v>
      </c>
      <c r="J61">
        <v>1</v>
      </c>
      <c r="K61">
        <v>3</v>
      </c>
      <c r="L61">
        <v>7</v>
      </c>
      <c r="M61">
        <v>0</v>
      </c>
    </row>
    <row r="62" spans="1:13" x14ac:dyDescent="0.25">
      <c r="A62">
        <v>18</v>
      </c>
      <c r="B62" t="s">
        <v>16</v>
      </c>
      <c r="C62">
        <v>1.6</v>
      </c>
      <c r="D62" t="s">
        <v>20</v>
      </c>
      <c r="E62">
        <v>5.0999999999999996</v>
      </c>
      <c r="F62">
        <v>2.7</v>
      </c>
      <c r="G62">
        <v>3.57</v>
      </c>
      <c r="H62">
        <v>0.8</v>
      </c>
      <c r="I62" t="s">
        <v>21</v>
      </c>
      <c r="J62">
        <v>3</v>
      </c>
      <c r="K62">
        <v>9</v>
      </c>
      <c r="L62">
        <v>7</v>
      </c>
      <c r="M62">
        <v>0</v>
      </c>
    </row>
    <row r="63" spans="1:13" x14ac:dyDescent="0.25">
      <c r="A63">
        <v>15</v>
      </c>
      <c r="B63" t="s">
        <v>19</v>
      </c>
      <c r="C63">
        <v>1.5</v>
      </c>
      <c r="D63" t="s">
        <v>17</v>
      </c>
      <c r="E63">
        <v>4.7</v>
      </c>
      <c r="F63">
        <v>1</v>
      </c>
      <c r="G63">
        <v>3.82</v>
      </c>
      <c r="H63">
        <v>0.6</v>
      </c>
      <c r="I63" t="s">
        <v>22</v>
      </c>
      <c r="J63">
        <v>6</v>
      </c>
      <c r="K63">
        <v>1</v>
      </c>
      <c r="L63">
        <v>4</v>
      </c>
      <c r="M63">
        <v>0</v>
      </c>
    </row>
    <row r="64" spans="1:13" x14ac:dyDescent="0.25">
      <c r="A64">
        <v>13</v>
      </c>
      <c r="B64" t="s">
        <v>16</v>
      </c>
      <c r="C64">
        <v>4.3</v>
      </c>
      <c r="D64" t="s">
        <v>23</v>
      </c>
      <c r="E64">
        <v>5.8</v>
      </c>
      <c r="F64">
        <v>0.7</v>
      </c>
      <c r="G64">
        <v>3.15</v>
      </c>
      <c r="H64">
        <v>0.1</v>
      </c>
      <c r="I64" t="s">
        <v>22</v>
      </c>
      <c r="J64">
        <v>7</v>
      </c>
      <c r="K64">
        <v>2</v>
      </c>
      <c r="L64">
        <v>1</v>
      </c>
      <c r="M64">
        <v>0</v>
      </c>
    </row>
    <row r="65" spans="1:13" x14ac:dyDescent="0.25">
      <c r="A65">
        <v>17</v>
      </c>
      <c r="B65" t="s">
        <v>16</v>
      </c>
      <c r="C65">
        <v>2.5</v>
      </c>
      <c r="D65" t="s">
        <v>23</v>
      </c>
      <c r="E65">
        <v>6.7</v>
      </c>
      <c r="F65">
        <v>2</v>
      </c>
      <c r="G65">
        <v>2.56</v>
      </c>
      <c r="H65">
        <v>1.7</v>
      </c>
      <c r="I65" t="s">
        <v>21</v>
      </c>
      <c r="J65">
        <v>5</v>
      </c>
      <c r="K65">
        <v>7</v>
      </c>
      <c r="L65">
        <v>5</v>
      </c>
      <c r="M65">
        <v>0</v>
      </c>
    </row>
    <row r="66" spans="1:13" x14ac:dyDescent="0.25">
      <c r="A66">
        <v>19</v>
      </c>
      <c r="B66" t="s">
        <v>19</v>
      </c>
      <c r="C66">
        <v>7.9</v>
      </c>
      <c r="D66" t="s">
        <v>20</v>
      </c>
      <c r="E66">
        <v>5.0999999999999996</v>
      </c>
      <c r="F66">
        <v>1.7</v>
      </c>
      <c r="G66">
        <v>2.8</v>
      </c>
      <c r="H66">
        <v>0.8</v>
      </c>
      <c r="I66" t="s">
        <v>18</v>
      </c>
      <c r="J66">
        <v>6</v>
      </c>
      <c r="K66">
        <v>1</v>
      </c>
      <c r="L66">
        <v>8</v>
      </c>
      <c r="M66">
        <v>0</v>
      </c>
    </row>
    <row r="67" spans="1:13" x14ac:dyDescent="0.25">
      <c r="A67">
        <v>17</v>
      </c>
      <c r="B67" t="s">
        <v>16</v>
      </c>
      <c r="C67">
        <v>2.7</v>
      </c>
      <c r="D67" t="s">
        <v>17</v>
      </c>
      <c r="E67">
        <v>8</v>
      </c>
      <c r="F67">
        <v>2.6</v>
      </c>
      <c r="G67">
        <v>3.53</v>
      </c>
      <c r="H67">
        <v>1.9</v>
      </c>
      <c r="I67" t="s">
        <v>21</v>
      </c>
      <c r="J67">
        <v>1</v>
      </c>
      <c r="K67">
        <v>8</v>
      </c>
      <c r="L67">
        <v>7</v>
      </c>
      <c r="M67">
        <v>0</v>
      </c>
    </row>
    <row r="68" spans="1:13" x14ac:dyDescent="0.25">
      <c r="A68">
        <v>13</v>
      </c>
      <c r="B68" t="s">
        <v>16</v>
      </c>
      <c r="C68">
        <v>3.1</v>
      </c>
      <c r="D68" t="s">
        <v>20</v>
      </c>
      <c r="E68">
        <v>8.1999999999999993</v>
      </c>
      <c r="F68">
        <v>1.5</v>
      </c>
      <c r="G68">
        <v>2.4500000000000002</v>
      </c>
      <c r="H68">
        <v>0.3</v>
      </c>
      <c r="I68" t="s">
        <v>18</v>
      </c>
      <c r="J68">
        <v>5</v>
      </c>
      <c r="K68">
        <v>8</v>
      </c>
      <c r="L68">
        <v>6</v>
      </c>
      <c r="M68">
        <v>0</v>
      </c>
    </row>
    <row r="69" spans="1:13" x14ac:dyDescent="0.25">
      <c r="A69">
        <v>17</v>
      </c>
      <c r="B69" t="s">
        <v>16</v>
      </c>
      <c r="C69">
        <v>5.8</v>
      </c>
      <c r="D69" t="s">
        <v>23</v>
      </c>
      <c r="E69">
        <v>7.6</v>
      </c>
      <c r="F69">
        <v>0.7</v>
      </c>
      <c r="G69">
        <v>2.83</v>
      </c>
      <c r="H69">
        <v>1</v>
      </c>
      <c r="I69" t="s">
        <v>22</v>
      </c>
      <c r="J69">
        <v>7</v>
      </c>
      <c r="K69">
        <v>6</v>
      </c>
      <c r="L69">
        <v>8</v>
      </c>
      <c r="M69">
        <v>0</v>
      </c>
    </row>
    <row r="70" spans="1:13" x14ac:dyDescent="0.25">
      <c r="A70">
        <v>14</v>
      </c>
      <c r="B70" t="s">
        <v>19</v>
      </c>
      <c r="C70">
        <v>3.9</v>
      </c>
      <c r="D70" t="s">
        <v>23</v>
      </c>
      <c r="E70">
        <v>7</v>
      </c>
      <c r="F70">
        <v>2.8</v>
      </c>
      <c r="G70">
        <v>2.8</v>
      </c>
      <c r="H70">
        <v>0.1</v>
      </c>
      <c r="I70" t="s">
        <v>18</v>
      </c>
      <c r="J70">
        <v>8</v>
      </c>
      <c r="K70">
        <v>2</v>
      </c>
      <c r="L70">
        <v>8</v>
      </c>
      <c r="M70">
        <v>0</v>
      </c>
    </row>
    <row r="71" spans="1:13" x14ac:dyDescent="0.25">
      <c r="A71">
        <v>15</v>
      </c>
      <c r="B71" t="s">
        <v>16</v>
      </c>
      <c r="C71">
        <v>7.5</v>
      </c>
      <c r="D71" t="s">
        <v>23</v>
      </c>
      <c r="E71">
        <v>7</v>
      </c>
      <c r="F71">
        <v>0.9</v>
      </c>
      <c r="G71">
        <v>3.48</v>
      </c>
      <c r="H71">
        <v>1.1000000000000001</v>
      </c>
      <c r="I71" t="s">
        <v>21</v>
      </c>
      <c r="J71">
        <v>2</v>
      </c>
      <c r="K71">
        <v>2</v>
      </c>
      <c r="L71">
        <v>6</v>
      </c>
      <c r="M71">
        <v>0</v>
      </c>
    </row>
    <row r="72" spans="1:13" x14ac:dyDescent="0.25">
      <c r="A72">
        <v>14</v>
      </c>
      <c r="B72" t="s">
        <v>16</v>
      </c>
      <c r="C72">
        <v>5.2</v>
      </c>
      <c r="D72" t="s">
        <v>23</v>
      </c>
      <c r="E72">
        <v>6.7</v>
      </c>
      <c r="F72">
        <v>2</v>
      </c>
      <c r="G72">
        <v>3.48</v>
      </c>
      <c r="H72">
        <v>1</v>
      </c>
      <c r="I72" t="s">
        <v>22</v>
      </c>
      <c r="J72">
        <v>2</v>
      </c>
      <c r="K72">
        <v>1</v>
      </c>
      <c r="L72">
        <v>5</v>
      </c>
      <c r="M72">
        <v>0</v>
      </c>
    </row>
    <row r="73" spans="1:13" x14ac:dyDescent="0.25">
      <c r="A73">
        <v>16</v>
      </c>
      <c r="B73" t="s">
        <v>19</v>
      </c>
      <c r="C73">
        <v>3.1</v>
      </c>
      <c r="D73" t="s">
        <v>20</v>
      </c>
      <c r="E73">
        <v>5</v>
      </c>
      <c r="F73">
        <v>1.1000000000000001</v>
      </c>
      <c r="G73">
        <v>2.73</v>
      </c>
      <c r="H73">
        <v>1.6</v>
      </c>
      <c r="I73" t="s">
        <v>18</v>
      </c>
      <c r="J73">
        <v>2</v>
      </c>
      <c r="K73">
        <v>8</v>
      </c>
      <c r="L73">
        <v>1</v>
      </c>
      <c r="M73">
        <v>0</v>
      </c>
    </row>
    <row r="74" spans="1:13" x14ac:dyDescent="0.25">
      <c r="A74">
        <v>16</v>
      </c>
      <c r="B74" t="s">
        <v>19</v>
      </c>
      <c r="C74">
        <v>2</v>
      </c>
      <c r="D74" t="s">
        <v>17</v>
      </c>
      <c r="E74">
        <v>8.6999999999999993</v>
      </c>
      <c r="F74">
        <v>1.2</v>
      </c>
      <c r="G74">
        <v>3</v>
      </c>
      <c r="H74">
        <v>0</v>
      </c>
      <c r="I74" t="s">
        <v>18</v>
      </c>
      <c r="J74">
        <v>8</v>
      </c>
      <c r="K74">
        <v>8</v>
      </c>
      <c r="L74">
        <v>4</v>
      </c>
      <c r="M74">
        <v>0</v>
      </c>
    </row>
    <row r="75" spans="1:13" x14ac:dyDescent="0.25">
      <c r="A75">
        <v>14</v>
      </c>
      <c r="B75" t="s">
        <v>16</v>
      </c>
      <c r="C75">
        <v>2.7</v>
      </c>
      <c r="D75" t="s">
        <v>17</v>
      </c>
      <c r="E75">
        <v>8.4</v>
      </c>
      <c r="F75">
        <v>1.3</v>
      </c>
      <c r="G75">
        <v>2.0099999999999998</v>
      </c>
      <c r="H75">
        <v>0.6</v>
      </c>
      <c r="I75" t="s">
        <v>18</v>
      </c>
      <c r="J75">
        <v>6</v>
      </c>
      <c r="K75">
        <v>3</v>
      </c>
      <c r="L75">
        <v>8</v>
      </c>
      <c r="M75">
        <v>0</v>
      </c>
    </row>
    <row r="76" spans="1:13" x14ac:dyDescent="0.25">
      <c r="A76">
        <v>14</v>
      </c>
      <c r="B76" t="s">
        <v>16</v>
      </c>
      <c r="C76">
        <v>1.5</v>
      </c>
      <c r="D76" t="s">
        <v>23</v>
      </c>
      <c r="E76">
        <v>4.3</v>
      </c>
      <c r="F76">
        <v>2.1</v>
      </c>
      <c r="G76">
        <v>3.9</v>
      </c>
      <c r="H76">
        <v>1.5</v>
      </c>
      <c r="I76" t="s">
        <v>18</v>
      </c>
      <c r="J76">
        <v>10</v>
      </c>
      <c r="K76">
        <v>2</v>
      </c>
      <c r="L76">
        <v>4</v>
      </c>
      <c r="M76">
        <v>0</v>
      </c>
    </row>
    <row r="77" spans="1:13" x14ac:dyDescent="0.25">
      <c r="A77">
        <v>17</v>
      </c>
      <c r="B77" t="s">
        <v>19</v>
      </c>
      <c r="C77">
        <v>6.9</v>
      </c>
      <c r="D77" t="s">
        <v>17</v>
      </c>
      <c r="E77">
        <v>8.1999999999999993</v>
      </c>
      <c r="F77">
        <v>0.8</v>
      </c>
      <c r="G77">
        <v>2.36</v>
      </c>
      <c r="H77">
        <v>0</v>
      </c>
      <c r="I77" t="s">
        <v>22</v>
      </c>
      <c r="J77">
        <v>10</v>
      </c>
      <c r="K77">
        <v>10</v>
      </c>
      <c r="L77">
        <v>7</v>
      </c>
      <c r="M77">
        <v>0</v>
      </c>
    </row>
    <row r="78" spans="1:13" x14ac:dyDescent="0.25">
      <c r="A78">
        <v>13</v>
      </c>
      <c r="B78" t="s">
        <v>16</v>
      </c>
      <c r="C78">
        <v>1.1000000000000001</v>
      </c>
      <c r="D78" t="s">
        <v>20</v>
      </c>
      <c r="E78">
        <v>7.1</v>
      </c>
      <c r="F78">
        <v>1.8</v>
      </c>
      <c r="G78">
        <v>2.5499999999999998</v>
      </c>
      <c r="H78">
        <v>0.8</v>
      </c>
      <c r="I78" t="s">
        <v>21</v>
      </c>
      <c r="J78">
        <v>5</v>
      </c>
      <c r="K78">
        <v>5</v>
      </c>
      <c r="L78">
        <v>10</v>
      </c>
      <c r="M78">
        <v>0</v>
      </c>
    </row>
    <row r="79" spans="1:13" x14ac:dyDescent="0.25">
      <c r="A79">
        <v>13</v>
      </c>
      <c r="B79" t="s">
        <v>16</v>
      </c>
      <c r="C79">
        <v>3.4</v>
      </c>
      <c r="D79" t="s">
        <v>20</v>
      </c>
      <c r="E79">
        <v>4.4000000000000004</v>
      </c>
      <c r="F79">
        <v>0.6</v>
      </c>
      <c r="G79">
        <v>3.41</v>
      </c>
      <c r="H79">
        <v>0.2</v>
      </c>
      <c r="I79" t="s">
        <v>18</v>
      </c>
      <c r="J79">
        <v>8</v>
      </c>
      <c r="K79">
        <v>6</v>
      </c>
      <c r="L79">
        <v>3</v>
      </c>
      <c r="M79">
        <v>0</v>
      </c>
    </row>
    <row r="80" spans="1:13" x14ac:dyDescent="0.25">
      <c r="A80">
        <v>15</v>
      </c>
      <c r="B80" t="s">
        <v>16</v>
      </c>
      <c r="C80">
        <v>6.7</v>
      </c>
      <c r="D80" t="s">
        <v>23</v>
      </c>
      <c r="E80">
        <v>4.5</v>
      </c>
      <c r="F80">
        <v>2.1</v>
      </c>
      <c r="G80">
        <v>3.71</v>
      </c>
      <c r="H80">
        <v>1.3</v>
      </c>
      <c r="I80" t="s">
        <v>21</v>
      </c>
      <c r="J80">
        <v>3</v>
      </c>
      <c r="K80">
        <v>3</v>
      </c>
      <c r="L80">
        <v>3</v>
      </c>
      <c r="M80">
        <v>0</v>
      </c>
    </row>
    <row r="81" spans="1:13" x14ac:dyDescent="0.25">
      <c r="A81">
        <v>18</v>
      </c>
      <c r="B81" t="s">
        <v>16</v>
      </c>
      <c r="C81">
        <v>1.1000000000000001</v>
      </c>
      <c r="D81" t="s">
        <v>23</v>
      </c>
      <c r="E81">
        <v>7.2</v>
      </c>
      <c r="F81">
        <v>1</v>
      </c>
      <c r="G81">
        <v>3.13</v>
      </c>
      <c r="H81">
        <v>0.6</v>
      </c>
      <c r="I81" t="s">
        <v>22</v>
      </c>
      <c r="J81">
        <v>2</v>
      </c>
      <c r="K81">
        <v>1</v>
      </c>
      <c r="L81">
        <v>4</v>
      </c>
      <c r="M81">
        <v>0</v>
      </c>
    </row>
    <row r="82" spans="1:13" x14ac:dyDescent="0.25">
      <c r="A82">
        <v>18</v>
      </c>
      <c r="B82" t="s">
        <v>19</v>
      </c>
      <c r="C82">
        <v>7.4</v>
      </c>
      <c r="D82" t="s">
        <v>17</v>
      </c>
      <c r="E82">
        <v>7.5</v>
      </c>
      <c r="F82">
        <v>2.2999999999999998</v>
      </c>
      <c r="G82">
        <v>2.39</v>
      </c>
      <c r="H82">
        <v>0.9</v>
      </c>
      <c r="I82" t="s">
        <v>21</v>
      </c>
      <c r="J82">
        <v>4</v>
      </c>
      <c r="K82">
        <v>1</v>
      </c>
      <c r="L82">
        <v>4</v>
      </c>
      <c r="M82">
        <v>0</v>
      </c>
    </row>
    <row r="83" spans="1:13" x14ac:dyDescent="0.25">
      <c r="A83">
        <v>19</v>
      </c>
      <c r="B83" t="s">
        <v>19</v>
      </c>
      <c r="C83">
        <v>4.8</v>
      </c>
      <c r="D83" t="s">
        <v>20</v>
      </c>
      <c r="E83">
        <v>6</v>
      </c>
      <c r="F83">
        <v>1.5</v>
      </c>
      <c r="G83">
        <v>2.61</v>
      </c>
      <c r="H83">
        <v>1.2</v>
      </c>
      <c r="I83" t="s">
        <v>21</v>
      </c>
      <c r="J83">
        <v>2</v>
      </c>
      <c r="K83">
        <v>2</v>
      </c>
      <c r="L83">
        <v>6</v>
      </c>
      <c r="M83">
        <v>0</v>
      </c>
    </row>
    <row r="84" spans="1:13" x14ac:dyDescent="0.25">
      <c r="A84">
        <v>14</v>
      </c>
      <c r="B84" t="s">
        <v>16</v>
      </c>
      <c r="C84">
        <v>1.2</v>
      </c>
      <c r="D84" t="s">
        <v>23</v>
      </c>
      <c r="E84">
        <v>5.2</v>
      </c>
      <c r="F84">
        <v>2.2000000000000002</v>
      </c>
      <c r="G84">
        <v>2.19</v>
      </c>
      <c r="H84">
        <v>1.9</v>
      </c>
      <c r="I84" t="s">
        <v>22</v>
      </c>
      <c r="J84">
        <v>9</v>
      </c>
      <c r="K84">
        <v>9</v>
      </c>
      <c r="L84">
        <v>4</v>
      </c>
      <c r="M84">
        <v>0</v>
      </c>
    </row>
    <row r="85" spans="1:13" x14ac:dyDescent="0.25">
      <c r="A85">
        <v>13</v>
      </c>
      <c r="B85" t="s">
        <v>16</v>
      </c>
      <c r="C85">
        <v>7.4</v>
      </c>
      <c r="D85" t="s">
        <v>17</v>
      </c>
      <c r="E85">
        <v>5.6</v>
      </c>
      <c r="F85">
        <v>1.4</v>
      </c>
      <c r="G85">
        <v>2.95</v>
      </c>
      <c r="H85">
        <v>1.7</v>
      </c>
      <c r="I85" t="s">
        <v>21</v>
      </c>
      <c r="J85">
        <v>8</v>
      </c>
      <c r="K85">
        <v>5</v>
      </c>
      <c r="L85">
        <v>5</v>
      </c>
      <c r="M85">
        <v>0</v>
      </c>
    </row>
    <row r="86" spans="1:13" x14ac:dyDescent="0.25">
      <c r="A86">
        <v>16</v>
      </c>
      <c r="B86" t="s">
        <v>19</v>
      </c>
      <c r="C86">
        <v>2.6</v>
      </c>
      <c r="D86" t="s">
        <v>23</v>
      </c>
      <c r="E86">
        <v>8.6</v>
      </c>
      <c r="F86">
        <v>1.3</v>
      </c>
      <c r="G86">
        <v>3.64</v>
      </c>
      <c r="H86">
        <v>1.6</v>
      </c>
      <c r="I86" t="s">
        <v>21</v>
      </c>
      <c r="J86">
        <v>5</v>
      </c>
      <c r="K86">
        <v>3</v>
      </c>
      <c r="L86">
        <v>1</v>
      </c>
      <c r="M86">
        <v>0</v>
      </c>
    </row>
    <row r="87" spans="1:13" x14ac:dyDescent="0.25">
      <c r="A87">
        <v>17</v>
      </c>
      <c r="B87" t="s">
        <v>19</v>
      </c>
      <c r="C87">
        <v>5</v>
      </c>
      <c r="D87" t="s">
        <v>23</v>
      </c>
      <c r="E87">
        <v>9</v>
      </c>
      <c r="F87">
        <v>2.5</v>
      </c>
      <c r="G87">
        <v>3.4</v>
      </c>
      <c r="H87">
        <v>0.9</v>
      </c>
      <c r="I87" t="s">
        <v>21</v>
      </c>
      <c r="J87">
        <v>8</v>
      </c>
      <c r="K87">
        <v>10</v>
      </c>
      <c r="L87">
        <v>5</v>
      </c>
      <c r="M87">
        <v>0</v>
      </c>
    </row>
    <row r="88" spans="1:13" x14ac:dyDescent="0.25">
      <c r="A88">
        <v>18</v>
      </c>
      <c r="B88" t="s">
        <v>16</v>
      </c>
      <c r="C88">
        <v>7.5</v>
      </c>
      <c r="D88" t="s">
        <v>17</v>
      </c>
      <c r="E88">
        <v>7.4</v>
      </c>
      <c r="F88">
        <v>1.8</v>
      </c>
      <c r="G88">
        <v>3.47</v>
      </c>
      <c r="H88">
        <v>0</v>
      </c>
      <c r="I88" t="s">
        <v>18</v>
      </c>
      <c r="J88">
        <v>9</v>
      </c>
      <c r="K88">
        <v>4</v>
      </c>
      <c r="L88">
        <v>2</v>
      </c>
      <c r="M88">
        <v>0</v>
      </c>
    </row>
    <row r="89" spans="1:13" x14ac:dyDescent="0.25">
      <c r="A89">
        <v>17</v>
      </c>
      <c r="B89" t="s">
        <v>19</v>
      </c>
      <c r="C89">
        <v>5.4</v>
      </c>
      <c r="D89" t="s">
        <v>23</v>
      </c>
      <c r="E89">
        <v>5.7</v>
      </c>
      <c r="F89">
        <v>2.5</v>
      </c>
      <c r="G89">
        <v>3.13</v>
      </c>
      <c r="H89">
        <v>1.9</v>
      </c>
      <c r="I89" t="s">
        <v>22</v>
      </c>
      <c r="J89">
        <v>5</v>
      </c>
      <c r="K89">
        <v>10</v>
      </c>
      <c r="L89">
        <v>3</v>
      </c>
      <c r="M89">
        <v>0</v>
      </c>
    </row>
    <row r="90" spans="1:13" x14ac:dyDescent="0.25">
      <c r="A90">
        <v>17</v>
      </c>
      <c r="B90" t="s">
        <v>19</v>
      </c>
      <c r="C90">
        <v>5.6</v>
      </c>
      <c r="D90" t="s">
        <v>17</v>
      </c>
      <c r="E90">
        <v>5.3</v>
      </c>
      <c r="F90">
        <v>1.7</v>
      </c>
      <c r="G90">
        <v>2.77</v>
      </c>
      <c r="H90">
        <v>0.9</v>
      </c>
      <c r="I90" t="s">
        <v>22</v>
      </c>
      <c r="J90">
        <v>8</v>
      </c>
      <c r="K90">
        <v>4</v>
      </c>
      <c r="L90">
        <v>8</v>
      </c>
      <c r="M90">
        <v>0</v>
      </c>
    </row>
    <row r="91" spans="1:13" x14ac:dyDescent="0.25">
      <c r="A91">
        <v>18</v>
      </c>
      <c r="B91" t="s">
        <v>16</v>
      </c>
      <c r="C91">
        <v>6.2</v>
      </c>
      <c r="D91" t="s">
        <v>17</v>
      </c>
      <c r="E91">
        <v>4.0999999999999996</v>
      </c>
      <c r="F91">
        <v>2.8</v>
      </c>
      <c r="G91">
        <v>3.41</v>
      </c>
      <c r="H91">
        <v>1.1000000000000001</v>
      </c>
      <c r="I91" t="s">
        <v>22</v>
      </c>
      <c r="J91">
        <v>7</v>
      </c>
      <c r="K91">
        <v>8</v>
      </c>
      <c r="L91">
        <v>1</v>
      </c>
      <c r="M91">
        <v>1</v>
      </c>
    </row>
    <row r="92" spans="1:13" x14ac:dyDescent="0.25">
      <c r="A92">
        <v>17</v>
      </c>
      <c r="B92" t="s">
        <v>19</v>
      </c>
      <c r="C92">
        <v>4.7</v>
      </c>
      <c r="D92" t="s">
        <v>17</v>
      </c>
      <c r="E92">
        <v>4.7</v>
      </c>
      <c r="F92">
        <v>2.4</v>
      </c>
      <c r="G92">
        <v>3.94</v>
      </c>
      <c r="H92">
        <v>0</v>
      </c>
      <c r="I92" t="s">
        <v>22</v>
      </c>
      <c r="J92">
        <v>10</v>
      </c>
      <c r="K92">
        <v>5</v>
      </c>
      <c r="L92">
        <v>8</v>
      </c>
      <c r="M92">
        <v>0</v>
      </c>
    </row>
    <row r="93" spans="1:13" x14ac:dyDescent="0.25">
      <c r="A93">
        <v>18</v>
      </c>
      <c r="B93" t="s">
        <v>19</v>
      </c>
      <c r="C93">
        <v>4</v>
      </c>
      <c r="D93" t="s">
        <v>17</v>
      </c>
      <c r="E93">
        <v>4.5999999999999996</v>
      </c>
      <c r="F93">
        <v>2.2000000000000002</v>
      </c>
      <c r="G93">
        <v>3.7</v>
      </c>
      <c r="H93">
        <v>0.6</v>
      </c>
      <c r="I93" t="s">
        <v>22</v>
      </c>
      <c r="J93">
        <v>4</v>
      </c>
      <c r="K93">
        <v>1</v>
      </c>
      <c r="L93">
        <v>4</v>
      </c>
      <c r="M93">
        <v>0</v>
      </c>
    </row>
    <row r="94" spans="1:13" x14ac:dyDescent="0.25">
      <c r="A94">
        <v>18</v>
      </c>
      <c r="B94" t="s">
        <v>16</v>
      </c>
      <c r="C94">
        <v>6.2</v>
      </c>
      <c r="D94" t="s">
        <v>20</v>
      </c>
      <c r="E94">
        <v>8.6</v>
      </c>
      <c r="F94">
        <v>1.5</v>
      </c>
      <c r="G94">
        <v>3.22</v>
      </c>
      <c r="H94">
        <v>1.6</v>
      </c>
      <c r="I94" t="s">
        <v>18</v>
      </c>
      <c r="J94">
        <v>4</v>
      </c>
      <c r="K94">
        <v>5</v>
      </c>
      <c r="L94">
        <v>7</v>
      </c>
      <c r="M94">
        <v>0</v>
      </c>
    </row>
    <row r="95" spans="1:13" x14ac:dyDescent="0.25">
      <c r="A95">
        <v>17</v>
      </c>
      <c r="B95" t="s">
        <v>19</v>
      </c>
      <c r="C95">
        <v>5.6</v>
      </c>
      <c r="D95" t="s">
        <v>20</v>
      </c>
      <c r="E95">
        <v>6.8</v>
      </c>
      <c r="F95">
        <v>2</v>
      </c>
      <c r="G95">
        <v>2.2200000000000002</v>
      </c>
      <c r="H95">
        <v>1</v>
      </c>
      <c r="I95" t="s">
        <v>22</v>
      </c>
      <c r="J95">
        <v>6</v>
      </c>
      <c r="K95">
        <v>9</v>
      </c>
      <c r="L95">
        <v>8</v>
      </c>
      <c r="M95">
        <v>0</v>
      </c>
    </row>
    <row r="96" spans="1:13" x14ac:dyDescent="0.25">
      <c r="A96">
        <v>13</v>
      </c>
      <c r="B96" t="s">
        <v>19</v>
      </c>
      <c r="C96">
        <v>4</v>
      </c>
      <c r="D96" t="s">
        <v>17</v>
      </c>
      <c r="E96">
        <v>4.4000000000000004</v>
      </c>
      <c r="F96">
        <v>2.5</v>
      </c>
      <c r="G96">
        <v>3.6</v>
      </c>
      <c r="H96">
        <v>1.4</v>
      </c>
      <c r="I96" t="s">
        <v>22</v>
      </c>
      <c r="J96">
        <v>7</v>
      </c>
      <c r="K96">
        <v>2</v>
      </c>
      <c r="L96">
        <v>10</v>
      </c>
      <c r="M96">
        <v>0</v>
      </c>
    </row>
    <row r="97" spans="1:13" x14ac:dyDescent="0.25">
      <c r="A97">
        <v>15</v>
      </c>
      <c r="B97" t="s">
        <v>19</v>
      </c>
      <c r="C97">
        <v>1.8</v>
      </c>
      <c r="D97" t="s">
        <v>17</v>
      </c>
      <c r="E97">
        <v>6.4</v>
      </c>
      <c r="F97">
        <v>2.4</v>
      </c>
      <c r="G97">
        <v>2.16</v>
      </c>
      <c r="H97">
        <v>1.9</v>
      </c>
      <c r="I97" t="s">
        <v>22</v>
      </c>
      <c r="J97">
        <v>3</v>
      </c>
      <c r="K97">
        <v>6</v>
      </c>
      <c r="L97">
        <v>9</v>
      </c>
      <c r="M97">
        <v>0</v>
      </c>
    </row>
    <row r="98" spans="1:13" x14ac:dyDescent="0.25">
      <c r="A98">
        <v>13</v>
      </c>
      <c r="B98" t="s">
        <v>16</v>
      </c>
      <c r="C98">
        <v>3.1</v>
      </c>
      <c r="D98" t="s">
        <v>20</v>
      </c>
      <c r="E98">
        <v>5.4</v>
      </c>
      <c r="F98">
        <v>1.9</v>
      </c>
      <c r="G98">
        <v>3.66</v>
      </c>
      <c r="H98">
        <v>0.4</v>
      </c>
      <c r="I98" t="s">
        <v>18</v>
      </c>
      <c r="J98">
        <v>7</v>
      </c>
      <c r="K98">
        <v>4</v>
      </c>
      <c r="L98">
        <v>2</v>
      </c>
      <c r="M98">
        <v>0</v>
      </c>
    </row>
    <row r="99" spans="1:13" x14ac:dyDescent="0.25">
      <c r="A99">
        <v>13</v>
      </c>
      <c r="B99" t="s">
        <v>19</v>
      </c>
      <c r="C99">
        <v>3.5</v>
      </c>
      <c r="D99" t="s">
        <v>20</v>
      </c>
      <c r="E99">
        <v>5.2</v>
      </c>
      <c r="F99">
        <v>2.5</v>
      </c>
      <c r="G99">
        <v>2.57</v>
      </c>
      <c r="H99">
        <v>1.1000000000000001</v>
      </c>
      <c r="I99" t="s">
        <v>21</v>
      </c>
      <c r="J99">
        <v>1</v>
      </c>
      <c r="K99">
        <v>6</v>
      </c>
      <c r="L99">
        <v>3</v>
      </c>
      <c r="M99">
        <v>0</v>
      </c>
    </row>
    <row r="100" spans="1:13" x14ac:dyDescent="0.25">
      <c r="A100">
        <v>18</v>
      </c>
      <c r="B100" t="s">
        <v>16</v>
      </c>
      <c r="C100">
        <v>7.4</v>
      </c>
      <c r="D100" t="s">
        <v>20</v>
      </c>
      <c r="E100">
        <v>6.4</v>
      </c>
      <c r="F100">
        <v>2.2000000000000002</v>
      </c>
      <c r="G100">
        <v>3.51</v>
      </c>
      <c r="H100">
        <v>1</v>
      </c>
      <c r="I100" t="s">
        <v>21</v>
      </c>
      <c r="J100">
        <v>4</v>
      </c>
      <c r="K100">
        <v>5</v>
      </c>
      <c r="L100">
        <v>4</v>
      </c>
      <c r="M100">
        <v>0</v>
      </c>
    </row>
    <row r="101" spans="1:13" x14ac:dyDescent="0.25">
      <c r="A101">
        <v>16</v>
      </c>
      <c r="B101" t="s">
        <v>16</v>
      </c>
      <c r="C101">
        <v>8</v>
      </c>
      <c r="D101" t="s">
        <v>17</v>
      </c>
      <c r="E101">
        <v>5.5</v>
      </c>
      <c r="F101">
        <v>1.4</v>
      </c>
      <c r="G101">
        <v>2.95</v>
      </c>
      <c r="H101">
        <v>0.3</v>
      </c>
      <c r="I101" t="s">
        <v>22</v>
      </c>
      <c r="J101">
        <v>2</v>
      </c>
      <c r="K101">
        <v>5</v>
      </c>
      <c r="L101">
        <v>2</v>
      </c>
      <c r="M101">
        <v>0</v>
      </c>
    </row>
    <row r="102" spans="1:13" x14ac:dyDescent="0.25">
      <c r="A102">
        <v>13</v>
      </c>
      <c r="B102" t="s">
        <v>16</v>
      </c>
      <c r="C102">
        <v>5.0999999999999996</v>
      </c>
      <c r="D102" t="s">
        <v>23</v>
      </c>
      <c r="E102">
        <v>4.0999999999999996</v>
      </c>
      <c r="F102">
        <v>1.6</v>
      </c>
      <c r="G102">
        <v>3.32</v>
      </c>
      <c r="H102">
        <v>0.8</v>
      </c>
      <c r="I102" t="s">
        <v>22</v>
      </c>
      <c r="J102">
        <v>1</v>
      </c>
      <c r="K102">
        <v>3</v>
      </c>
      <c r="L102">
        <v>8</v>
      </c>
      <c r="M102">
        <v>0</v>
      </c>
    </row>
    <row r="103" spans="1:13" x14ac:dyDescent="0.25">
      <c r="A103">
        <v>18</v>
      </c>
      <c r="B103" t="s">
        <v>19</v>
      </c>
      <c r="C103">
        <v>2.4</v>
      </c>
      <c r="D103" t="s">
        <v>17</v>
      </c>
      <c r="E103">
        <v>6.3</v>
      </c>
      <c r="F103">
        <v>1.3</v>
      </c>
      <c r="G103">
        <v>3.05</v>
      </c>
      <c r="H103">
        <v>1.7</v>
      </c>
      <c r="I103" t="s">
        <v>18</v>
      </c>
      <c r="J103">
        <v>2</v>
      </c>
      <c r="K103">
        <v>9</v>
      </c>
      <c r="L103">
        <v>5</v>
      </c>
      <c r="M103">
        <v>0</v>
      </c>
    </row>
    <row r="104" spans="1:13" x14ac:dyDescent="0.25">
      <c r="A104">
        <v>13</v>
      </c>
      <c r="B104" t="s">
        <v>16</v>
      </c>
      <c r="C104">
        <v>1.6</v>
      </c>
      <c r="D104" t="s">
        <v>17</v>
      </c>
      <c r="E104">
        <v>4.2</v>
      </c>
      <c r="F104">
        <v>1.5</v>
      </c>
      <c r="G104">
        <v>3.72</v>
      </c>
      <c r="H104">
        <v>1.7</v>
      </c>
      <c r="I104" t="s">
        <v>22</v>
      </c>
      <c r="J104">
        <v>10</v>
      </c>
      <c r="K104">
        <v>1</v>
      </c>
      <c r="L104">
        <v>10</v>
      </c>
      <c r="M104">
        <v>0</v>
      </c>
    </row>
    <row r="105" spans="1:13" x14ac:dyDescent="0.25">
      <c r="A105">
        <v>18</v>
      </c>
      <c r="B105" t="s">
        <v>16</v>
      </c>
      <c r="C105">
        <v>5.8</v>
      </c>
      <c r="D105" t="s">
        <v>17</v>
      </c>
      <c r="E105">
        <v>6.7</v>
      </c>
      <c r="F105">
        <v>1.9</v>
      </c>
      <c r="G105">
        <v>3</v>
      </c>
      <c r="H105">
        <v>1.9</v>
      </c>
      <c r="I105" t="s">
        <v>18</v>
      </c>
      <c r="J105">
        <v>5</v>
      </c>
      <c r="K105">
        <v>8</v>
      </c>
      <c r="L105">
        <v>2</v>
      </c>
      <c r="M105">
        <v>0</v>
      </c>
    </row>
    <row r="106" spans="1:13" x14ac:dyDescent="0.25">
      <c r="A106">
        <v>15</v>
      </c>
      <c r="B106" t="s">
        <v>16</v>
      </c>
      <c r="C106">
        <v>2.7</v>
      </c>
      <c r="D106" t="s">
        <v>20</v>
      </c>
      <c r="E106">
        <v>6.6</v>
      </c>
      <c r="F106">
        <v>1.9</v>
      </c>
      <c r="G106">
        <v>2.75</v>
      </c>
      <c r="H106">
        <v>1.9</v>
      </c>
      <c r="I106" t="s">
        <v>22</v>
      </c>
      <c r="J106">
        <v>3</v>
      </c>
      <c r="K106">
        <v>6</v>
      </c>
      <c r="L106">
        <v>6</v>
      </c>
      <c r="M106">
        <v>0</v>
      </c>
    </row>
    <row r="107" spans="1:13" x14ac:dyDescent="0.25">
      <c r="A107">
        <v>13</v>
      </c>
      <c r="B107" t="s">
        <v>19</v>
      </c>
      <c r="C107">
        <v>4</v>
      </c>
      <c r="D107" t="s">
        <v>23</v>
      </c>
      <c r="E107">
        <v>4.5</v>
      </c>
      <c r="F107">
        <v>1</v>
      </c>
      <c r="G107">
        <v>3.65</v>
      </c>
      <c r="H107">
        <v>1.8</v>
      </c>
      <c r="I107" t="s">
        <v>18</v>
      </c>
      <c r="J107">
        <v>5</v>
      </c>
      <c r="K107">
        <v>6</v>
      </c>
      <c r="L107">
        <v>5</v>
      </c>
      <c r="M107">
        <v>0</v>
      </c>
    </row>
    <row r="108" spans="1:13" x14ac:dyDescent="0.25">
      <c r="A108">
        <v>18</v>
      </c>
      <c r="B108" t="s">
        <v>16</v>
      </c>
      <c r="C108">
        <v>3.2</v>
      </c>
      <c r="D108" t="s">
        <v>23</v>
      </c>
      <c r="E108">
        <v>8.8000000000000007</v>
      </c>
      <c r="F108">
        <v>1.2</v>
      </c>
      <c r="G108">
        <v>3.71</v>
      </c>
      <c r="H108">
        <v>1.1000000000000001</v>
      </c>
      <c r="I108" t="s">
        <v>22</v>
      </c>
      <c r="J108">
        <v>7</v>
      </c>
      <c r="K108">
        <v>6</v>
      </c>
      <c r="L108">
        <v>10</v>
      </c>
      <c r="M108">
        <v>0</v>
      </c>
    </row>
    <row r="109" spans="1:13" x14ac:dyDescent="0.25">
      <c r="A109">
        <v>13</v>
      </c>
      <c r="B109" t="s">
        <v>16</v>
      </c>
      <c r="C109">
        <v>1.6</v>
      </c>
      <c r="D109" t="s">
        <v>20</v>
      </c>
      <c r="E109">
        <v>4.3</v>
      </c>
      <c r="F109">
        <v>0.6</v>
      </c>
      <c r="G109">
        <v>3.91</v>
      </c>
      <c r="H109">
        <v>2</v>
      </c>
      <c r="I109" t="s">
        <v>22</v>
      </c>
      <c r="J109">
        <v>5</v>
      </c>
      <c r="K109">
        <v>10</v>
      </c>
      <c r="L109">
        <v>7</v>
      </c>
      <c r="M109">
        <v>0</v>
      </c>
    </row>
    <row r="110" spans="1:13" x14ac:dyDescent="0.25">
      <c r="A110">
        <v>14</v>
      </c>
      <c r="B110" t="s">
        <v>16</v>
      </c>
      <c r="C110">
        <v>2.2999999999999998</v>
      </c>
      <c r="D110" t="s">
        <v>20</v>
      </c>
      <c r="E110">
        <v>8</v>
      </c>
      <c r="F110">
        <v>2.5</v>
      </c>
      <c r="G110">
        <v>3.08</v>
      </c>
      <c r="H110">
        <v>1.7</v>
      </c>
      <c r="I110" t="s">
        <v>22</v>
      </c>
      <c r="J110">
        <v>5</v>
      </c>
      <c r="K110">
        <v>6</v>
      </c>
      <c r="L110">
        <v>7</v>
      </c>
      <c r="M110">
        <v>0</v>
      </c>
    </row>
    <row r="111" spans="1:13" x14ac:dyDescent="0.25">
      <c r="A111">
        <v>17</v>
      </c>
      <c r="B111" t="s">
        <v>16</v>
      </c>
      <c r="C111">
        <v>7.7</v>
      </c>
      <c r="D111" t="s">
        <v>20</v>
      </c>
      <c r="E111">
        <v>8.5</v>
      </c>
      <c r="F111">
        <v>1.2</v>
      </c>
      <c r="G111">
        <v>3.56</v>
      </c>
      <c r="H111">
        <v>0</v>
      </c>
      <c r="I111" t="s">
        <v>22</v>
      </c>
      <c r="J111">
        <v>7</v>
      </c>
      <c r="K111">
        <v>10</v>
      </c>
      <c r="L111">
        <v>7</v>
      </c>
      <c r="M111">
        <v>0</v>
      </c>
    </row>
    <row r="112" spans="1:13" x14ac:dyDescent="0.25">
      <c r="A112">
        <v>16</v>
      </c>
      <c r="B112" t="s">
        <v>16</v>
      </c>
      <c r="C112">
        <v>4.8</v>
      </c>
      <c r="D112" t="s">
        <v>23</v>
      </c>
      <c r="E112">
        <v>7.1</v>
      </c>
      <c r="F112">
        <v>0.6</v>
      </c>
      <c r="G112">
        <v>3.36</v>
      </c>
      <c r="H112">
        <v>0.7</v>
      </c>
      <c r="I112" t="s">
        <v>21</v>
      </c>
      <c r="J112">
        <v>7</v>
      </c>
      <c r="K112">
        <v>6</v>
      </c>
      <c r="L112">
        <v>9</v>
      </c>
      <c r="M112">
        <v>0</v>
      </c>
    </row>
    <row r="113" spans="1:13" x14ac:dyDescent="0.25">
      <c r="A113">
        <v>17</v>
      </c>
      <c r="B113" t="s">
        <v>19</v>
      </c>
      <c r="C113">
        <v>5.2</v>
      </c>
      <c r="D113" t="s">
        <v>23</v>
      </c>
      <c r="E113">
        <v>6</v>
      </c>
      <c r="F113">
        <v>0.6</v>
      </c>
      <c r="G113">
        <v>3.07</v>
      </c>
      <c r="H113">
        <v>0.6</v>
      </c>
      <c r="I113" t="s">
        <v>22</v>
      </c>
      <c r="J113">
        <v>6</v>
      </c>
      <c r="K113">
        <v>2</v>
      </c>
      <c r="L113">
        <v>9</v>
      </c>
      <c r="M113">
        <v>0</v>
      </c>
    </row>
    <row r="114" spans="1:13" x14ac:dyDescent="0.25">
      <c r="A114">
        <v>13</v>
      </c>
      <c r="B114" t="s">
        <v>16</v>
      </c>
      <c r="C114">
        <v>5.7</v>
      </c>
      <c r="D114" t="s">
        <v>23</v>
      </c>
      <c r="E114">
        <v>6.6</v>
      </c>
      <c r="F114">
        <v>2.4</v>
      </c>
      <c r="G114">
        <v>3.99</v>
      </c>
      <c r="H114">
        <v>1.7</v>
      </c>
      <c r="I114" t="s">
        <v>21</v>
      </c>
      <c r="J114">
        <v>1</v>
      </c>
      <c r="K114">
        <v>3</v>
      </c>
      <c r="L114">
        <v>1</v>
      </c>
      <c r="M114">
        <v>0</v>
      </c>
    </row>
    <row r="115" spans="1:13" x14ac:dyDescent="0.25">
      <c r="A115">
        <v>15</v>
      </c>
      <c r="B115" t="s">
        <v>16</v>
      </c>
      <c r="C115">
        <v>4.5999999999999996</v>
      </c>
      <c r="D115" t="s">
        <v>20</v>
      </c>
      <c r="E115">
        <v>5.2</v>
      </c>
      <c r="F115">
        <v>1.4</v>
      </c>
      <c r="G115">
        <v>2.98</v>
      </c>
      <c r="H115">
        <v>1.9</v>
      </c>
      <c r="I115" t="s">
        <v>18</v>
      </c>
      <c r="J115">
        <v>1</v>
      </c>
      <c r="K115">
        <v>4</v>
      </c>
      <c r="L115">
        <v>5</v>
      </c>
      <c r="M115">
        <v>0</v>
      </c>
    </row>
    <row r="116" spans="1:13" x14ac:dyDescent="0.25">
      <c r="A116">
        <v>13</v>
      </c>
      <c r="B116" t="s">
        <v>16</v>
      </c>
      <c r="C116">
        <v>4.3</v>
      </c>
      <c r="D116" t="s">
        <v>20</v>
      </c>
      <c r="E116">
        <v>7.5</v>
      </c>
      <c r="F116">
        <v>2.7</v>
      </c>
      <c r="G116">
        <v>2.29</v>
      </c>
      <c r="H116">
        <v>0.8</v>
      </c>
      <c r="I116" t="s">
        <v>21</v>
      </c>
      <c r="J116">
        <v>1</v>
      </c>
      <c r="K116">
        <v>10</v>
      </c>
      <c r="L116">
        <v>1</v>
      </c>
      <c r="M116">
        <v>0</v>
      </c>
    </row>
    <row r="117" spans="1:13" x14ac:dyDescent="0.25">
      <c r="A117">
        <v>17</v>
      </c>
      <c r="B117" t="s">
        <v>19</v>
      </c>
      <c r="C117">
        <v>4.0999999999999996</v>
      </c>
      <c r="D117" t="s">
        <v>17</v>
      </c>
      <c r="E117">
        <v>8.6</v>
      </c>
      <c r="F117">
        <v>3</v>
      </c>
      <c r="G117">
        <v>2.77</v>
      </c>
      <c r="H117">
        <v>0.1</v>
      </c>
      <c r="I117" t="s">
        <v>22</v>
      </c>
      <c r="J117">
        <v>3</v>
      </c>
      <c r="K117">
        <v>6</v>
      </c>
      <c r="L117">
        <v>1</v>
      </c>
      <c r="M117">
        <v>0</v>
      </c>
    </row>
    <row r="118" spans="1:13" x14ac:dyDescent="0.25">
      <c r="A118">
        <v>15</v>
      </c>
      <c r="B118" t="s">
        <v>16</v>
      </c>
      <c r="C118">
        <v>6.5</v>
      </c>
      <c r="D118" t="s">
        <v>23</v>
      </c>
      <c r="E118">
        <v>8.1</v>
      </c>
      <c r="F118">
        <v>2</v>
      </c>
      <c r="G118">
        <v>3.89</v>
      </c>
      <c r="H118">
        <v>1.3</v>
      </c>
      <c r="I118" t="s">
        <v>21</v>
      </c>
      <c r="J118">
        <v>8</v>
      </c>
      <c r="K118">
        <v>2</v>
      </c>
      <c r="L118">
        <v>2</v>
      </c>
      <c r="M118">
        <v>0</v>
      </c>
    </row>
    <row r="119" spans="1:13" x14ac:dyDescent="0.25">
      <c r="A119">
        <v>19</v>
      </c>
      <c r="B119" t="s">
        <v>19</v>
      </c>
      <c r="C119">
        <v>7.8</v>
      </c>
      <c r="D119" t="s">
        <v>23</v>
      </c>
      <c r="E119">
        <v>8.8000000000000007</v>
      </c>
      <c r="F119">
        <v>2.1</v>
      </c>
      <c r="G119">
        <v>3.75</v>
      </c>
      <c r="H119">
        <v>1.3</v>
      </c>
      <c r="I119" t="s">
        <v>21</v>
      </c>
      <c r="J119">
        <v>10</v>
      </c>
      <c r="K119">
        <v>9</v>
      </c>
      <c r="L119">
        <v>6</v>
      </c>
      <c r="M119">
        <v>0</v>
      </c>
    </row>
    <row r="120" spans="1:13" x14ac:dyDescent="0.25">
      <c r="A120">
        <v>17</v>
      </c>
      <c r="B120" t="s">
        <v>16</v>
      </c>
      <c r="C120">
        <v>6.5</v>
      </c>
      <c r="D120" t="s">
        <v>17</v>
      </c>
      <c r="E120">
        <v>4.0999999999999996</v>
      </c>
      <c r="F120">
        <v>2.7</v>
      </c>
      <c r="G120">
        <v>3.66</v>
      </c>
      <c r="H120">
        <v>1.1000000000000001</v>
      </c>
      <c r="I120" t="s">
        <v>22</v>
      </c>
      <c r="J120">
        <v>6</v>
      </c>
      <c r="K120">
        <v>10</v>
      </c>
      <c r="L120">
        <v>10</v>
      </c>
      <c r="M120">
        <v>0</v>
      </c>
    </row>
    <row r="121" spans="1:13" x14ac:dyDescent="0.25">
      <c r="A121">
        <v>17</v>
      </c>
      <c r="B121" t="s">
        <v>19</v>
      </c>
      <c r="C121">
        <v>3.2</v>
      </c>
      <c r="D121" t="s">
        <v>20</v>
      </c>
      <c r="E121">
        <v>4.2</v>
      </c>
      <c r="F121">
        <v>0.6</v>
      </c>
      <c r="G121">
        <v>2.21</v>
      </c>
      <c r="H121">
        <v>1.4</v>
      </c>
      <c r="I121" t="s">
        <v>22</v>
      </c>
      <c r="J121">
        <v>6</v>
      </c>
      <c r="K121">
        <v>6</v>
      </c>
      <c r="L121">
        <v>3</v>
      </c>
      <c r="M121">
        <v>0</v>
      </c>
    </row>
    <row r="122" spans="1:13" x14ac:dyDescent="0.25">
      <c r="A122">
        <v>13</v>
      </c>
      <c r="B122" t="s">
        <v>16</v>
      </c>
      <c r="C122">
        <v>2.4</v>
      </c>
      <c r="D122" t="s">
        <v>20</v>
      </c>
      <c r="E122">
        <v>4.0999999999999996</v>
      </c>
      <c r="F122">
        <v>0.8</v>
      </c>
      <c r="G122">
        <v>2.79</v>
      </c>
      <c r="H122">
        <v>1.1000000000000001</v>
      </c>
      <c r="I122" t="s">
        <v>22</v>
      </c>
      <c r="J122">
        <v>8</v>
      </c>
      <c r="K122">
        <v>6</v>
      </c>
      <c r="L122">
        <v>3</v>
      </c>
      <c r="M122">
        <v>0</v>
      </c>
    </row>
    <row r="123" spans="1:13" x14ac:dyDescent="0.25">
      <c r="A123">
        <v>15</v>
      </c>
      <c r="B123" t="s">
        <v>19</v>
      </c>
      <c r="C123">
        <v>4</v>
      </c>
      <c r="D123" t="s">
        <v>17</v>
      </c>
      <c r="E123">
        <v>8.1</v>
      </c>
      <c r="F123">
        <v>2.1</v>
      </c>
      <c r="G123">
        <v>2.0099999999999998</v>
      </c>
      <c r="H123">
        <v>0.4</v>
      </c>
      <c r="I123" t="s">
        <v>22</v>
      </c>
      <c r="J123">
        <v>4</v>
      </c>
      <c r="K123">
        <v>8</v>
      </c>
      <c r="L123">
        <v>8</v>
      </c>
      <c r="M123">
        <v>0</v>
      </c>
    </row>
    <row r="124" spans="1:13" x14ac:dyDescent="0.25">
      <c r="A124">
        <v>17</v>
      </c>
      <c r="B124" t="s">
        <v>19</v>
      </c>
      <c r="C124">
        <v>6</v>
      </c>
      <c r="D124" t="s">
        <v>23</v>
      </c>
      <c r="E124">
        <v>8.8000000000000007</v>
      </c>
      <c r="F124">
        <v>1.3</v>
      </c>
      <c r="G124">
        <v>4</v>
      </c>
      <c r="H124">
        <v>0.9</v>
      </c>
      <c r="I124" t="s">
        <v>22</v>
      </c>
      <c r="J124">
        <v>8</v>
      </c>
      <c r="K124">
        <v>10</v>
      </c>
      <c r="L124">
        <v>7</v>
      </c>
      <c r="M124">
        <v>0</v>
      </c>
    </row>
    <row r="125" spans="1:13" x14ac:dyDescent="0.25">
      <c r="A125">
        <v>18</v>
      </c>
      <c r="B125" t="s">
        <v>16</v>
      </c>
      <c r="C125">
        <v>1.2</v>
      </c>
      <c r="D125" t="s">
        <v>20</v>
      </c>
      <c r="E125">
        <v>8</v>
      </c>
      <c r="F125">
        <v>1.7</v>
      </c>
      <c r="G125">
        <v>3.12</v>
      </c>
      <c r="H125">
        <v>0.1</v>
      </c>
      <c r="I125" t="s">
        <v>18</v>
      </c>
      <c r="J125">
        <v>6</v>
      </c>
      <c r="K125">
        <v>4</v>
      </c>
      <c r="L125">
        <v>2</v>
      </c>
      <c r="M125">
        <v>0</v>
      </c>
    </row>
    <row r="126" spans="1:13" x14ac:dyDescent="0.25">
      <c r="A126">
        <v>16</v>
      </c>
      <c r="B126" t="s">
        <v>16</v>
      </c>
      <c r="C126">
        <v>5.7</v>
      </c>
      <c r="D126" t="s">
        <v>23</v>
      </c>
      <c r="E126">
        <v>5.8</v>
      </c>
      <c r="F126">
        <v>2.8</v>
      </c>
      <c r="G126">
        <v>2.17</v>
      </c>
      <c r="H126">
        <v>0.5</v>
      </c>
      <c r="I126" t="s">
        <v>22</v>
      </c>
      <c r="J126">
        <v>3</v>
      </c>
      <c r="K126">
        <v>9</v>
      </c>
      <c r="L126">
        <v>2</v>
      </c>
      <c r="M126">
        <v>0</v>
      </c>
    </row>
    <row r="127" spans="1:13" x14ac:dyDescent="0.25">
      <c r="A127">
        <v>19</v>
      </c>
      <c r="B127" t="s">
        <v>16</v>
      </c>
      <c r="C127">
        <v>6.5</v>
      </c>
      <c r="D127" t="s">
        <v>23</v>
      </c>
      <c r="E127">
        <v>8.1</v>
      </c>
      <c r="F127">
        <v>2.2999999999999998</v>
      </c>
      <c r="G127">
        <v>2.21</v>
      </c>
      <c r="H127">
        <v>0.4</v>
      </c>
      <c r="I127" t="s">
        <v>21</v>
      </c>
      <c r="J127">
        <v>8</v>
      </c>
      <c r="K127">
        <v>8</v>
      </c>
      <c r="L127">
        <v>6</v>
      </c>
      <c r="M127">
        <v>0</v>
      </c>
    </row>
    <row r="128" spans="1:13" x14ac:dyDescent="0.25">
      <c r="A128">
        <v>16</v>
      </c>
      <c r="B128" t="s">
        <v>16</v>
      </c>
      <c r="C128">
        <v>6.6</v>
      </c>
      <c r="D128" t="s">
        <v>17</v>
      </c>
      <c r="E128">
        <v>5.6</v>
      </c>
      <c r="F128">
        <v>0.8</v>
      </c>
      <c r="G128">
        <v>3.48</v>
      </c>
      <c r="H128">
        <v>1.7</v>
      </c>
      <c r="I128" t="s">
        <v>22</v>
      </c>
      <c r="J128">
        <v>4</v>
      </c>
      <c r="K128">
        <v>3</v>
      </c>
      <c r="L128">
        <v>4</v>
      </c>
      <c r="M128">
        <v>0</v>
      </c>
    </row>
    <row r="129" spans="1:13" x14ac:dyDescent="0.25">
      <c r="A129">
        <v>13</v>
      </c>
      <c r="B129" t="s">
        <v>16</v>
      </c>
      <c r="C129">
        <v>6</v>
      </c>
      <c r="D129" t="s">
        <v>20</v>
      </c>
      <c r="E129">
        <v>7.2</v>
      </c>
      <c r="F129">
        <v>1.5</v>
      </c>
      <c r="G129">
        <v>2.36</v>
      </c>
      <c r="H129">
        <v>0.2</v>
      </c>
      <c r="I129" t="s">
        <v>18</v>
      </c>
      <c r="J129">
        <v>1</v>
      </c>
      <c r="K129">
        <v>3</v>
      </c>
      <c r="L129">
        <v>4</v>
      </c>
      <c r="M129">
        <v>0</v>
      </c>
    </row>
    <row r="130" spans="1:13" x14ac:dyDescent="0.25">
      <c r="A130">
        <v>18</v>
      </c>
      <c r="B130" t="s">
        <v>19</v>
      </c>
      <c r="C130">
        <v>1.1000000000000001</v>
      </c>
      <c r="D130" t="s">
        <v>23</v>
      </c>
      <c r="E130">
        <v>8</v>
      </c>
      <c r="F130">
        <v>2.7</v>
      </c>
      <c r="G130">
        <v>2.04</v>
      </c>
      <c r="H130">
        <v>0.1</v>
      </c>
      <c r="I130" t="s">
        <v>18</v>
      </c>
      <c r="J130">
        <v>7</v>
      </c>
      <c r="K130">
        <v>10</v>
      </c>
      <c r="L130">
        <v>2</v>
      </c>
      <c r="M130">
        <v>0</v>
      </c>
    </row>
    <row r="131" spans="1:13" x14ac:dyDescent="0.25">
      <c r="A131">
        <v>13</v>
      </c>
      <c r="B131" t="s">
        <v>19</v>
      </c>
      <c r="C131">
        <v>3.8</v>
      </c>
      <c r="D131" t="s">
        <v>17</v>
      </c>
      <c r="E131">
        <v>7.9</v>
      </c>
      <c r="F131">
        <v>1.3</v>
      </c>
      <c r="G131">
        <v>3.97</v>
      </c>
      <c r="H131">
        <v>0.2</v>
      </c>
      <c r="I131" t="s">
        <v>22</v>
      </c>
      <c r="J131">
        <v>7</v>
      </c>
      <c r="K131">
        <v>10</v>
      </c>
      <c r="L131">
        <v>9</v>
      </c>
      <c r="M131">
        <v>0</v>
      </c>
    </row>
    <row r="132" spans="1:13" x14ac:dyDescent="0.25">
      <c r="A132">
        <v>13</v>
      </c>
      <c r="B132" t="s">
        <v>19</v>
      </c>
      <c r="C132">
        <v>4.7</v>
      </c>
      <c r="D132" t="s">
        <v>23</v>
      </c>
      <c r="E132">
        <v>6.8</v>
      </c>
      <c r="F132">
        <v>1.7</v>
      </c>
      <c r="G132">
        <v>3.27</v>
      </c>
      <c r="H132">
        <v>1.4</v>
      </c>
      <c r="I132" t="s">
        <v>18</v>
      </c>
      <c r="J132">
        <v>4</v>
      </c>
      <c r="K132">
        <v>2</v>
      </c>
      <c r="L132">
        <v>4</v>
      </c>
      <c r="M132">
        <v>0</v>
      </c>
    </row>
    <row r="133" spans="1:13" x14ac:dyDescent="0.25">
      <c r="A133">
        <v>15</v>
      </c>
      <c r="B133" t="s">
        <v>16</v>
      </c>
      <c r="C133">
        <v>7.4</v>
      </c>
      <c r="D133" t="s">
        <v>20</v>
      </c>
      <c r="E133">
        <v>6.3</v>
      </c>
      <c r="F133">
        <v>1.3</v>
      </c>
      <c r="G133">
        <v>3.47</v>
      </c>
      <c r="H133">
        <v>1.2</v>
      </c>
      <c r="I133" t="s">
        <v>22</v>
      </c>
      <c r="J133">
        <v>1</v>
      </c>
      <c r="K133">
        <v>3</v>
      </c>
      <c r="L133">
        <v>9</v>
      </c>
      <c r="M133">
        <v>0</v>
      </c>
    </row>
    <row r="134" spans="1:13" x14ac:dyDescent="0.25">
      <c r="A134">
        <v>17</v>
      </c>
      <c r="B134" t="s">
        <v>16</v>
      </c>
      <c r="C134">
        <v>3.9</v>
      </c>
      <c r="D134" t="s">
        <v>17</v>
      </c>
      <c r="E134">
        <v>7.1</v>
      </c>
      <c r="F134">
        <v>2.4</v>
      </c>
      <c r="G134">
        <v>3.82</v>
      </c>
      <c r="H134">
        <v>0.8</v>
      </c>
      <c r="I134" t="s">
        <v>21</v>
      </c>
      <c r="J134">
        <v>3</v>
      </c>
      <c r="K134">
        <v>6</v>
      </c>
      <c r="L134">
        <v>10</v>
      </c>
      <c r="M134">
        <v>0</v>
      </c>
    </row>
    <row r="135" spans="1:13" x14ac:dyDescent="0.25">
      <c r="A135">
        <v>18</v>
      </c>
      <c r="B135" t="s">
        <v>16</v>
      </c>
      <c r="C135">
        <v>3.1</v>
      </c>
      <c r="D135" t="s">
        <v>17</v>
      </c>
      <c r="E135">
        <v>5.7</v>
      </c>
      <c r="F135">
        <v>2.9</v>
      </c>
      <c r="G135">
        <v>3.1</v>
      </c>
      <c r="H135">
        <v>0.6</v>
      </c>
      <c r="I135" t="s">
        <v>22</v>
      </c>
      <c r="J135">
        <v>9</v>
      </c>
      <c r="K135">
        <v>4</v>
      </c>
      <c r="L135">
        <v>2</v>
      </c>
      <c r="M135">
        <v>0</v>
      </c>
    </row>
    <row r="136" spans="1:13" x14ac:dyDescent="0.25">
      <c r="A136">
        <v>16</v>
      </c>
      <c r="B136" t="s">
        <v>19</v>
      </c>
      <c r="C136">
        <v>2.6</v>
      </c>
      <c r="D136" t="s">
        <v>20</v>
      </c>
      <c r="E136">
        <v>8.8000000000000007</v>
      </c>
      <c r="F136">
        <v>1.7</v>
      </c>
      <c r="G136">
        <v>2.39</v>
      </c>
      <c r="H136">
        <v>1</v>
      </c>
      <c r="I136" t="s">
        <v>22</v>
      </c>
      <c r="J136">
        <v>5</v>
      </c>
      <c r="K136">
        <v>2</v>
      </c>
      <c r="L136">
        <v>6</v>
      </c>
      <c r="M136">
        <v>0</v>
      </c>
    </row>
    <row r="137" spans="1:13" x14ac:dyDescent="0.25">
      <c r="A137">
        <v>13</v>
      </c>
      <c r="B137" t="s">
        <v>16</v>
      </c>
      <c r="C137">
        <v>5</v>
      </c>
      <c r="D137" t="s">
        <v>20</v>
      </c>
      <c r="E137">
        <v>6.9</v>
      </c>
      <c r="F137">
        <v>0.6</v>
      </c>
      <c r="G137">
        <v>3.03</v>
      </c>
      <c r="H137">
        <v>0.8</v>
      </c>
      <c r="I137" t="s">
        <v>18</v>
      </c>
      <c r="J137">
        <v>9</v>
      </c>
      <c r="K137">
        <v>3</v>
      </c>
      <c r="L137">
        <v>8</v>
      </c>
      <c r="M137">
        <v>0</v>
      </c>
    </row>
    <row r="138" spans="1:13" x14ac:dyDescent="0.25">
      <c r="A138">
        <v>18</v>
      </c>
      <c r="B138" t="s">
        <v>16</v>
      </c>
      <c r="C138">
        <v>4.5</v>
      </c>
      <c r="D138" t="s">
        <v>17</v>
      </c>
      <c r="E138">
        <v>8.1</v>
      </c>
      <c r="F138">
        <v>1.6</v>
      </c>
      <c r="G138">
        <v>3.72</v>
      </c>
      <c r="H138">
        <v>1.2</v>
      </c>
      <c r="I138" t="s">
        <v>18</v>
      </c>
      <c r="J138">
        <v>1</v>
      </c>
      <c r="K138">
        <v>2</v>
      </c>
      <c r="L138">
        <v>1</v>
      </c>
      <c r="M138">
        <v>0</v>
      </c>
    </row>
    <row r="139" spans="1:13" x14ac:dyDescent="0.25">
      <c r="A139">
        <v>17</v>
      </c>
      <c r="B139" t="s">
        <v>16</v>
      </c>
      <c r="C139">
        <v>2.1</v>
      </c>
      <c r="D139" t="s">
        <v>20</v>
      </c>
      <c r="E139">
        <v>4.7</v>
      </c>
      <c r="F139">
        <v>2</v>
      </c>
      <c r="G139">
        <v>2.99</v>
      </c>
      <c r="H139">
        <v>1.9</v>
      </c>
      <c r="I139" t="s">
        <v>18</v>
      </c>
      <c r="J139">
        <v>5</v>
      </c>
      <c r="K139">
        <v>1</v>
      </c>
      <c r="L139">
        <v>8</v>
      </c>
      <c r="M139">
        <v>0</v>
      </c>
    </row>
    <row r="140" spans="1:13" x14ac:dyDescent="0.25">
      <c r="A140">
        <v>14</v>
      </c>
      <c r="B140" t="s">
        <v>19</v>
      </c>
      <c r="C140">
        <v>6.4</v>
      </c>
      <c r="D140" t="s">
        <v>17</v>
      </c>
      <c r="E140">
        <v>6</v>
      </c>
      <c r="F140">
        <v>1.1000000000000001</v>
      </c>
      <c r="G140">
        <v>3.81</v>
      </c>
      <c r="H140">
        <v>0.9</v>
      </c>
      <c r="I140" t="s">
        <v>22</v>
      </c>
      <c r="J140">
        <v>8</v>
      </c>
      <c r="K140">
        <v>2</v>
      </c>
      <c r="L140">
        <v>3</v>
      </c>
      <c r="M140">
        <v>0</v>
      </c>
    </row>
    <row r="141" spans="1:13" x14ac:dyDescent="0.25">
      <c r="A141">
        <v>15</v>
      </c>
      <c r="B141" t="s">
        <v>19</v>
      </c>
      <c r="C141">
        <v>2.2999999999999998</v>
      </c>
      <c r="D141" t="s">
        <v>20</v>
      </c>
      <c r="E141">
        <v>6.5</v>
      </c>
      <c r="F141">
        <v>2.6</v>
      </c>
      <c r="G141">
        <v>3.18</v>
      </c>
      <c r="H141">
        <v>0.1</v>
      </c>
      <c r="I141" t="s">
        <v>18</v>
      </c>
      <c r="J141">
        <v>1</v>
      </c>
      <c r="K141">
        <v>8</v>
      </c>
      <c r="L141">
        <v>4</v>
      </c>
      <c r="M141">
        <v>0</v>
      </c>
    </row>
    <row r="142" spans="1:13" x14ac:dyDescent="0.25">
      <c r="A142">
        <v>13</v>
      </c>
      <c r="B142" t="s">
        <v>19</v>
      </c>
      <c r="C142">
        <v>4.4000000000000004</v>
      </c>
      <c r="D142" t="s">
        <v>20</v>
      </c>
      <c r="E142">
        <v>8.8000000000000007</v>
      </c>
      <c r="F142">
        <v>1.3</v>
      </c>
      <c r="G142">
        <v>2.69</v>
      </c>
      <c r="H142">
        <v>0.4</v>
      </c>
      <c r="I142" t="s">
        <v>18</v>
      </c>
      <c r="J142">
        <v>3</v>
      </c>
      <c r="K142">
        <v>1</v>
      </c>
      <c r="L142">
        <v>7</v>
      </c>
      <c r="M142">
        <v>0</v>
      </c>
    </row>
    <row r="143" spans="1:13" x14ac:dyDescent="0.25">
      <c r="A143">
        <v>19</v>
      </c>
      <c r="B143" t="s">
        <v>16</v>
      </c>
      <c r="C143">
        <v>2.2999999999999998</v>
      </c>
      <c r="D143" t="s">
        <v>17</v>
      </c>
      <c r="E143">
        <v>6.9</v>
      </c>
      <c r="F143">
        <v>2.2999999999999998</v>
      </c>
      <c r="G143">
        <v>2.17</v>
      </c>
      <c r="H143">
        <v>1.6</v>
      </c>
      <c r="I143" t="s">
        <v>22</v>
      </c>
      <c r="J143">
        <v>3</v>
      </c>
      <c r="K143">
        <v>6</v>
      </c>
      <c r="L143">
        <v>10</v>
      </c>
      <c r="M143">
        <v>0</v>
      </c>
    </row>
    <row r="144" spans="1:13" x14ac:dyDescent="0.25">
      <c r="A144">
        <v>13</v>
      </c>
      <c r="B144" t="s">
        <v>16</v>
      </c>
      <c r="C144">
        <v>4.3</v>
      </c>
      <c r="D144" t="s">
        <v>17</v>
      </c>
      <c r="E144">
        <v>4.4000000000000004</v>
      </c>
      <c r="F144">
        <v>0.7</v>
      </c>
      <c r="G144">
        <v>3.19</v>
      </c>
      <c r="H144">
        <v>0.3</v>
      </c>
      <c r="I144" t="s">
        <v>18</v>
      </c>
      <c r="J144">
        <v>6</v>
      </c>
      <c r="K144">
        <v>2</v>
      </c>
      <c r="L144">
        <v>6</v>
      </c>
      <c r="M144">
        <v>0</v>
      </c>
    </row>
    <row r="145" spans="1:13" x14ac:dyDescent="0.25">
      <c r="A145">
        <v>18</v>
      </c>
      <c r="B145" t="s">
        <v>19</v>
      </c>
      <c r="C145">
        <v>3.9</v>
      </c>
      <c r="D145" t="s">
        <v>20</v>
      </c>
      <c r="E145">
        <v>5.2</v>
      </c>
      <c r="F145">
        <v>1.8</v>
      </c>
      <c r="G145">
        <v>2.41</v>
      </c>
      <c r="H145">
        <v>0.6</v>
      </c>
      <c r="I145" t="s">
        <v>21</v>
      </c>
      <c r="J145">
        <v>9</v>
      </c>
      <c r="K145">
        <v>5</v>
      </c>
      <c r="L145">
        <v>5</v>
      </c>
      <c r="M145">
        <v>0</v>
      </c>
    </row>
    <row r="146" spans="1:13" x14ac:dyDescent="0.25">
      <c r="A146">
        <v>18</v>
      </c>
      <c r="B146" t="s">
        <v>16</v>
      </c>
      <c r="C146">
        <v>2.9</v>
      </c>
      <c r="D146" t="s">
        <v>20</v>
      </c>
      <c r="E146">
        <v>7.5</v>
      </c>
      <c r="F146">
        <v>0.9</v>
      </c>
      <c r="G146">
        <v>2.62</v>
      </c>
      <c r="H146">
        <v>2</v>
      </c>
      <c r="I146" t="s">
        <v>21</v>
      </c>
      <c r="J146">
        <v>3</v>
      </c>
      <c r="K146">
        <v>1</v>
      </c>
      <c r="L146">
        <v>9</v>
      </c>
      <c r="M146">
        <v>0</v>
      </c>
    </row>
    <row r="147" spans="1:13" x14ac:dyDescent="0.25">
      <c r="A147">
        <v>14</v>
      </c>
      <c r="B147" t="s">
        <v>16</v>
      </c>
      <c r="C147">
        <v>2.1</v>
      </c>
      <c r="D147" t="s">
        <v>17</v>
      </c>
      <c r="E147">
        <v>8.5</v>
      </c>
      <c r="F147">
        <v>1.1000000000000001</v>
      </c>
      <c r="G147">
        <v>3.03</v>
      </c>
      <c r="H147">
        <v>1.6</v>
      </c>
      <c r="I147" t="s">
        <v>22</v>
      </c>
      <c r="J147">
        <v>5</v>
      </c>
      <c r="K147">
        <v>6</v>
      </c>
      <c r="L147">
        <v>7</v>
      </c>
      <c r="M147">
        <v>0</v>
      </c>
    </row>
    <row r="148" spans="1:13" x14ac:dyDescent="0.25">
      <c r="A148">
        <v>14</v>
      </c>
      <c r="B148" t="s">
        <v>16</v>
      </c>
      <c r="C148">
        <v>2.1</v>
      </c>
      <c r="D148" t="s">
        <v>20</v>
      </c>
      <c r="E148">
        <v>5</v>
      </c>
      <c r="F148">
        <v>1.4</v>
      </c>
      <c r="G148">
        <v>2.96</v>
      </c>
      <c r="H148">
        <v>1.1000000000000001</v>
      </c>
      <c r="I148" t="s">
        <v>18</v>
      </c>
      <c r="J148">
        <v>7</v>
      </c>
      <c r="K148">
        <v>1</v>
      </c>
      <c r="L148">
        <v>9</v>
      </c>
      <c r="M148">
        <v>0</v>
      </c>
    </row>
    <row r="149" spans="1:13" x14ac:dyDescent="0.25">
      <c r="A149">
        <v>16</v>
      </c>
      <c r="B149" t="s">
        <v>16</v>
      </c>
      <c r="C149">
        <v>3.8</v>
      </c>
      <c r="D149" t="s">
        <v>20</v>
      </c>
      <c r="E149">
        <v>5.7</v>
      </c>
      <c r="F149">
        <v>1.3</v>
      </c>
      <c r="G149">
        <v>3.84</v>
      </c>
      <c r="H149">
        <v>1.6</v>
      </c>
      <c r="I149" t="s">
        <v>22</v>
      </c>
      <c r="J149">
        <v>3</v>
      </c>
      <c r="K149">
        <v>4</v>
      </c>
      <c r="L149">
        <v>10</v>
      </c>
      <c r="M149">
        <v>0</v>
      </c>
    </row>
    <row r="150" spans="1:13" x14ac:dyDescent="0.25">
      <c r="A150">
        <v>15</v>
      </c>
      <c r="B150" t="s">
        <v>19</v>
      </c>
      <c r="C150">
        <v>1.1000000000000001</v>
      </c>
      <c r="D150" t="s">
        <v>20</v>
      </c>
      <c r="E150">
        <v>8.1999999999999993</v>
      </c>
      <c r="F150">
        <v>0.7</v>
      </c>
      <c r="G150">
        <v>2.94</v>
      </c>
      <c r="H150">
        <v>0.7</v>
      </c>
      <c r="I150" t="s">
        <v>21</v>
      </c>
      <c r="J150">
        <v>10</v>
      </c>
      <c r="K150">
        <v>7</v>
      </c>
      <c r="L150">
        <v>9</v>
      </c>
      <c r="M150">
        <v>0</v>
      </c>
    </row>
    <row r="151" spans="1:13" x14ac:dyDescent="0.25">
      <c r="A151">
        <v>14</v>
      </c>
      <c r="B151" t="s">
        <v>16</v>
      </c>
      <c r="C151">
        <v>2.5</v>
      </c>
      <c r="D151" t="s">
        <v>23</v>
      </c>
      <c r="E151">
        <v>5.3</v>
      </c>
      <c r="F151">
        <v>2.4</v>
      </c>
      <c r="G151">
        <v>3.87</v>
      </c>
      <c r="H151">
        <v>1.3</v>
      </c>
      <c r="I151" t="s">
        <v>21</v>
      </c>
      <c r="J151">
        <v>10</v>
      </c>
      <c r="K151">
        <v>9</v>
      </c>
      <c r="L151">
        <v>6</v>
      </c>
      <c r="M151">
        <v>0</v>
      </c>
    </row>
    <row r="152" spans="1:13" x14ac:dyDescent="0.25">
      <c r="A152">
        <v>19</v>
      </c>
      <c r="B152" t="s">
        <v>19</v>
      </c>
      <c r="C152">
        <v>4.0999999999999996</v>
      </c>
      <c r="D152" t="s">
        <v>17</v>
      </c>
      <c r="E152">
        <v>6.4</v>
      </c>
      <c r="F152">
        <v>0.9</v>
      </c>
      <c r="G152">
        <v>2.4700000000000002</v>
      </c>
      <c r="H152">
        <v>1.2</v>
      </c>
      <c r="I152" t="s">
        <v>21</v>
      </c>
      <c r="J152">
        <v>7</v>
      </c>
      <c r="K152">
        <v>3</v>
      </c>
      <c r="L152">
        <v>4</v>
      </c>
      <c r="M152">
        <v>0</v>
      </c>
    </row>
    <row r="153" spans="1:13" x14ac:dyDescent="0.25">
      <c r="A153">
        <v>16</v>
      </c>
      <c r="B153" t="s">
        <v>16</v>
      </c>
      <c r="C153">
        <v>3</v>
      </c>
      <c r="D153" t="s">
        <v>17</v>
      </c>
      <c r="E153">
        <v>8.6</v>
      </c>
      <c r="F153">
        <v>1.5</v>
      </c>
      <c r="G153">
        <v>2.84</v>
      </c>
      <c r="H153">
        <v>0.3</v>
      </c>
      <c r="I153" t="s">
        <v>21</v>
      </c>
      <c r="J153">
        <v>6</v>
      </c>
      <c r="K153">
        <v>4</v>
      </c>
      <c r="L153">
        <v>3</v>
      </c>
      <c r="M153">
        <v>0</v>
      </c>
    </row>
    <row r="154" spans="1:13" x14ac:dyDescent="0.25">
      <c r="A154">
        <v>13</v>
      </c>
      <c r="B154" t="s">
        <v>19</v>
      </c>
      <c r="C154">
        <v>3.9</v>
      </c>
      <c r="D154" t="s">
        <v>17</v>
      </c>
      <c r="E154">
        <v>5</v>
      </c>
      <c r="F154">
        <v>0.7</v>
      </c>
      <c r="G154">
        <v>2.98</v>
      </c>
      <c r="H154">
        <v>0.3</v>
      </c>
      <c r="I154" t="s">
        <v>22</v>
      </c>
      <c r="J154">
        <v>10</v>
      </c>
      <c r="K154">
        <v>8</v>
      </c>
      <c r="L154">
        <v>3</v>
      </c>
      <c r="M154">
        <v>0</v>
      </c>
    </row>
    <row r="155" spans="1:13" x14ac:dyDescent="0.25">
      <c r="A155">
        <v>13</v>
      </c>
      <c r="B155" t="s">
        <v>16</v>
      </c>
      <c r="C155">
        <v>7</v>
      </c>
      <c r="D155" t="s">
        <v>20</v>
      </c>
      <c r="E155">
        <v>8.9</v>
      </c>
      <c r="F155">
        <v>0.6</v>
      </c>
      <c r="G155">
        <v>2.7</v>
      </c>
      <c r="H155">
        <v>1.8</v>
      </c>
      <c r="I155" t="s">
        <v>22</v>
      </c>
      <c r="J155">
        <v>5</v>
      </c>
      <c r="K155">
        <v>4</v>
      </c>
      <c r="L155">
        <v>1</v>
      </c>
      <c r="M155">
        <v>0</v>
      </c>
    </row>
    <row r="156" spans="1:13" x14ac:dyDescent="0.25">
      <c r="A156">
        <v>16</v>
      </c>
      <c r="B156" t="s">
        <v>16</v>
      </c>
      <c r="C156">
        <v>3.6</v>
      </c>
      <c r="D156" t="s">
        <v>23</v>
      </c>
      <c r="E156">
        <v>8.9</v>
      </c>
      <c r="F156">
        <v>1.9</v>
      </c>
      <c r="G156">
        <v>2.11</v>
      </c>
      <c r="H156">
        <v>1.7</v>
      </c>
      <c r="I156" t="s">
        <v>18</v>
      </c>
      <c r="J156">
        <v>9</v>
      </c>
      <c r="K156">
        <v>5</v>
      </c>
      <c r="L156">
        <v>2</v>
      </c>
      <c r="M156">
        <v>0</v>
      </c>
    </row>
    <row r="157" spans="1:13" x14ac:dyDescent="0.25">
      <c r="A157">
        <v>15</v>
      </c>
      <c r="B157" t="s">
        <v>16</v>
      </c>
      <c r="C157">
        <v>7.6</v>
      </c>
      <c r="D157" t="s">
        <v>17</v>
      </c>
      <c r="E157">
        <v>7.6</v>
      </c>
      <c r="F157">
        <v>2.7</v>
      </c>
      <c r="G157">
        <v>2.36</v>
      </c>
      <c r="H157">
        <v>1.2</v>
      </c>
      <c r="I157" t="s">
        <v>22</v>
      </c>
      <c r="J157">
        <v>5</v>
      </c>
      <c r="K157">
        <v>10</v>
      </c>
      <c r="L157">
        <v>3</v>
      </c>
      <c r="M157">
        <v>0</v>
      </c>
    </row>
    <row r="158" spans="1:13" x14ac:dyDescent="0.25">
      <c r="A158">
        <v>19</v>
      </c>
      <c r="B158" t="s">
        <v>16</v>
      </c>
      <c r="C158">
        <v>1.3</v>
      </c>
      <c r="D158" t="s">
        <v>17</v>
      </c>
      <c r="E158">
        <v>4.5</v>
      </c>
      <c r="F158">
        <v>0.7</v>
      </c>
      <c r="G158">
        <v>2.5099999999999998</v>
      </c>
      <c r="H158">
        <v>0.8</v>
      </c>
      <c r="I158" t="s">
        <v>18</v>
      </c>
      <c r="J158">
        <v>10</v>
      </c>
      <c r="K158">
        <v>9</v>
      </c>
      <c r="L158">
        <v>7</v>
      </c>
      <c r="M158">
        <v>0</v>
      </c>
    </row>
    <row r="159" spans="1:13" x14ac:dyDescent="0.25">
      <c r="A159">
        <v>17</v>
      </c>
      <c r="B159" t="s">
        <v>19</v>
      </c>
      <c r="C159">
        <v>2.1</v>
      </c>
      <c r="D159" t="s">
        <v>23</v>
      </c>
      <c r="E159">
        <v>7.8</v>
      </c>
      <c r="F159">
        <v>2.1</v>
      </c>
      <c r="G159">
        <v>3.29</v>
      </c>
      <c r="H159">
        <v>1.5</v>
      </c>
      <c r="I159" t="s">
        <v>18</v>
      </c>
      <c r="J159">
        <v>8</v>
      </c>
      <c r="K159">
        <v>1</v>
      </c>
      <c r="L159">
        <v>7</v>
      </c>
      <c r="M159">
        <v>0</v>
      </c>
    </row>
    <row r="160" spans="1:13" x14ac:dyDescent="0.25">
      <c r="A160">
        <v>15</v>
      </c>
      <c r="B160" t="s">
        <v>19</v>
      </c>
      <c r="C160">
        <v>2.7</v>
      </c>
      <c r="D160" t="s">
        <v>23</v>
      </c>
      <c r="E160">
        <v>8.8000000000000007</v>
      </c>
      <c r="F160">
        <v>1.9</v>
      </c>
      <c r="G160">
        <v>2.14</v>
      </c>
      <c r="H160">
        <v>0.4</v>
      </c>
      <c r="I160" t="s">
        <v>21</v>
      </c>
      <c r="J160">
        <v>8</v>
      </c>
      <c r="K160">
        <v>10</v>
      </c>
      <c r="L160">
        <v>3</v>
      </c>
      <c r="M160">
        <v>0</v>
      </c>
    </row>
    <row r="161" spans="1:13" x14ac:dyDescent="0.25">
      <c r="A161">
        <v>13</v>
      </c>
      <c r="B161" t="s">
        <v>16</v>
      </c>
      <c r="C161">
        <v>7.5</v>
      </c>
      <c r="D161" t="s">
        <v>23</v>
      </c>
      <c r="E161">
        <v>8</v>
      </c>
      <c r="F161">
        <v>2</v>
      </c>
      <c r="G161">
        <v>3.25</v>
      </c>
      <c r="H161">
        <v>0.7</v>
      </c>
      <c r="I161" t="s">
        <v>22</v>
      </c>
      <c r="J161">
        <v>9</v>
      </c>
      <c r="K161">
        <v>10</v>
      </c>
      <c r="L161">
        <v>2</v>
      </c>
      <c r="M161">
        <v>0</v>
      </c>
    </row>
    <row r="162" spans="1:13" x14ac:dyDescent="0.25">
      <c r="A162">
        <v>16</v>
      </c>
      <c r="B162" t="s">
        <v>19</v>
      </c>
      <c r="C162">
        <v>6.1</v>
      </c>
      <c r="D162" t="s">
        <v>23</v>
      </c>
      <c r="E162">
        <v>8.8000000000000007</v>
      </c>
      <c r="F162">
        <v>1.7</v>
      </c>
      <c r="G162">
        <v>3.55</v>
      </c>
      <c r="H162">
        <v>1.3</v>
      </c>
      <c r="I162" t="s">
        <v>22</v>
      </c>
      <c r="J162">
        <v>6</v>
      </c>
      <c r="K162">
        <v>10</v>
      </c>
      <c r="L162">
        <v>9</v>
      </c>
      <c r="M162">
        <v>0</v>
      </c>
    </row>
    <row r="163" spans="1:13" x14ac:dyDescent="0.25">
      <c r="A163">
        <v>19</v>
      </c>
      <c r="B163" t="s">
        <v>16</v>
      </c>
      <c r="C163">
        <v>2.4</v>
      </c>
      <c r="D163" t="s">
        <v>23</v>
      </c>
      <c r="E163">
        <v>7.4</v>
      </c>
      <c r="F163">
        <v>1.2</v>
      </c>
      <c r="G163">
        <v>2.5</v>
      </c>
      <c r="H163">
        <v>1.8</v>
      </c>
      <c r="I163" t="s">
        <v>21</v>
      </c>
      <c r="J163">
        <v>2</v>
      </c>
      <c r="K163">
        <v>5</v>
      </c>
      <c r="L163">
        <v>2</v>
      </c>
      <c r="M163">
        <v>0</v>
      </c>
    </row>
    <row r="164" spans="1:13" x14ac:dyDescent="0.25">
      <c r="A164">
        <v>19</v>
      </c>
      <c r="B164" t="s">
        <v>16</v>
      </c>
      <c r="C164">
        <v>2</v>
      </c>
      <c r="D164" t="s">
        <v>20</v>
      </c>
      <c r="E164">
        <v>5.3</v>
      </c>
      <c r="F164">
        <v>1.7</v>
      </c>
      <c r="G164">
        <v>2.91</v>
      </c>
      <c r="H164">
        <v>0.8</v>
      </c>
      <c r="I164" t="s">
        <v>18</v>
      </c>
      <c r="J164">
        <v>9</v>
      </c>
      <c r="K164">
        <v>5</v>
      </c>
      <c r="L164">
        <v>9</v>
      </c>
      <c r="M164">
        <v>0</v>
      </c>
    </row>
    <row r="165" spans="1:13" x14ac:dyDescent="0.25">
      <c r="A165">
        <v>15</v>
      </c>
      <c r="B165" t="s">
        <v>19</v>
      </c>
      <c r="C165">
        <v>7.8</v>
      </c>
      <c r="D165" t="s">
        <v>20</v>
      </c>
      <c r="E165">
        <v>5.3</v>
      </c>
      <c r="F165">
        <v>0.5</v>
      </c>
      <c r="G165">
        <v>2.3199999999999998</v>
      </c>
      <c r="H165">
        <v>0.8</v>
      </c>
      <c r="I165" t="s">
        <v>18</v>
      </c>
      <c r="J165">
        <v>8</v>
      </c>
      <c r="K165">
        <v>9</v>
      </c>
      <c r="L165">
        <v>3</v>
      </c>
      <c r="M165">
        <v>1</v>
      </c>
    </row>
    <row r="166" spans="1:13" x14ac:dyDescent="0.25">
      <c r="A166">
        <v>16</v>
      </c>
      <c r="B166" t="s">
        <v>19</v>
      </c>
      <c r="C166">
        <v>6.8</v>
      </c>
      <c r="D166" t="s">
        <v>20</v>
      </c>
      <c r="E166">
        <v>7.2</v>
      </c>
      <c r="F166">
        <v>2.5</v>
      </c>
      <c r="G166">
        <v>3.61</v>
      </c>
      <c r="H166">
        <v>0.5</v>
      </c>
      <c r="I166" t="s">
        <v>22</v>
      </c>
      <c r="J166">
        <v>10</v>
      </c>
      <c r="K166">
        <v>1</v>
      </c>
      <c r="L166">
        <v>9</v>
      </c>
      <c r="M166">
        <v>0</v>
      </c>
    </row>
    <row r="167" spans="1:13" x14ac:dyDescent="0.25">
      <c r="A167">
        <v>17</v>
      </c>
      <c r="B167" t="s">
        <v>16</v>
      </c>
      <c r="C167">
        <v>8</v>
      </c>
      <c r="D167" t="s">
        <v>17</v>
      </c>
      <c r="E167">
        <v>4.5999999999999996</v>
      </c>
      <c r="F167">
        <v>2.6</v>
      </c>
      <c r="G167">
        <v>3.06</v>
      </c>
      <c r="H167">
        <v>0.1</v>
      </c>
      <c r="I167" t="s">
        <v>21</v>
      </c>
      <c r="J167">
        <v>9</v>
      </c>
      <c r="K167">
        <v>2</v>
      </c>
      <c r="L167">
        <v>6</v>
      </c>
      <c r="M167">
        <v>0</v>
      </c>
    </row>
    <row r="168" spans="1:13" x14ac:dyDescent="0.25">
      <c r="A168">
        <v>13</v>
      </c>
      <c r="B168" t="s">
        <v>19</v>
      </c>
      <c r="C168">
        <v>7.3</v>
      </c>
      <c r="D168" t="s">
        <v>23</v>
      </c>
      <c r="E168">
        <v>8.9</v>
      </c>
      <c r="F168">
        <v>2.7</v>
      </c>
      <c r="G168">
        <v>3.68</v>
      </c>
      <c r="H168">
        <v>1.9</v>
      </c>
      <c r="I168" t="s">
        <v>18</v>
      </c>
      <c r="J168">
        <v>6</v>
      </c>
      <c r="K168">
        <v>6</v>
      </c>
      <c r="L168">
        <v>10</v>
      </c>
      <c r="M168">
        <v>0</v>
      </c>
    </row>
    <row r="169" spans="1:13" x14ac:dyDescent="0.25">
      <c r="A169">
        <v>15</v>
      </c>
      <c r="B169" t="s">
        <v>19</v>
      </c>
      <c r="C169">
        <v>1.5</v>
      </c>
      <c r="D169" t="s">
        <v>23</v>
      </c>
      <c r="E169">
        <v>8.6999999999999993</v>
      </c>
      <c r="F169">
        <v>1.2</v>
      </c>
      <c r="G169">
        <v>2.52</v>
      </c>
      <c r="H169">
        <v>0.1</v>
      </c>
      <c r="I169" t="s">
        <v>18</v>
      </c>
      <c r="J169">
        <v>9</v>
      </c>
      <c r="K169">
        <v>7</v>
      </c>
      <c r="L169">
        <v>2</v>
      </c>
      <c r="M169">
        <v>0</v>
      </c>
    </row>
    <row r="170" spans="1:13" x14ac:dyDescent="0.25">
      <c r="A170">
        <v>15</v>
      </c>
      <c r="B170" t="s">
        <v>19</v>
      </c>
      <c r="C170">
        <v>3.4</v>
      </c>
      <c r="D170" t="s">
        <v>17</v>
      </c>
      <c r="E170">
        <v>5</v>
      </c>
      <c r="F170">
        <v>1.8</v>
      </c>
      <c r="G170">
        <v>3.2</v>
      </c>
      <c r="H170">
        <v>1.5</v>
      </c>
      <c r="I170" t="s">
        <v>22</v>
      </c>
      <c r="J170">
        <v>4</v>
      </c>
      <c r="K170">
        <v>5</v>
      </c>
      <c r="L170">
        <v>1</v>
      </c>
      <c r="M170">
        <v>0</v>
      </c>
    </row>
    <row r="171" spans="1:13" x14ac:dyDescent="0.25">
      <c r="A171">
        <v>15</v>
      </c>
      <c r="B171" t="s">
        <v>16</v>
      </c>
      <c r="C171">
        <v>7.3</v>
      </c>
      <c r="D171" t="s">
        <v>23</v>
      </c>
      <c r="E171">
        <v>4.8</v>
      </c>
      <c r="F171">
        <v>2.6</v>
      </c>
      <c r="G171">
        <v>3.81</v>
      </c>
      <c r="H171">
        <v>1.5</v>
      </c>
      <c r="I171" t="s">
        <v>18</v>
      </c>
      <c r="J171">
        <v>4</v>
      </c>
      <c r="K171">
        <v>7</v>
      </c>
      <c r="L171">
        <v>4</v>
      </c>
      <c r="M171">
        <v>0</v>
      </c>
    </row>
    <row r="172" spans="1:13" x14ac:dyDescent="0.25">
      <c r="A172">
        <v>13</v>
      </c>
      <c r="B172" t="s">
        <v>19</v>
      </c>
      <c r="C172">
        <v>1.9</v>
      </c>
      <c r="D172" t="s">
        <v>20</v>
      </c>
      <c r="E172">
        <v>8.5</v>
      </c>
      <c r="F172">
        <v>0.8</v>
      </c>
      <c r="G172">
        <v>3.33</v>
      </c>
      <c r="H172">
        <v>1.3</v>
      </c>
      <c r="I172" t="s">
        <v>22</v>
      </c>
      <c r="J172">
        <v>5</v>
      </c>
      <c r="K172">
        <v>1</v>
      </c>
      <c r="L172">
        <v>3</v>
      </c>
      <c r="M172">
        <v>0</v>
      </c>
    </row>
    <row r="173" spans="1:13" x14ac:dyDescent="0.25">
      <c r="A173">
        <v>17</v>
      </c>
      <c r="B173" t="s">
        <v>19</v>
      </c>
      <c r="C173">
        <v>3.9</v>
      </c>
      <c r="D173" t="s">
        <v>17</v>
      </c>
      <c r="E173">
        <v>8.1999999999999993</v>
      </c>
      <c r="F173">
        <v>1.3</v>
      </c>
      <c r="G173">
        <v>3.21</v>
      </c>
      <c r="H173">
        <v>1.8</v>
      </c>
      <c r="I173" t="s">
        <v>22</v>
      </c>
      <c r="J173">
        <v>3</v>
      </c>
      <c r="K173">
        <v>7</v>
      </c>
      <c r="L173">
        <v>7</v>
      </c>
      <c r="M173">
        <v>0</v>
      </c>
    </row>
    <row r="174" spans="1:13" x14ac:dyDescent="0.25">
      <c r="A174">
        <v>18</v>
      </c>
      <c r="B174" t="s">
        <v>16</v>
      </c>
      <c r="C174">
        <v>1.3</v>
      </c>
      <c r="D174" t="s">
        <v>17</v>
      </c>
      <c r="E174">
        <v>5.8</v>
      </c>
      <c r="F174">
        <v>1.3</v>
      </c>
      <c r="G174">
        <v>3.35</v>
      </c>
      <c r="H174">
        <v>1.9</v>
      </c>
      <c r="I174" t="s">
        <v>22</v>
      </c>
      <c r="J174">
        <v>9</v>
      </c>
      <c r="K174">
        <v>4</v>
      </c>
      <c r="L174">
        <v>9</v>
      </c>
      <c r="M174">
        <v>0</v>
      </c>
    </row>
    <row r="175" spans="1:13" x14ac:dyDescent="0.25">
      <c r="A175">
        <v>19</v>
      </c>
      <c r="B175" t="s">
        <v>16</v>
      </c>
      <c r="C175">
        <v>4.7</v>
      </c>
      <c r="D175" t="s">
        <v>20</v>
      </c>
      <c r="E175">
        <v>8.1999999999999993</v>
      </c>
      <c r="F175">
        <v>1.8</v>
      </c>
      <c r="G175">
        <v>2.2599999999999998</v>
      </c>
      <c r="H175">
        <v>1</v>
      </c>
      <c r="I175" t="s">
        <v>18</v>
      </c>
      <c r="J175">
        <v>7</v>
      </c>
      <c r="K175">
        <v>4</v>
      </c>
      <c r="L175">
        <v>7</v>
      </c>
      <c r="M175">
        <v>0</v>
      </c>
    </row>
    <row r="176" spans="1:13" x14ac:dyDescent="0.25">
      <c r="A176">
        <v>15</v>
      </c>
      <c r="B176" t="s">
        <v>16</v>
      </c>
      <c r="C176">
        <v>1.9</v>
      </c>
      <c r="D176" t="s">
        <v>20</v>
      </c>
      <c r="E176">
        <v>5.8</v>
      </c>
      <c r="F176">
        <v>2.2999999999999998</v>
      </c>
      <c r="G176">
        <v>2.4700000000000002</v>
      </c>
      <c r="H176">
        <v>0.3</v>
      </c>
      <c r="I176" t="s">
        <v>21</v>
      </c>
      <c r="J176">
        <v>10</v>
      </c>
      <c r="K176">
        <v>9</v>
      </c>
      <c r="L176">
        <v>4</v>
      </c>
      <c r="M176">
        <v>0</v>
      </c>
    </row>
    <row r="177" spans="1:13" x14ac:dyDescent="0.25">
      <c r="A177">
        <v>18</v>
      </c>
      <c r="B177" t="s">
        <v>19</v>
      </c>
      <c r="C177">
        <v>7</v>
      </c>
      <c r="D177" t="s">
        <v>23</v>
      </c>
      <c r="E177">
        <v>6.3</v>
      </c>
      <c r="F177">
        <v>1.6</v>
      </c>
      <c r="G177">
        <v>2.5499999999999998</v>
      </c>
      <c r="H177">
        <v>0.5</v>
      </c>
      <c r="I177" t="s">
        <v>22</v>
      </c>
      <c r="J177">
        <v>10</v>
      </c>
      <c r="K177">
        <v>1</v>
      </c>
      <c r="L177">
        <v>8</v>
      </c>
      <c r="M177">
        <v>0</v>
      </c>
    </row>
    <row r="178" spans="1:13" x14ac:dyDescent="0.25">
      <c r="A178">
        <v>15</v>
      </c>
      <c r="B178" t="s">
        <v>16</v>
      </c>
      <c r="C178">
        <v>6.2</v>
      </c>
      <c r="D178" t="s">
        <v>20</v>
      </c>
      <c r="E178">
        <v>6.3</v>
      </c>
      <c r="F178">
        <v>1.7</v>
      </c>
      <c r="G178">
        <v>2.2599999999999998</v>
      </c>
      <c r="H178">
        <v>1.1000000000000001</v>
      </c>
      <c r="I178" t="s">
        <v>21</v>
      </c>
      <c r="J178">
        <v>9</v>
      </c>
      <c r="K178">
        <v>6</v>
      </c>
      <c r="L178">
        <v>2</v>
      </c>
      <c r="M178">
        <v>0</v>
      </c>
    </row>
    <row r="179" spans="1:13" x14ac:dyDescent="0.25">
      <c r="A179">
        <v>14</v>
      </c>
      <c r="B179" t="s">
        <v>16</v>
      </c>
      <c r="C179">
        <v>3.2</v>
      </c>
      <c r="D179" t="s">
        <v>20</v>
      </c>
      <c r="E179">
        <v>8</v>
      </c>
      <c r="F179">
        <v>1.3</v>
      </c>
      <c r="G179">
        <v>2.5</v>
      </c>
      <c r="H179">
        <v>1.1000000000000001</v>
      </c>
      <c r="I179" t="s">
        <v>21</v>
      </c>
      <c r="J179">
        <v>2</v>
      </c>
      <c r="K179">
        <v>7</v>
      </c>
      <c r="L179">
        <v>5</v>
      </c>
      <c r="M179">
        <v>0</v>
      </c>
    </row>
    <row r="180" spans="1:13" x14ac:dyDescent="0.25">
      <c r="A180">
        <v>18</v>
      </c>
      <c r="B180" t="s">
        <v>19</v>
      </c>
      <c r="C180">
        <v>4.5</v>
      </c>
      <c r="D180" t="s">
        <v>23</v>
      </c>
      <c r="E180">
        <v>7.9</v>
      </c>
      <c r="F180">
        <v>1.4</v>
      </c>
      <c r="G180">
        <v>2.38</v>
      </c>
      <c r="H180">
        <v>0.1</v>
      </c>
      <c r="I180" t="s">
        <v>21</v>
      </c>
      <c r="J180">
        <v>7</v>
      </c>
      <c r="K180">
        <v>9</v>
      </c>
      <c r="L180">
        <v>1</v>
      </c>
      <c r="M180">
        <v>0</v>
      </c>
    </row>
    <row r="181" spans="1:13" x14ac:dyDescent="0.25">
      <c r="A181">
        <v>14</v>
      </c>
      <c r="B181" t="s">
        <v>19</v>
      </c>
      <c r="C181">
        <v>1.1000000000000001</v>
      </c>
      <c r="D181" t="s">
        <v>23</v>
      </c>
      <c r="E181">
        <v>6.1</v>
      </c>
      <c r="F181">
        <v>2.5</v>
      </c>
      <c r="G181">
        <v>2.8</v>
      </c>
      <c r="H181">
        <v>1.8</v>
      </c>
      <c r="I181" t="s">
        <v>21</v>
      </c>
      <c r="J181">
        <v>4</v>
      </c>
      <c r="K181">
        <v>10</v>
      </c>
      <c r="L181">
        <v>3</v>
      </c>
      <c r="M181">
        <v>0</v>
      </c>
    </row>
    <row r="182" spans="1:13" x14ac:dyDescent="0.25">
      <c r="A182">
        <v>13</v>
      </c>
      <c r="B182" t="s">
        <v>16</v>
      </c>
      <c r="C182">
        <v>5.9</v>
      </c>
      <c r="D182" t="s">
        <v>17</v>
      </c>
      <c r="E182">
        <v>8</v>
      </c>
      <c r="F182">
        <v>2.8</v>
      </c>
      <c r="G182">
        <v>3.21</v>
      </c>
      <c r="H182">
        <v>1.6</v>
      </c>
      <c r="I182" t="s">
        <v>22</v>
      </c>
      <c r="J182">
        <v>2</v>
      </c>
      <c r="K182">
        <v>8</v>
      </c>
      <c r="L182">
        <v>8</v>
      </c>
      <c r="M182">
        <v>0</v>
      </c>
    </row>
    <row r="183" spans="1:13" x14ac:dyDescent="0.25">
      <c r="A183">
        <v>17</v>
      </c>
      <c r="B183" t="s">
        <v>16</v>
      </c>
      <c r="C183">
        <v>5.0999999999999996</v>
      </c>
      <c r="D183" t="s">
        <v>23</v>
      </c>
      <c r="E183">
        <v>5</v>
      </c>
      <c r="F183">
        <v>2.2000000000000002</v>
      </c>
      <c r="G183">
        <v>3.58</v>
      </c>
      <c r="H183">
        <v>1.2</v>
      </c>
      <c r="I183" t="s">
        <v>21</v>
      </c>
      <c r="J183">
        <v>6</v>
      </c>
      <c r="K183">
        <v>3</v>
      </c>
      <c r="L183">
        <v>9</v>
      </c>
      <c r="M183">
        <v>0</v>
      </c>
    </row>
    <row r="184" spans="1:13" x14ac:dyDescent="0.25">
      <c r="A184">
        <v>15</v>
      </c>
      <c r="B184" t="s">
        <v>16</v>
      </c>
      <c r="C184">
        <v>1.6</v>
      </c>
      <c r="D184" t="s">
        <v>17</v>
      </c>
      <c r="E184">
        <v>6.9</v>
      </c>
      <c r="F184">
        <v>2.2999999999999998</v>
      </c>
      <c r="G184">
        <v>3.16</v>
      </c>
      <c r="H184">
        <v>0.9</v>
      </c>
      <c r="I184" t="s">
        <v>22</v>
      </c>
      <c r="J184">
        <v>3</v>
      </c>
      <c r="K184">
        <v>1</v>
      </c>
      <c r="L184">
        <v>5</v>
      </c>
      <c r="M184">
        <v>0</v>
      </c>
    </row>
    <row r="185" spans="1:13" x14ac:dyDescent="0.25">
      <c r="A185">
        <v>15</v>
      </c>
      <c r="B185" t="s">
        <v>19</v>
      </c>
      <c r="C185">
        <v>7.2</v>
      </c>
      <c r="D185" t="s">
        <v>20</v>
      </c>
      <c r="E185">
        <v>8</v>
      </c>
      <c r="F185">
        <v>1.4</v>
      </c>
      <c r="G185">
        <v>3.64</v>
      </c>
      <c r="H185">
        <v>0.4</v>
      </c>
      <c r="I185" t="s">
        <v>22</v>
      </c>
      <c r="J185">
        <v>10</v>
      </c>
      <c r="K185">
        <v>5</v>
      </c>
      <c r="L185">
        <v>7</v>
      </c>
      <c r="M185">
        <v>0</v>
      </c>
    </row>
    <row r="186" spans="1:13" x14ac:dyDescent="0.25">
      <c r="A186">
        <v>17</v>
      </c>
      <c r="B186" t="s">
        <v>19</v>
      </c>
      <c r="C186">
        <v>1.4</v>
      </c>
      <c r="D186" t="s">
        <v>17</v>
      </c>
      <c r="E186">
        <v>6.9</v>
      </c>
      <c r="F186">
        <v>2.4</v>
      </c>
      <c r="G186">
        <v>3.06</v>
      </c>
      <c r="H186">
        <v>1.9</v>
      </c>
      <c r="I186" t="s">
        <v>22</v>
      </c>
      <c r="J186">
        <v>4</v>
      </c>
      <c r="K186">
        <v>10</v>
      </c>
      <c r="L186">
        <v>8</v>
      </c>
      <c r="M186">
        <v>0</v>
      </c>
    </row>
    <row r="187" spans="1:13" x14ac:dyDescent="0.25">
      <c r="A187">
        <v>17</v>
      </c>
      <c r="B187" t="s">
        <v>19</v>
      </c>
      <c r="C187">
        <v>6.6</v>
      </c>
      <c r="D187" t="s">
        <v>17</v>
      </c>
      <c r="E187">
        <v>8</v>
      </c>
      <c r="F187">
        <v>2.2000000000000002</v>
      </c>
      <c r="G187">
        <v>2.21</v>
      </c>
      <c r="H187">
        <v>1</v>
      </c>
      <c r="I187" t="s">
        <v>21</v>
      </c>
      <c r="J187">
        <v>10</v>
      </c>
      <c r="K187">
        <v>8</v>
      </c>
      <c r="L187">
        <v>10</v>
      </c>
      <c r="M187">
        <v>0</v>
      </c>
    </row>
    <row r="188" spans="1:13" x14ac:dyDescent="0.25">
      <c r="A188">
        <v>15</v>
      </c>
      <c r="B188" t="s">
        <v>19</v>
      </c>
      <c r="C188">
        <v>3.5</v>
      </c>
      <c r="D188" t="s">
        <v>17</v>
      </c>
      <c r="E188">
        <v>6.3</v>
      </c>
      <c r="F188">
        <v>0.8</v>
      </c>
      <c r="G188">
        <v>2.71</v>
      </c>
      <c r="H188">
        <v>1.8</v>
      </c>
      <c r="I188" t="s">
        <v>21</v>
      </c>
      <c r="J188">
        <v>7</v>
      </c>
      <c r="K188">
        <v>4</v>
      </c>
      <c r="L188">
        <v>2</v>
      </c>
      <c r="M188">
        <v>0</v>
      </c>
    </row>
    <row r="189" spans="1:13" x14ac:dyDescent="0.25">
      <c r="A189">
        <v>17</v>
      </c>
      <c r="B189" t="s">
        <v>19</v>
      </c>
      <c r="C189">
        <v>5.4</v>
      </c>
      <c r="D189" t="s">
        <v>23</v>
      </c>
      <c r="E189">
        <v>6.3</v>
      </c>
      <c r="F189">
        <v>2.8</v>
      </c>
      <c r="G189">
        <v>3.06</v>
      </c>
      <c r="H189">
        <v>0.8</v>
      </c>
      <c r="I189" t="s">
        <v>18</v>
      </c>
      <c r="J189">
        <v>3</v>
      </c>
      <c r="K189">
        <v>7</v>
      </c>
      <c r="L189">
        <v>9</v>
      </c>
      <c r="M189">
        <v>0</v>
      </c>
    </row>
    <row r="190" spans="1:13" x14ac:dyDescent="0.25">
      <c r="A190">
        <v>16</v>
      </c>
      <c r="B190" t="s">
        <v>19</v>
      </c>
      <c r="C190">
        <v>4.2</v>
      </c>
      <c r="D190" t="s">
        <v>23</v>
      </c>
      <c r="E190">
        <v>7.3</v>
      </c>
      <c r="F190">
        <v>1.1000000000000001</v>
      </c>
      <c r="G190">
        <v>3.1</v>
      </c>
      <c r="H190">
        <v>1.6</v>
      </c>
      <c r="I190" t="s">
        <v>22</v>
      </c>
      <c r="J190">
        <v>1</v>
      </c>
      <c r="K190">
        <v>6</v>
      </c>
      <c r="L190">
        <v>2</v>
      </c>
      <c r="M190">
        <v>0</v>
      </c>
    </row>
    <row r="191" spans="1:13" x14ac:dyDescent="0.25">
      <c r="A191">
        <v>13</v>
      </c>
      <c r="B191" t="s">
        <v>16</v>
      </c>
      <c r="C191">
        <v>2.5</v>
      </c>
      <c r="D191" t="s">
        <v>17</v>
      </c>
      <c r="E191">
        <v>8.3000000000000007</v>
      </c>
      <c r="F191">
        <v>1.6</v>
      </c>
      <c r="G191">
        <v>2.91</v>
      </c>
      <c r="H191">
        <v>0.6</v>
      </c>
      <c r="I191" t="s">
        <v>21</v>
      </c>
      <c r="J191">
        <v>10</v>
      </c>
      <c r="K191">
        <v>2</v>
      </c>
      <c r="L191">
        <v>6</v>
      </c>
      <c r="M191">
        <v>0</v>
      </c>
    </row>
    <row r="192" spans="1:13" x14ac:dyDescent="0.25">
      <c r="A192">
        <v>16</v>
      </c>
      <c r="B192" t="s">
        <v>19</v>
      </c>
      <c r="C192">
        <v>3.8</v>
      </c>
      <c r="D192" t="s">
        <v>20</v>
      </c>
      <c r="E192">
        <v>6</v>
      </c>
      <c r="F192">
        <v>3</v>
      </c>
      <c r="G192">
        <v>2.1</v>
      </c>
      <c r="H192">
        <v>0.2</v>
      </c>
      <c r="I192" t="s">
        <v>18</v>
      </c>
      <c r="J192">
        <v>7</v>
      </c>
      <c r="K192">
        <v>9</v>
      </c>
      <c r="L192">
        <v>1</v>
      </c>
      <c r="M192">
        <v>0</v>
      </c>
    </row>
    <row r="193" spans="1:13" x14ac:dyDescent="0.25">
      <c r="A193">
        <v>13</v>
      </c>
      <c r="B193" t="s">
        <v>16</v>
      </c>
      <c r="C193">
        <v>1.8</v>
      </c>
      <c r="D193" t="s">
        <v>17</v>
      </c>
      <c r="E193">
        <v>8.9</v>
      </c>
      <c r="F193">
        <v>1.2</v>
      </c>
      <c r="G193">
        <v>3.67</v>
      </c>
      <c r="H193">
        <v>0.1</v>
      </c>
      <c r="I193" t="s">
        <v>22</v>
      </c>
      <c r="J193">
        <v>2</v>
      </c>
      <c r="K193">
        <v>8</v>
      </c>
      <c r="L193">
        <v>9</v>
      </c>
      <c r="M193">
        <v>0</v>
      </c>
    </row>
    <row r="194" spans="1:13" x14ac:dyDescent="0.25">
      <c r="A194">
        <v>14</v>
      </c>
      <c r="B194" t="s">
        <v>16</v>
      </c>
      <c r="C194">
        <v>5.4</v>
      </c>
      <c r="D194" t="s">
        <v>17</v>
      </c>
      <c r="E194">
        <v>5.6</v>
      </c>
      <c r="F194">
        <v>1.8</v>
      </c>
      <c r="G194">
        <v>3.01</v>
      </c>
      <c r="H194">
        <v>0.9</v>
      </c>
      <c r="I194" t="s">
        <v>18</v>
      </c>
      <c r="J194">
        <v>10</v>
      </c>
      <c r="K194">
        <v>6</v>
      </c>
      <c r="L194">
        <v>8</v>
      </c>
      <c r="M194">
        <v>0</v>
      </c>
    </row>
    <row r="195" spans="1:13" x14ac:dyDescent="0.25">
      <c r="A195">
        <v>14</v>
      </c>
      <c r="B195" t="s">
        <v>19</v>
      </c>
      <c r="C195">
        <v>7.7</v>
      </c>
      <c r="D195" t="s">
        <v>17</v>
      </c>
      <c r="E195">
        <v>6.1</v>
      </c>
      <c r="F195">
        <v>0.8</v>
      </c>
      <c r="G195">
        <v>3.47</v>
      </c>
      <c r="H195">
        <v>1.5</v>
      </c>
      <c r="I195" t="s">
        <v>22</v>
      </c>
      <c r="J195">
        <v>9</v>
      </c>
      <c r="K195">
        <v>10</v>
      </c>
      <c r="L195">
        <v>9</v>
      </c>
      <c r="M195">
        <v>0</v>
      </c>
    </row>
    <row r="196" spans="1:13" x14ac:dyDescent="0.25">
      <c r="A196">
        <v>18</v>
      </c>
      <c r="B196" t="s">
        <v>19</v>
      </c>
      <c r="C196">
        <v>4.0999999999999996</v>
      </c>
      <c r="D196" t="s">
        <v>17</v>
      </c>
      <c r="E196">
        <v>8</v>
      </c>
      <c r="F196">
        <v>1.7</v>
      </c>
      <c r="G196">
        <v>2.29</v>
      </c>
      <c r="H196">
        <v>1.4</v>
      </c>
      <c r="I196" t="s">
        <v>18</v>
      </c>
      <c r="J196">
        <v>2</v>
      </c>
      <c r="K196">
        <v>1</v>
      </c>
      <c r="L196">
        <v>10</v>
      </c>
      <c r="M196">
        <v>0</v>
      </c>
    </row>
    <row r="197" spans="1:13" x14ac:dyDescent="0.25">
      <c r="A197">
        <v>15</v>
      </c>
      <c r="B197" t="s">
        <v>19</v>
      </c>
      <c r="C197">
        <v>6.6</v>
      </c>
      <c r="D197" t="s">
        <v>23</v>
      </c>
      <c r="E197">
        <v>4.9000000000000004</v>
      </c>
      <c r="F197">
        <v>3</v>
      </c>
      <c r="G197">
        <v>2.99</v>
      </c>
      <c r="H197">
        <v>0.9</v>
      </c>
      <c r="I197" t="s">
        <v>22</v>
      </c>
      <c r="J197">
        <v>4</v>
      </c>
      <c r="K197">
        <v>8</v>
      </c>
      <c r="L197">
        <v>3</v>
      </c>
      <c r="M197">
        <v>0</v>
      </c>
    </row>
    <row r="198" spans="1:13" x14ac:dyDescent="0.25">
      <c r="A198">
        <v>16</v>
      </c>
      <c r="B198" t="s">
        <v>16</v>
      </c>
      <c r="C198">
        <v>2.2999999999999998</v>
      </c>
      <c r="D198" t="s">
        <v>23</v>
      </c>
      <c r="E198">
        <v>4.0999999999999996</v>
      </c>
      <c r="F198">
        <v>0.8</v>
      </c>
      <c r="G198">
        <v>3.18</v>
      </c>
      <c r="H198">
        <v>1.7</v>
      </c>
      <c r="I198" t="s">
        <v>22</v>
      </c>
      <c r="J198">
        <v>5</v>
      </c>
      <c r="K198">
        <v>3</v>
      </c>
      <c r="L198">
        <v>8</v>
      </c>
      <c r="M198">
        <v>0</v>
      </c>
    </row>
    <row r="199" spans="1:13" x14ac:dyDescent="0.25">
      <c r="A199">
        <v>17</v>
      </c>
      <c r="B199" t="s">
        <v>19</v>
      </c>
      <c r="C199">
        <v>7.5</v>
      </c>
      <c r="D199" t="s">
        <v>17</v>
      </c>
      <c r="E199">
        <v>5.9</v>
      </c>
      <c r="F199">
        <v>2.9</v>
      </c>
      <c r="G199">
        <v>3.71</v>
      </c>
      <c r="H199">
        <v>1.7</v>
      </c>
      <c r="I199" t="s">
        <v>18</v>
      </c>
      <c r="J199">
        <v>3</v>
      </c>
      <c r="K199">
        <v>1</v>
      </c>
      <c r="L199">
        <v>10</v>
      </c>
      <c r="M199">
        <v>0</v>
      </c>
    </row>
    <row r="200" spans="1:13" x14ac:dyDescent="0.25">
      <c r="A200">
        <v>18</v>
      </c>
      <c r="B200" t="s">
        <v>16</v>
      </c>
      <c r="C200">
        <v>7.1</v>
      </c>
      <c r="D200" t="s">
        <v>17</v>
      </c>
      <c r="E200">
        <v>8</v>
      </c>
      <c r="F200">
        <v>2.9</v>
      </c>
      <c r="G200">
        <v>2.59</v>
      </c>
      <c r="H200">
        <v>1.2</v>
      </c>
      <c r="I200" t="s">
        <v>21</v>
      </c>
      <c r="J200">
        <v>10</v>
      </c>
      <c r="K200">
        <v>8</v>
      </c>
      <c r="L200">
        <v>5</v>
      </c>
      <c r="M200">
        <v>0</v>
      </c>
    </row>
    <row r="201" spans="1:13" x14ac:dyDescent="0.25">
      <c r="A201">
        <v>17</v>
      </c>
      <c r="B201" t="s">
        <v>19</v>
      </c>
      <c r="C201">
        <v>1.7</v>
      </c>
      <c r="D201" t="s">
        <v>23</v>
      </c>
      <c r="E201">
        <v>6.3</v>
      </c>
      <c r="F201">
        <v>1.5</v>
      </c>
      <c r="G201">
        <v>2.66</v>
      </c>
      <c r="H201">
        <v>1.8</v>
      </c>
      <c r="I201" t="s">
        <v>18</v>
      </c>
      <c r="J201">
        <v>1</v>
      </c>
      <c r="K201">
        <v>4</v>
      </c>
      <c r="L201">
        <v>10</v>
      </c>
      <c r="M201">
        <v>0</v>
      </c>
    </row>
    <row r="202" spans="1:13" x14ac:dyDescent="0.25">
      <c r="A202">
        <v>13</v>
      </c>
      <c r="B202" t="s">
        <v>16</v>
      </c>
      <c r="C202">
        <v>7.9</v>
      </c>
      <c r="D202" t="s">
        <v>17</v>
      </c>
      <c r="E202">
        <v>5.8</v>
      </c>
      <c r="F202">
        <v>0.8</v>
      </c>
      <c r="G202">
        <v>3.31</v>
      </c>
      <c r="H202">
        <v>1.6</v>
      </c>
      <c r="I202" t="s">
        <v>22</v>
      </c>
      <c r="J202">
        <v>3</v>
      </c>
      <c r="K202">
        <v>7</v>
      </c>
      <c r="L202">
        <v>2</v>
      </c>
      <c r="M202">
        <v>0</v>
      </c>
    </row>
    <row r="203" spans="1:13" x14ac:dyDescent="0.25">
      <c r="A203">
        <v>16</v>
      </c>
      <c r="B203" t="s">
        <v>19</v>
      </c>
      <c r="C203">
        <v>4</v>
      </c>
      <c r="D203" t="s">
        <v>17</v>
      </c>
      <c r="E203">
        <v>7.9</v>
      </c>
      <c r="F203">
        <v>1.9</v>
      </c>
      <c r="G203">
        <v>2.56</v>
      </c>
      <c r="H203">
        <v>0.1</v>
      </c>
      <c r="I203" t="s">
        <v>21</v>
      </c>
      <c r="J203">
        <v>4</v>
      </c>
      <c r="K203">
        <v>9</v>
      </c>
      <c r="L203">
        <v>9</v>
      </c>
      <c r="M203">
        <v>0</v>
      </c>
    </row>
    <row r="204" spans="1:13" x14ac:dyDescent="0.25">
      <c r="A204">
        <v>15</v>
      </c>
      <c r="B204" t="s">
        <v>19</v>
      </c>
      <c r="C204">
        <v>1.2</v>
      </c>
      <c r="D204" t="s">
        <v>20</v>
      </c>
      <c r="E204">
        <v>8.1</v>
      </c>
      <c r="F204">
        <v>2</v>
      </c>
      <c r="G204">
        <v>3.33</v>
      </c>
      <c r="H204">
        <v>1.5</v>
      </c>
      <c r="I204" t="s">
        <v>22</v>
      </c>
      <c r="J204">
        <v>7</v>
      </c>
      <c r="K204">
        <v>3</v>
      </c>
      <c r="L204">
        <v>8</v>
      </c>
      <c r="M204">
        <v>0</v>
      </c>
    </row>
    <row r="205" spans="1:13" x14ac:dyDescent="0.25">
      <c r="A205">
        <v>19</v>
      </c>
      <c r="B205" t="s">
        <v>16</v>
      </c>
      <c r="C205">
        <v>3.5</v>
      </c>
      <c r="D205" t="s">
        <v>20</v>
      </c>
      <c r="E205">
        <v>8.4</v>
      </c>
      <c r="F205">
        <v>1.7</v>
      </c>
      <c r="G205">
        <v>2.46</v>
      </c>
      <c r="H205">
        <v>0.1</v>
      </c>
      <c r="I205" t="s">
        <v>21</v>
      </c>
      <c r="J205">
        <v>6</v>
      </c>
      <c r="K205">
        <v>9</v>
      </c>
      <c r="L205">
        <v>3</v>
      </c>
      <c r="M205">
        <v>0</v>
      </c>
    </row>
    <row r="206" spans="1:13" x14ac:dyDescent="0.25">
      <c r="A206">
        <v>17</v>
      </c>
      <c r="B206" t="s">
        <v>16</v>
      </c>
      <c r="C206">
        <v>1.1000000000000001</v>
      </c>
      <c r="D206" t="s">
        <v>17</v>
      </c>
      <c r="E206">
        <v>6.8</v>
      </c>
      <c r="F206">
        <v>2</v>
      </c>
      <c r="G206">
        <v>3.45</v>
      </c>
      <c r="H206">
        <v>1.3</v>
      </c>
      <c r="I206" t="s">
        <v>22</v>
      </c>
      <c r="J206">
        <v>7</v>
      </c>
      <c r="K206">
        <v>1</v>
      </c>
      <c r="L206">
        <v>2</v>
      </c>
      <c r="M206">
        <v>0</v>
      </c>
    </row>
    <row r="207" spans="1:13" x14ac:dyDescent="0.25">
      <c r="A207">
        <v>19</v>
      </c>
      <c r="B207" t="s">
        <v>19</v>
      </c>
      <c r="C207">
        <v>1.6</v>
      </c>
      <c r="D207" t="s">
        <v>20</v>
      </c>
      <c r="E207">
        <v>4.0999999999999996</v>
      </c>
      <c r="F207">
        <v>1.6</v>
      </c>
      <c r="G207">
        <v>3.15</v>
      </c>
      <c r="H207">
        <v>0.9</v>
      </c>
      <c r="I207" t="s">
        <v>22</v>
      </c>
      <c r="J207">
        <v>2</v>
      </c>
      <c r="K207">
        <v>6</v>
      </c>
      <c r="L207">
        <v>4</v>
      </c>
      <c r="M207">
        <v>0</v>
      </c>
    </row>
    <row r="208" spans="1:13" x14ac:dyDescent="0.25">
      <c r="A208">
        <v>16</v>
      </c>
      <c r="B208" t="s">
        <v>19</v>
      </c>
      <c r="C208">
        <v>2.5</v>
      </c>
      <c r="D208" t="s">
        <v>20</v>
      </c>
      <c r="E208">
        <v>8.9</v>
      </c>
      <c r="F208">
        <v>2.9</v>
      </c>
      <c r="G208">
        <v>2.5299999999999998</v>
      </c>
      <c r="H208">
        <v>0.1</v>
      </c>
      <c r="I208" t="s">
        <v>21</v>
      </c>
      <c r="J208">
        <v>8</v>
      </c>
      <c r="K208">
        <v>7</v>
      </c>
      <c r="L208">
        <v>3</v>
      </c>
      <c r="M208">
        <v>0</v>
      </c>
    </row>
    <row r="209" spans="1:13" x14ac:dyDescent="0.25">
      <c r="A209">
        <v>15</v>
      </c>
      <c r="B209" t="s">
        <v>16</v>
      </c>
      <c r="C209">
        <v>2.8</v>
      </c>
      <c r="D209" t="s">
        <v>17</v>
      </c>
      <c r="E209">
        <v>7.2</v>
      </c>
      <c r="F209">
        <v>1.8</v>
      </c>
      <c r="G209">
        <v>2.91</v>
      </c>
      <c r="H209">
        <v>0.2</v>
      </c>
      <c r="I209" t="s">
        <v>18</v>
      </c>
      <c r="J209">
        <v>5</v>
      </c>
      <c r="K209">
        <v>5</v>
      </c>
      <c r="L209">
        <v>4</v>
      </c>
      <c r="M209">
        <v>0</v>
      </c>
    </row>
    <row r="210" spans="1:13" x14ac:dyDescent="0.25">
      <c r="A210">
        <v>15</v>
      </c>
      <c r="B210" t="s">
        <v>16</v>
      </c>
      <c r="C210">
        <v>2.2000000000000002</v>
      </c>
      <c r="D210" t="s">
        <v>17</v>
      </c>
      <c r="E210">
        <v>5.2</v>
      </c>
      <c r="F210">
        <v>1.4</v>
      </c>
      <c r="G210">
        <v>2.62</v>
      </c>
      <c r="H210">
        <v>1.5</v>
      </c>
      <c r="I210" t="s">
        <v>22</v>
      </c>
      <c r="J210">
        <v>10</v>
      </c>
      <c r="K210">
        <v>7</v>
      </c>
      <c r="L210">
        <v>5</v>
      </c>
      <c r="M210">
        <v>0</v>
      </c>
    </row>
    <row r="211" spans="1:13" x14ac:dyDescent="0.25">
      <c r="A211">
        <v>16</v>
      </c>
      <c r="B211" t="s">
        <v>16</v>
      </c>
      <c r="C211">
        <v>4.8</v>
      </c>
      <c r="D211" t="s">
        <v>23</v>
      </c>
      <c r="E211">
        <v>6.8</v>
      </c>
      <c r="F211">
        <v>1</v>
      </c>
      <c r="G211">
        <v>2.6</v>
      </c>
      <c r="H211">
        <v>1.1000000000000001</v>
      </c>
      <c r="I211" t="s">
        <v>22</v>
      </c>
      <c r="J211">
        <v>1</v>
      </c>
      <c r="K211">
        <v>5</v>
      </c>
      <c r="L211">
        <v>6</v>
      </c>
      <c r="M211">
        <v>0</v>
      </c>
    </row>
    <row r="212" spans="1:13" x14ac:dyDescent="0.25">
      <c r="A212">
        <v>18</v>
      </c>
      <c r="B212" t="s">
        <v>19</v>
      </c>
      <c r="C212">
        <v>3.7</v>
      </c>
      <c r="D212" t="s">
        <v>23</v>
      </c>
      <c r="E212">
        <v>7.9</v>
      </c>
      <c r="F212">
        <v>2.7</v>
      </c>
      <c r="G212">
        <v>3.11</v>
      </c>
      <c r="H212">
        <v>0.3</v>
      </c>
      <c r="I212" t="s">
        <v>22</v>
      </c>
      <c r="J212">
        <v>6</v>
      </c>
      <c r="K212">
        <v>6</v>
      </c>
      <c r="L212">
        <v>5</v>
      </c>
      <c r="M212">
        <v>0</v>
      </c>
    </row>
    <row r="213" spans="1:13" x14ac:dyDescent="0.25">
      <c r="A213">
        <v>16</v>
      </c>
      <c r="B213" t="s">
        <v>16</v>
      </c>
      <c r="C213">
        <v>5.5</v>
      </c>
      <c r="D213" t="s">
        <v>17</v>
      </c>
      <c r="E213">
        <v>8.3000000000000007</v>
      </c>
      <c r="F213">
        <v>2.2999999999999998</v>
      </c>
      <c r="G213">
        <v>3.47</v>
      </c>
      <c r="H213">
        <v>1.6</v>
      </c>
      <c r="I213" t="s">
        <v>22</v>
      </c>
      <c r="J213">
        <v>4</v>
      </c>
      <c r="K213">
        <v>8</v>
      </c>
      <c r="L213">
        <v>5</v>
      </c>
      <c r="M213">
        <v>0</v>
      </c>
    </row>
    <row r="214" spans="1:13" x14ac:dyDescent="0.25">
      <c r="A214">
        <v>16</v>
      </c>
      <c r="B214" t="s">
        <v>16</v>
      </c>
      <c r="C214">
        <v>2.5</v>
      </c>
      <c r="D214" t="s">
        <v>17</v>
      </c>
      <c r="E214">
        <v>6.8</v>
      </c>
      <c r="F214">
        <v>1</v>
      </c>
      <c r="G214">
        <v>3.77</v>
      </c>
      <c r="H214">
        <v>1</v>
      </c>
      <c r="I214" t="s">
        <v>21</v>
      </c>
      <c r="J214">
        <v>3</v>
      </c>
      <c r="K214">
        <v>9</v>
      </c>
      <c r="L214">
        <v>9</v>
      </c>
      <c r="M214">
        <v>0</v>
      </c>
    </row>
    <row r="215" spans="1:13" x14ac:dyDescent="0.25">
      <c r="A215">
        <v>18</v>
      </c>
      <c r="B215" t="s">
        <v>19</v>
      </c>
      <c r="C215">
        <v>1.9</v>
      </c>
      <c r="D215" t="s">
        <v>20</v>
      </c>
      <c r="E215">
        <v>5.8</v>
      </c>
      <c r="F215">
        <v>1.7</v>
      </c>
      <c r="G215">
        <v>3.52</v>
      </c>
      <c r="H215">
        <v>0.2</v>
      </c>
      <c r="I215" t="s">
        <v>18</v>
      </c>
      <c r="J215">
        <v>6</v>
      </c>
      <c r="K215">
        <v>5</v>
      </c>
      <c r="L215">
        <v>1</v>
      </c>
      <c r="M215">
        <v>0</v>
      </c>
    </row>
    <row r="216" spans="1:13" x14ac:dyDescent="0.25">
      <c r="A216">
        <v>13</v>
      </c>
      <c r="B216" t="s">
        <v>16</v>
      </c>
      <c r="C216">
        <v>5.9</v>
      </c>
      <c r="D216" t="s">
        <v>17</v>
      </c>
      <c r="E216">
        <v>7.5</v>
      </c>
      <c r="F216">
        <v>1.4</v>
      </c>
      <c r="G216">
        <v>2.58</v>
      </c>
      <c r="H216">
        <v>1.2</v>
      </c>
      <c r="I216" t="s">
        <v>18</v>
      </c>
      <c r="J216">
        <v>6</v>
      </c>
      <c r="K216">
        <v>2</v>
      </c>
      <c r="L216">
        <v>8</v>
      </c>
      <c r="M216">
        <v>0</v>
      </c>
    </row>
    <row r="217" spans="1:13" x14ac:dyDescent="0.25">
      <c r="A217">
        <v>13</v>
      </c>
      <c r="B217" t="s">
        <v>19</v>
      </c>
      <c r="C217">
        <v>6.5</v>
      </c>
      <c r="D217" t="s">
        <v>20</v>
      </c>
      <c r="E217">
        <v>8.3000000000000007</v>
      </c>
      <c r="F217">
        <v>0.6</v>
      </c>
      <c r="G217">
        <v>3.05</v>
      </c>
      <c r="H217">
        <v>0.3</v>
      </c>
      <c r="I217" t="s">
        <v>21</v>
      </c>
      <c r="J217">
        <v>2</v>
      </c>
      <c r="K217">
        <v>7</v>
      </c>
      <c r="L217">
        <v>8</v>
      </c>
      <c r="M217">
        <v>0</v>
      </c>
    </row>
    <row r="218" spans="1:13" x14ac:dyDescent="0.25">
      <c r="A218">
        <v>15</v>
      </c>
      <c r="B218" t="s">
        <v>16</v>
      </c>
      <c r="C218">
        <v>7.5</v>
      </c>
      <c r="D218" t="s">
        <v>17</v>
      </c>
      <c r="E218">
        <v>8.1</v>
      </c>
      <c r="F218">
        <v>2.5</v>
      </c>
      <c r="G218">
        <v>3.56</v>
      </c>
      <c r="H218">
        <v>1.2</v>
      </c>
      <c r="I218" t="s">
        <v>22</v>
      </c>
      <c r="J218">
        <v>6</v>
      </c>
      <c r="K218">
        <v>8</v>
      </c>
      <c r="L218">
        <v>10</v>
      </c>
      <c r="M218">
        <v>0</v>
      </c>
    </row>
    <row r="219" spans="1:13" x14ac:dyDescent="0.25">
      <c r="A219">
        <v>19</v>
      </c>
      <c r="B219" t="s">
        <v>16</v>
      </c>
      <c r="C219">
        <v>4.9000000000000004</v>
      </c>
      <c r="D219" t="s">
        <v>20</v>
      </c>
      <c r="E219">
        <v>4.5</v>
      </c>
      <c r="F219">
        <v>2.9</v>
      </c>
      <c r="G219">
        <v>3.88</v>
      </c>
      <c r="H219">
        <v>0.8</v>
      </c>
      <c r="I219" t="s">
        <v>18</v>
      </c>
      <c r="J219">
        <v>5</v>
      </c>
      <c r="K219">
        <v>5</v>
      </c>
      <c r="L219">
        <v>6</v>
      </c>
      <c r="M219">
        <v>0</v>
      </c>
    </row>
    <row r="220" spans="1:13" x14ac:dyDescent="0.25">
      <c r="A220">
        <v>13</v>
      </c>
      <c r="B220" t="s">
        <v>16</v>
      </c>
      <c r="C220">
        <v>2.2000000000000002</v>
      </c>
      <c r="D220" t="s">
        <v>20</v>
      </c>
      <c r="E220">
        <v>5.3</v>
      </c>
      <c r="F220">
        <v>1.4</v>
      </c>
      <c r="G220">
        <v>3.97</v>
      </c>
      <c r="H220">
        <v>0</v>
      </c>
      <c r="I220" t="s">
        <v>18</v>
      </c>
      <c r="J220">
        <v>1</v>
      </c>
      <c r="K220">
        <v>10</v>
      </c>
      <c r="L220">
        <v>7</v>
      </c>
      <c r="M220">
        <v>0</v>
      </c>
    </row>
    <row r="221" spans="1:13" x14ac:dyDescent="0.25">
      <c r="A221">
        <v>14</v>
      </c>
      <c r="B221" t="s">
        <v>16</v>
      </c>
      <c r="C221">
        <v>5.8</v>
      </c>
      <c r="D221" t="s">
        <v>23</v>
      </c>
      <c r="E221">
        <v>6.9</v>
      </c>
      <c r="F221">
        <v>0.7</v>
      </c>
      <c r="G221">
        <v>3.01</v>
      </c>
      <c r="H221">
        <v>1.9</v>
      </c>
      <c r="I221" t="s">
        <v>21</v>
      </c>
      <c r="J221">
        <v>9</v>
      </c>
      <c r="K221">
        <v>9</v>
      </c>
      <c r="L221">
        <v>4</v>
      </c>
      <c r="M221">
        <v>0</v>
      </c>
    </row>
    <row r="222" spans="1:13" x14ac:dyDescent="0.25">
      <c r="A222">
        <v>14</v>
      </c>
      <c r="B222" t="s">
        <v>16</v>
      </c>
      <c r="C222">
        <v>1.3</v>
      </c>
      <c r="D222" t="s">
        <v>17</v>
      </c>
      <c r="E222">
        <v>8.5</v>
      </c>
      <c r="F222">
        <v>0.9</v>
      </c>
      <c r="G222">
        <v>3.71</v>
      </c>
      <c r="H222">
        <v>0.7</v>
      </c>
      <c r="I222" t="s">
        <v>21</v>
      </c>
      <c r="J222">
        <v>3</v>
      </c>
      <c r="K222">
        <v>3</v>
      </c>
      <c r="L222">
        <v>6</v>
      </c>
      <c r="M222">
        <v>0</v>
      </c>
    </row>
    <row r="223" spans="1:13" x14ac:dyDescent="0.25">
      <c r="A223">
        <v>19</v>
      </c>
      <c r="B223" t="s">
        <v>19</v>
      </c>
      <c r="C223">
        <v>2.8</v>
      </c>
      <c r="D223" t="s">
        <v>20</v>
      </c>
      <c r="E223">
        <v>4.8</v>
      </c>
      <c r="F223">
        <v>1.7</v>
      </c>
      <c r="G223">
        <v>2.8</v>
      </c>
      <c r="H223">
        <v>0.6</v>
      </c>
      <c r="I223" t="s">
        <v>18</v>
      </c>
      <c r="J223">
        <v>5</v>
      </c>
      <c r="K223">
        <v>7</v>
      </c>
      <c r="L223">
        <v>4</v>
      </c>
      <c r="M223">
        <v>0</v>
      </c>
    </row>
    <row r="224" spans="1:13" x14ac:dyDescent="0.25">
      <c r="A224">
        <v>19</v>
      </c>
      <c r="B224" t="s">
        <v>19</v>
      </c>
      <c r="C224">
        <v>4</v>
      </c>
      <c r="D224" t="s">
        <v>20</v>
      </c>
      <c r="E224">
        <v>6.5</v>
      </c>
      <c r="F224">
        <v>2.4</v>
      </c>
      <c r="G224">
        <v>3.67</v>
      </c>
      <c r="H224">
        <v>0.6</v>
      </c>
      <c r="I224" t="s">
        <v>18</v>
      </c>
      <c r="J224">
        <v>4</v>
      </c>
      <c r="K224">
        <v>6</v>
      </c>
      <c r="L224">
        <v>4</v>
      </c>
      <c r="M224">
        <v>0</v>
      </c>
    </row>
    <row r="225" spans="1:13" x14ac:dyDescent="0.25">
      <c r="A225">
        <v>14</v>
      </c>
      <c r="B225" t="s">
        <v>19</v>
      </c>
      <c r="C225">
        <v>1.7</v>
      </c>
      <c r="D225" t="s">
        <v>20</v>
      </c>
      <c r="E225">
        <v>4.9000000000000004</v>
      </c>
      <c r="F225">
        <v>1.6</v>
      </c>
      <c r="G225">
        <v>2.36</v>
      </c>
      <c r="H225">
        <v>1.7</v>
      </c>
      <c r="I225" t="s">
        <v>21</v>
      </c>
      <c r="J225">
        <v>3</v>
      </c>
      <c r="K225">
        <v>1</v>
      </c>
      <c r="L225">
        <v>6</v>
      </c>
      <c r="M225">
        <v>0</v>
      </c>
    </row>
    <row r="226" spans="1:13" x14ac:dyDescent="0.25">
      <c r="A226">
        <v>18</v>
      </c>
      <c r="B226" t="s">
        <v>19</v>
      </c>
      <c r="C226">
        <v>1.4</v>
      </c>
      <c r="D226" t="s">
        <v>20</v>
      </c>
      <c r="E226">
        <v>6.1</v>
      </c>
      <c r="F226">
        <v>1.6</v>
      </c>
      <c r="G226">
        <v>2.56</v>
      </c>
      <c r="H226">
        <v>1.2</v>
      </c>
      <c r="I226" t="s">
        <v>21</v>
      </c>
      <c r="J226">
        <v>2</v>
      </c>
      <c r="K226">
        <v>7</v>
      </c>
      <c r="L226">
        <v>8</v>
      </c>
      <c r="M226">
        <v>0</v>
      </c>
    </row>
    <row r="227" spans="1:13" x14ac:dyDescent="0.25">
      <c r="A227">
        <v>19</v>
      </c>
      <c r="B227" t="s">
        <v>16</v>
      </c>
      <c r="C227">
        <v>2.2999999999999998</v>
      </c>
      <c r="D227" t="s">
        <v>20</v>
      </c>
      <c r="E227">
        <v>6.5</v>
      </c>
      <c r="F227">
        <v>3</v>
      </c>
      <c r="G227">
        <v>3.5</v>
      </c>
      <c r="H227">
        <v>0.1</v>
      </c>
      <c r="I227" t="s">
        <v>21</v>
      </c>
      <c r="J227">
        <v>9</v>
      </c>
      <c r="K227">
        <v>10</v>
      </c>
      <c r="L227">
        <v>8</v>
      </c>
      <c r="M227">
        <v>0</v>
      </c>
    </row>
    <row r="228" spans="1:13" x14ac:dyDescent="0.25">
      <c r="A228">
        <v>14</v>
      </c>
      <c r="B228" t="s">
        <v>16</v>
      </c>
      <c r="C228">
        <v>3.8</v>
      </c>
      <c r="D228" t="s">
        <v>17</v>
      </c>
      <c r="E228">
        <v>5.3</v>
      </c>
      <c r="F228">
        <v>1</v>
      </c>
      <c r="G228">
        <v>2.2799999999999998</v>
      </c>
      <c r="H228">
        <v>1.2</v>
      </c>
      <c r="I228" t="s">
        <v>18</v>
      </c>
      <c r="J228">
        <v>9</v>
      </c>
      <c r="K228">
        <v>3</v>
      </c>
      <c r="L228">
        <v>1</v>
      </c>
      <c r="M228">
        <v>0</v>
      </c>
    </row>
    <row r="229" spans="1:13" x14ac:dyDescent="0.25">
      <c r="A229">
        <v>13</v>
      </c>
      <c r="B229" t="s">
        <v>16</v>
      </c>
      <c r="C229">
        <v>6.4</v>
      </c>
      <c r="D229" t="s">
        <v>20</v>
      </c>
      <c r="E229">
        <v>5.0999999999999996</v>
      </c>
      <c r="F229">
        <v>2.5</v>
      </c>
      <c r="G229">
        <v>2.62</v>
      </c>
      <c r="H229">
        <v>1.3</v>
      </c>
      <c r="I229" t="s">
        <v>18</v>
      </c>
      <c r="J229">
        <v>5</v>
      </c>
      <c r="K229">
        <v>4</v>
      </c>
      <c r="L229">
        <v>7</v>
      </c>
      <c r="M229">
        <v>0</v>
      </c>
    </row>
    <row r="230" spans="1:13" x14ac:dyDescent="0.25">
      <c r="A230">
        <v>19</v>
      </c>
      <c r="B230" t="s">
        <v>16</v>
      </c>
      <c r="C230">
        <v>6</v>
      </c>
      <c r="D230" t="s">
        <v>23</v>
      </c>
      <c r="E230">
        <v>7.1</v>
      </c>
      <c r="F230">
        <v>0.9</v>
      </c>
      <c r="G230">
        <v>2.98</v>
      </c>
      <c r="H230">
        <v>0.1</v>
      </c>
      <c r="I230" t="s">
        <v>18</v>
      </c>
      <c r="J230">
        <v>1</v>
      </c>
      <c r="K230">
        <v>6</v>
      </c>
      <c r="L230">
        <v>5</v>
      </c>
      <c r="M230">
        <v>0</v>
      </c>
    </row>
    <row r="231" spans="1:13" x14ac:dyDescent="0.25">
      <c r="A231">
        <v>16</v>
      </c>
      <c r="B231" t="s">
        <v>16</v>
      </c>
      <c r="C231">
        <v>1.9</v>
      </c>
      <c r="D231" t="s">
        <v>17</v>
      </c>
      <c r="E231">
        <v>7.8</v>
      </c>
      <c r="F231">
        <v>2.1</v>
      </c>
      <c r="G231">
        <v>2.2599999999999998</v>
      </c>
      <c r="H231">
        <v>0.3</v>
      </c>
      <c r="I231" t="s">
        <v>21</v>
      </c>
      <c r="J231">
        <v>7</v>
      </c>
      <c r="K231">
        <v>7</v>
      </c>
      <c r="L231">
        <v>5</v>
      </c>
      <c r="M231">
        <v>0</v>
      </c>
    </row>
    <row r="232" spans="1:13" x14ac:dyDescent="0.25">
      <c r="A232">
        <v>17</v>
      </c>
      <c r="B232" t="s">
        <v>16</v>
      </c>
      <c r="C232">
        <v>2.4</v>
      </c>
      <c r="D232" t="s">
        <v>20</v>
      </c>
      <c r="E232">
        <v>8.5</v>
      </c>
      <c r="F232">
        <v>2.4</v>
      </c>
      <c r="G232">
        <v>2.79</v>
      </c>
      <c r="H232">
        <v>1.1000000000000001</v>
      </c>
      <c r="I232" t="s">
        <v>18</v>
      </c>
      <c r="J232">
        <v>1</v>
      </c>
      <c r="K232">
        <v>6</v>
      </c>
      <c r="L232">
        <v>7</v>
      </c>
      <c r="M232">
        <v>0</v>
      </c>
    </row>
    <row r="233" spans="1:13" x14ac:dyDescent="0.25">
      <c r="A233">
        <v>14</v>
      </c>
      <c r="B233" t="s">
        <v>19</v>
      </c>
      <c r="C233">
        <v>2.7</v>
      </c>
      <c r="D233" t="s">
        <v>17</v>
      </c>
      <c r="E233">
        <v>5.0999999999999996</v>
      </c>
      <c r="F233">
        <v>2.4</v>
      </c>
      <c r="G233">
        <v>2.17</v>
      </c>
      <c r="H233">
        <v>1.8</v>
      </c>
      <c r="I233" t="s">
        <v>21</v>
      </c>
      <c r="J233">
        <v>3</v>
      </c>
      <c r="K233">
        <v>10</v>
      </c>
      <c r="L233">
        <v>8</v>
      </c>
      <c r="M233">
        <v>0</v>
      </c>
    </row>
    <row r="234" spans="1:13" x14ac:dyDescent="0.25">
      <c r="A234">
        <v>14</v>
      </c>
      <c r="B234" t="s">
        <v>16</v>
      </c>
      <c r="C234">
        <v>1.5</v>
      </c>
      <c r="D234" t="s">
        <v>23</v>
      </c>
      <c r="E234">
        <v>7.2</v>
      </c>
      <c r="F234">
        <v>1.7</v>
      </c>
      <c r="G234">
        <v>2.76</v>
      </c>
      <c r="H234">
        <v>0</v>
      </c>
      <c r="I234" t="s">
        <v>18</v>
      </c>
      <c r="J234">
        <v>10</v>
      </c>
      <c r="K234">
        <v>7</v>
      </c>
      <c r="L234">
        <v>10</v>
      </c>
      <c r="M234">
        <v>0</v>
      </c>
    </row>
    <row r="235" spans="1:13" x14ac:dyDescent="0.25">
      <c r="A235">
        <v>18</v>
      </c>
      <c r="B235" t="s">
        <v>16</v>
      </c>
      <c r="C235">
        <v>7.7</v>
      </c>
      <c r="D235" t="s">
        <v>17</v>
      </c>
      <c r="E235">
        <v>7.3</v>
      </c>
      <c r="F235">
        <v>1.8</v>
      </c>
      <c r="G235">
        <v>3.13</v>
      </c>
      <c r="H235">
        <v>2</v>
      </c>
      <c r="I235" t="s">
        <v>22</v>
      </c>
      <c r="J235">
        <v>7</v>
      </c>
      <c r="K235">
        <v>9</v>
      </c>
      <c r="L235">
        <v>7</v>
      </c>
      <c r="M235">
        <v>0</v>
      </c>
    </row>
    <row r="236" spans="1:13" x14ac:dyDescent="0.25">
      <c r="A236">
        <v>13</v>
      </c>
      <c r="B236" t="s">
        <v>16</v>
      </c>
      <c r="C236">
        <v>2.9</v>
      </c>
      <c r="D236" t="s">
        <v>20</v>
      </c>
      <c r="E236">
        <v>5.0999999999999996</v>
      </c>
      <c r="F236">
        <v>2.2000000000000002</v>
      </c>
      <c r="G236">
        <v>3.81</v>
      </c>
      <c r="H236">
        <v>0.7</v>
      </c>
      <c r="I236" t="s">
        <v>18</v>
      </c>
      <c r="J236">
        <v>6</v>
      </c>
      <c r="K236">
        <v>6</v>
      </c>
      <c r="L236">
        <v>10</v>
      </c>
      <c r="M236">
        <v>0</v>
      </c>
    </row>
    <row r="237" spans="1:13" x14ac:dyDescent="0.25">
      <c r="A237">
        <v>16</v>
      </c>
      <c r="B237" t="s">
        <v>16</v>
      </c>
      <c r="C237">
        <v>7.6</v>
      </c>
      <c r="D237" t="s">
        <v>20</v>
      </c>
      <c r="E237">
        <v>4.3</v>
      </c>
      <c r="F237">
        <v>2.7</v>
      </c>
      <c r="G237">
        <v>2.5099999999999998</v>
      </c>
      <c r="H237">
        <v>0.3</v>
      </c>
      <c r="I237" t="s">
        <v>22</v>
      </c>
      <c r="J237">
        <v>3</v>
      </c>
      <c r="K237">
        <v>9</v>
      </c>
      <c r="L237">
        <v>10</v>
      </c>
      <c r="M237">
        <v>0</v>
      </c>
    </row>
    <row r="238" spans="1:13" x14ac:dyDescent="0.25">
      <c r="A238">
        <v>18</v>
      </c>
      <c r="B238" t="s">
        <v>16</v>
      </c>
      <c r="C238">
        <v>5.7</v>
      </c>
      <c r="D238" t="s">
        <v>23</v>
      </c>
      <c r="E238">
        <v>8.4</v>
      </c>
      <c r="F238">
        <v>2.4</v>
      </c>
      <c r="G238">
        <v>2.84</v>
      </c>
      <c r="H238">
        <v>0.7</v>
      </c>
      <c r="I238" t="s">
        <v>18</v>
      </c>
      <c r="J238">
        <v>5</v>
      </c>
      <c r="K238">
        <v>4</v>
      </c>
      <c r="L238">
        <v>9</v>
      </c>
      <c r="M238">
        <v>0</v>
      </c>
    </row>
    <row r="239" spans="1:13" x14ac:dyDescent="0.25">
      <c r="A239">
        <v>19</v>
      </c>
      <c r="B239" t="s">
        <v>16</v>
      </c>
      <c r="C239">
        <v>1.2</v>
      </c>
      <c r="D239" t="s">
        <v>20</v>
      </c>
      <c r="E239">
        <v>5</v>
      </c>
      <c r="F239">
        <v>1.5</v>
      </c>
      <c r="G239">
        <v>2.09</v>
      </c>
      <c r="H239">
        <v>0.6</v>
      </c>
      <c r="I239" t="s">
        <v>22</v>
      </c>
      <c r="J239">
        <v>5</v>
      </c>
      <c r="K239">
        <v>2</v>
      </c>
      <c r="L239">
        <v>1</v>
      </c>
      <c r="M239">
        <v>0</v>
      </c>
    </row>
    <row r="240" spans="1:13" x14ac:dyDescent="0.25">
      <c r="A240">
        <v>16</v>
      </c>
      <c r="B240" t="s">
        <v>19</v>
      </c>
      <c r="C240">
        <v>2.4</v>
      </c>
      <c r="D240" t="s">
        <v>23</v>
      </c>
      <c r="E240">
        <v>6.2</v>
      </c>
      <c r="F240">
        <v>1.6</v>
      </c>
      <c r="G240">
        <v>2.38</v>
      </c>
      <c r="H240">
        <v>0</v>
      </c>
      <c r="I240" t="s">
        <v>22</v>
      </c>
      <c r="J240">
        <v>8</v>
      </c>
      <c r="K240">
        <v>4</v>
      </c>
      <c r="L240">
        <v>10</v>
      </c>
      <c r="M240">
        <v>0</v>
      </c>
    </row>
    <row r="241" spans="1:13" x14ac:dyDescent="0.25">
      <c r="A241">
        <v>17</v>
      </c>
      <c r="B241" t="s">
        <v>19</v>
      </c>
      <c r="C241">
        <v>6.2</v>
      </c>
      <c r="D241" t="s">
        <v>23</v>
      </c>
      <c r="E241">
        <v>5.0999999999999996</v>
      </c>
      <c r="F241">
        <v>2</v>
      </c>
      <c r="G241">
        <v>3.82</v>
      </c>
      <c r="H241">
        <v>1.7</v>
      </c>
      <c r="I241" t="s">
        <v>22</v>
      </c>
      <c r="J241">
        <v>7</v>
      </c>
      <c r="K241">
        <v>3</v>
      </c>
      <c r="L241">
        <v>5</v>
      </c>
      <c r="M241">
        <v>0</v>
      </c>
    </row>
    <row r="242" spans="1:13" x14ac:dyDescent="0.25">
      <c r="A242">
        <v>14</v>
      </c>
      <c r="B242" t="s">
        <v>19</v>
      </c>
      <c r="C242">
        <v>4.7</v>
      </c>
      <c r="D242" t="s">
        <v>17</v>
      </c>
      <c r="E242">
        <v>5.0999999999999996</v>
      </c>
      <c r="F242">
        <v>2.2000000000000002</v>
      </c>
      <c r="G242">
        <v>2.0299999999999998</v>
      </c>
      <c r="H242">
        <v>1.1000000000000001</v>
      </c>
      <c r="I242" t="s">
        <v>22</v>
      </c>
      <c r="J242">
        <v>2</v>
      </c>
      <c r="K242">
        <v>10</v>
      </c>
      <c r="L242">
        <v>7</v>
      </c>
      <c r="M242">
        <v>0</v>
      </c>
    </row>
    <row r="243" spans="1:13" x14ac:dyDescent="0.25">
      <c r="A243">
        <v>19</v>
      </c>
      <c r="B243" t="s">
        <v>16</v>
      </c>
      <c r="C243">
        <v>5.3</v>
      </c>
      <c r="D243" t="s">
        <v>17</v>
      </c>
      <c r="E243">
        <v>6.7</v>
      </c>
      <c r="F243">
        <v>0.7</v>
      </c>
      <c r="G243">
        <v>3.59</v>
      </c>
      <c r="H243">
        <v>1.8</v>
      </c>
      <c r="I243" t="s">
        <v>21</v>
      </c>
      <c r="J243">
        <v>4</v>
      </c>
      <c r="K243">
        <v>8</v>
      </c>
      <c r="L243">
        <v>8</v>
      </c>
      <c r="M243">
        <v>0</v>
      </c>
    </row>
    <row r="244" spans="1:13" x14ac:dyDescent="0.25">
      <c r="A244">
        <v>19</v>
      </c>
      <c r="B244" t="s">
        <v>19</v>
      </c>
      <c r="C244">
        <v>6</v>
      </c>
      <c r="D244" t="s">
        <v>20</v>
      </c>
      <c r="E244">
        <v>6</v>
      </c>
      <c r="F244">
        <v>0.7</v>
      </c>
      <c r="G244">
        <v>3.29</v>
      </c>
      <c r="H244">
        <v>1.4</v>
      </c>
      <c r="I244" t="s">
        <v>18</v>
      </c>
      <c r="J244">
        <v>4</v>
      </c>
      <c r="K244">
        <v>5</v>
      </c>
      <c r="L244">
        <v>1</v>
      </c>
      <c r="M244">
        <v>0</v>
      </c>
    </row>
    <row r="245" spans="1:13" x14ac:dyDescent="0.25">
      <c r="A245">
        <v>16</v>
      </c>
      <c r="B245" t="s">
        <v>19</v>
      </c>
      <c r="C245">
        <v>7.8</v>
      </c>
      <c r="D245" t="s">
        <v>20</v>
      </c>
      <c r="E245">
        <v>4.7</v>
      </c>
      <c r="F245">
        <v>2.1</v>
      </c>
      <c r="G245">
        <v>2.48</v>
      </c>
      <c r="H245">
        <v>2</v>
      </c>
      <c r="I245" t="s">
        <v>18</v>
      </c>
      <c r="J245">
        <v>8</v>
      </c>
      <c r="K245">
        <v>3</v>
      </c>
      <c r="L245">
        <v>1</v>
      </c>
      <c r="M245">
        <v>0</v>
      </c>
    </row>
    <row r="246" spans="1:13" x14ac:dyDescent="0.25">
      <c r="A246">
        <v>14</v>
      </c>
      <c r="B246" t="s">
        <v>19</v>
      </c>
      <c r="C246">
        <v>4.4000000000000004</v>
      </c>
      <c r="D246" t="s">
        <v>23</v>
      </c>
      <c r="E246">
        <v>4.2</v>
      </c>
      <c r="F246">
        <v>2.6</v>
      </c>
      <c r="G246">
        <v>2.2799999999999998</v>
      </c>
      <c r="H246">
        <v>1.3</v>
      </c>
      <c r="I246" t="s">
        <v>22</v>
      </c>
      <c r="J246">
        <v>8</v>
      </c>
      <c r="K246">
        <v>10</v>
      </c>
      <c r="L246">
        <v>4</v>
      </c>
      <c r="M246">
        <v>0</v>
      </c>
    </row>
    <row r="247" spans="1:13" x14ac:dyDescent="0.25">
      <c r="A247">
        <v>17</v>
      </c>
      <c r="B247" t="s">
        <v>16</v>
      </c>
      <c r="C247">
        <v>6.7</v>
      </c>
      <c r="D247" t="s">
        <v>17</v>
      </c>
      <c r="E247">
        <v>7.6</v>
      </c>
      <c r="F247">
        <v>2.4</v>
      </c>
      <c r="G247">
        <v>3.59</v>
      </c>
      <c r="H247">
        <v>0.4</v>
      </c>
      <c r="I247" t="s">
        <v>22</v>
      </c>
      <c r="J247">
        <v>9</v>
      </c>
      <c r="K247">
        <v>5</v>
      </c>
      <c r="L247">
        <v>5</v>
      </c>
      <c r="M247">
        <v>0</v>
      </c>
    </row>
    <row r="248" spans="1:13" x14ac:dyDescent="0.25">
      <c r="A248">
        <v>13</v>
      </c>
      <c r="B248" t="s">
        <v>19</v>
      </c>
      <c r="C248">
        <v>7.2</v>
      </c>
      <c r="D248" t="s">
        <v>20</v>
      </c>
      <c r="E248">
        <v>7.4</v>
      </c>
      <c r="F248">
        <v>2.2000000000000002</v>
      </c>
      <c r="G248">
        <v>3.42</v>
      </c>
      <c r="H248">
        <v>0.1</v>
      </c>
      <c r="I248" t="s">
        <v>18</v>
      </c>
      <c r="J248">
        <v>8</v>
      </c>
      <c r="K248">
        <v>9</v>
      </c>
      <c r="L248">
        <v>6</v>
      </c>
      <c r="M248">
        <v>0</v>
      </c>
    </row>
    <row r="249" spans="1:13" x14ac:dyDescent="0.25">
      <c r="A249">
        <v>18</v>
      </c>
      <c r="B249" t="s">
        <v>16</v>
      </c>
      <c r="C249">
        <v>6.1</v>
      </c>
      <c r="D249" t="s">
        <v>23</v>
      </c>
      <c r="E249">
        <v>4.4000000000000004</v>
      </c>
      <c r="F249">
        <v>2.1</v>
      </c>
      <c r="G249">
        <v>2.23</v>
      </c>
      <c r="H249">
        <v>1</v>
      </c>
      <c r="I249" t="s">
        <v>18</v>
      </c>
      <c r="J249">
        <v>8</v>
      </c>
      <c r="K249">
        <v>2</v>
      </c>
      <c r="L249">
        <v>5</v>
      </c>
      <c r="M249">
        <v>0</v>
      </c>
    </row>
    <row r="250" spans="1:13" x14ac:dyDescent="0.25">
      <c r="A250">
        <v>16</v>
      </c>
      <c r="B250" t="s">
        <v>16</v>
      </c>
      <c r="C250">
        <v>5.4</v>
      </c>
      <c r="D250" t="s">
        <v>20</v>
      </c>
      <c r="E250">
        <v>8.6999999999999993</v>
      </c>
      <c r="F250">
        <v>1.9</v>
      </c>
      <c r="G250">
        <v>2.67</v>
      </c>
      <c r="H250">
        <v>1.3</v>
      </c>
      <c r="I250" t="s">
        <v>18</v>
      </c>
      <c r="J250">
        <v>1</v>
      </c>
      <c r="K250">
        <v>5</v>
      </c>
      <c r="L250">
        <v>7</v>
      </c>
      <c r="M250">
        <v>0</v>
      </c>
    </row>
    <row r="251" spans="1:13" x14ac:dyDescent="0.25">
      <c r="A251">
        <v>19</v>
      </c>
      <c r="B251" t="s">
        <v>16</v>
      </c>
      <c r="C251">
        <v>2.7</v>
      </c>
      <c r="D251" t="s">
        <v>23</v>
      </c>
      <c r="E251">
        <v>7.7</v>
      </c>
      <c r="F251">
        <v>0.7</v>
      </c>
      <c r="G251">
        <v>2.2200000000000002</v>
      </c>
      <c r="H251">
        <v>0.4</v>
      </c>
      <c r="I251" t="s">
        <v>22</v>
      </c>
      <c r="J251">
        <v>10</v>
      </c>
      <c r="K251">
        <v>8</v>
      </c>
      <c r="L251">
        <v>7</v>
      </c>
      <c r="M251">
        <v>0</v>
      </c>
    </row>
    <row r="252" spans="1:13" x14ac:dyDescent="0.25">
      <c r="A252">
        <v>13</v>
      </c>
      <c r="B252" t="s">
        <v>19</v>
      </c>
      <c r="C252">
        <v>7.9</v>
      </c>
      <c r="D252" t="s">
        <v>17</v>
      </c>
      <c r="E252">
        <v>7.2</v>
      </c>
      <c r="F252">
        <v>1.5</v>
      </c>
      <c r="G252">
        <v>2.36</v>
      </c>
      <c r="H252">
        <v>0.2</v>
      </c>
      <c r="I252" t="s">
        <v>22</v>
      </c>
      <c r="J252">
        <v>2</v>
      </c>
      <c r="K252">
        <v>6</v>
      </c>
      <c r="L252">
        <v>8</v>
      </c>
      <c r="M252">
        <v>0</v>
      </c>
    </row>
    <row r="253" spans="1:13" x14ac:dyDescent="0.25">
      <c r="A253">
        <v>13</v>
      </c>
      <c r="B253" t="s">
        <v>16</v>
      </c>
      <c r="C253">
        <v>4.5999999999999996</v>
      </c>
      <c r="D253" t="s">
        <v>20</v>
      </c>
      <c r="E253">
        <v>7.3</v>
      </c>
      <c r="F253">
        <v>1.6</v>
      </c>
      <c r="G253">
        <v>2.91</v>
      </c>
      <c r="H253">
        <v>0.4</v>
      </c>
      <c r="I253" t="s">
        <v>18</v>
      </c>
      <c r="J253">
        <v>10</v>
      </c>
      <c r="K253">
        <v>5</v>
      </c>
      <c r="L253">
        <v>7</v>
      </c>
      <c r="M253">
        <v>0</v>
      </c>
    </row>
    <row r="254" spans="1:13" x14ac:dyDescent="0.25">
      <c r="A254">
        <v>13</v>
      </c>
      <c r="B254" t="s">
        <v>16</v>
      </c>
      <c r="C254">
        <v>5.6</v>
      </c>
      <c r="D254" t="s">
        <v>17</v>
      </c>
      <c r="E254">
        <v>4.5999999999999996</v>
      </c>
      <c r="F254">
        <v>1.9</v>
      </c>
      <c r="G254">
        <v>2.54</v>
      </c>
      <c r="H254">
        <v>0.1</v>
      </c>
      <c r="I254" t="s">
        <v>18</v>
      </c>
      <c r="J254">
        <v>5</v>
      </c>
      <c r="K254">
        <v>5</v>
      </c>
      <c r="L254">
        <v>6</v>
      </c>
      <c r="M254">
        <v>0</v>
      </c>
    </row>
    <row r="255" spans="1:13" x14ac:dyDescent="0.25">
      <c r="A255">
        <v>17</v>
      </c>
      <c r="B255" t="s">
        <v>19</v>
      </c>
      <c r="C255">
        <v>6.5</v>
      </c>
      <c r="D255" t="s">
        <v>20</v>
      </c>
      <c r="E255">
        <v>6.4</v>
      </c>
      <c r="F255">
        <v>0.7</v>
      </c>
      <c r="G255">
        <v>3.57</v>
      </c>
      <c r="H255">
        <v>1.1000000000000001</v>
      </c>
      <c r="I255" t="s">
        <v>18</v>
      </c>
      <c r="J255">
        <v>2</v>
      </c>
      <c r="K255">
        <v>9</v>
      </c>
      <c r="L255">
        <v>6</v>
      </c>
      <c r="M255">
        <v>0</v>
      </c>
    </row>
    <row r="256" spans="1:13" x14ac:dyDescent="0.25">
      <c r="A256">
        <v>19</v>
      </c>
      <c r="B256" t="s">
        <v>16</v>
      </c>
      <c r="C256">
        <v>5.9</v>
      </c>
      <c r="D256" t="s">
        <v>23</v>
      </c>
      <c r="E256">
        <v>7.2</v>
      </c>
      <c r="F256">
        <v>0.9</v>
      </c>
      <c r="G256">
        <v>3.99</v>
      </c>
      <c r="H256">
        <v>1.7</v>
      </c>
      <c r="I256" t="s">
        <v>18</v>
      </c>
      <c r="J256">
        <v>7</v>
      </c>
      <c r="K256">
        <v>9</v>
      </c>
      <c r="L256">
        <v>3</v>
      </c>
      <c r="M256">
        <v>0</v>
      </c>
    </row>
    <row r="257" spans="1:13" x14ac:dyDescent="0.25">
      <c r="A257">
        <v>19</v>
      </c>
      <c r="B257" t="s">
        <v>19</v>
      </c>
      <c r="C257">
        <v>1.1000000000000001</v>
      </c>
      <c r="D257" t="s">
        <v>20</v>
      </c>
      <c r="E257">
        <v>5.0999999999999996</v>
      </c>
      <c r="F257">
        <v>2.2000000000000002</v>
      </c>
      <c r="G257">
        <v>2.13</v>
      </c>
      <c r="H257">
        <v>0.9</v>
      </c>
      <c r="I257" t="s">
        <v>18</v>
      </c>
      <c r="J257">
        <v>7</v>
      </c>
      <c r="K257">
        <v>7</v>
      </c>
      <c r="L257">
        <v>2</v>
      </c>
      <c r="M257">
        <v>0</v>
      </c>
    </row>
    <row r="258" spans="1:13" x14ac:dyDescent="0.25">
      <c r="A258">
        <v>18</v>
      </c>
      <c r="B258" t="s">
        <v>16</v>
      </c>
      <c r="C258">
        <v>3.2</v>
      </c>
      <c r="D258" t="s">
        <v>20</v>
      </c>
      <c r="E258">
        <v>5.0999999999999996</v>
      </c>
      <c r="F258">
        <v>1.2</v>
      </c>
      <c r="G258">
        <v>3.54</v>
      </c>
      <c r="H258">
        <v>1.3</v>
      </c>
      <c r="I258" t="s">
        <v>18</v>
      </c>
      <c r="J258">
        <v>6</v>
      </c>
      <c r="K258">
        <v>2</v>
      </c>
      <c r="L258">
        <v>8</v>
      </c>
      <c r="M258">
        <v>0</v>
      </c>
    </row>
    <row r="259" spans="1:13" x14ac:dyDescent="0.25">
      <c r="A259">
        <v>14</v>
      </c>
      <c r="B259" t="s">
        <v>16</v>
      </c>
      <c r="C259">
        <v>6.5</v>
      </c>
      <c r="D259" t="s">
        <v>17</v>
      </c>
      <c r="E259">
        <v>5.3</v>
      </c>
      <c r="F259">
        <v>2.7</v>
      </c>
      <c r="G259">
        <v>3.79</v>
      </c>
      <c r="H259">
        <v>0.8</v>
      </c>
      <c r="I259" t="s">
        <v>18</v>
      </c>
      <c r="J259">
        <v>8</v>
      </c>
      <c r="K259">
        <v>6</v>
      </c>
      <c r="L259">
        <v>4</v>
      </c>
      <c r="M259">
        <v>0</v>
      </c>
    </row>
    <row r="260" spans="1:13" x14ac:dyDescent="0.25">
      <c r="A260">
        <v>17</v>
      </c>
      <c r="B260" t="s">
        <v>19</v>
      </c>
      <c r="C260">
        <v>7.3</v>
      </c>
      <c r="D260" t="s">
        <v>17</v>
      </c>
      <c r="E260">
        <v>6.2</v>
      </c>
      <c r="F260">
        <v>1</v>
      </c>
      <c r="G260">
        <v>2.02</v>
      </c>
      <c r="H260">
        <v>0.2</v>
      </c>
      <c r="I260" t="s">
        <v>18</v>
      </c>
      <c r="J260">
        <v>1</v>
      </c>
      <c r="K260">
        <v>6</v>
      </c>
      <c r="L260">
        <v>3</v>
      </c>
      <c r="M260">
        <v>0</v>
      </c>
    </row>
    <row r="261" spans="1:13" x14ac:dyDescent="0.25">
      <c r="A261">
        <v>17</v>
      </c>
      <c r="B261" t="s">
        <v>16</v>
      </c>
      <c r="C261">
        <v>1.5</v>
      </c>
      <c r="D261" t="s">
        <v>20</v>
      </c>
      <c r="E261">
        <v>5.5</v>
      </c>
      <c r="F261">
        <v>1.7</v>
      </c>
      <c r="G261">
        <v>2.93</v>
      </c>
      <c r="H261">
        <v>0.7</v>
      </c>
      <c r="I261" t="s">
        <v>18</v>
      </c>
      <c r="J261">
        <v>4</v>
      </c>
      <c r="K261">
        <v>9</v>
      </c>
      <c r="L261">
        <v>9</v>
      </c>
      <c r="M261">
        <v>0</v>
      </c>
    </row>
    <row r="262" spans="1:13" x14ac:dyDescent="0.25">
      <c r="A262">
        <v>16</v>
      </c>
      <c r="B262" t="s">
        <v>16</v>
      </c>
      <c r="C262">
        <v>3.8</v>
      </c>
      <c r="D262" t="s">
        <v>17</v>
      </c>
      <c r="E262">
        <v>6.8</v>
      </c>
      <c r="F262">
        <v>2.4</v>
      </c>
      <c r="G262">
        <v>3.1</v>
      </c>
      <c r="H262">
        <v>1.6</v>
      </c>
      <c r="I262" t="s">
        <v>18</v>
      </c>
      <c r="J262">
        <v>6</v>
      </c>
      <c r="K262">
        <v>10</v>
      </c>
      <c r="L262">
        <v>4</v>
      </c>
      <c r="M262">
        <v>0</v>
      </c>
    </row>
    <row r="263" spans="1:13" x14ac:dyDescent="0.25">
      <c r="A263">
        <v>13</v>
      </c>
      <c r="B263" t="s">
        <v>19</v>
      </c>
      <c r="C263">
        <v>3.6</v>
      </c>
      <c r="D263" t="s">
        <v>20</v>
      </c>
      <c r="E263">
        <v>8.6</v>
      </c>
      <c r="F263">
        <v>2.8</v>
      </c>
      <c r="G263">
        <v>3.28</v>
      </c>
      <c r="H263">
        <v>0.7</v>
      </c>
      <c r="I263" t="s">
        <v>21</v>
      </c>
      <c r="J263">
        <v>10</v>
      </c>
      <c r="K263">
        <v>3</v>
      </c>
      <c r="L263">
        <v>5</v>
      </c>
      <c r="M263">
        <v>0</v>
      </c>
    </row>
    <row r="264" spans="1:13" x14ac:dyDescent="0.25">
      <c r="A264">
        <v>15</v>
      </c>
      <c r="B264" t="s">
        <v>16</v>
      </c>
      <c r="C264">
        <v>3.6</v>
      </c>
      <c r="D264" t="s">
        <v>20</v>
      </c>
      <c r="E264">
        <v>4.3</v>
      </c>
      <c r="F264">
        <v>2.9</v>
      </c>
      <c r="G264">
        <v>2.2000000000000002</v>
      </c>
      <c r="H264">
        <v>1</v>
      </c>
      <c r="I264" t="s">
        <v>21</v>
      </c>
      <c r="J264">
        <v>10</v>
      </c>
      <c r="K264">
        <v>9</v>
      </c>
      <c r="L264">
        <v>7</v>
      </c>
      <c r="M264">
        <v>0</v>
      </c>
    </row>
    <row r="265" spans="1:13" x14ac:dyDescent="0.25">
      <c r="A265">
        <v>17</v>
      </c>
      <c r="B265" t="s">
        <v>19</v>
      </c>
      <c r="C265">
        <v>5.3</v>
      </c>
      <c r="D265" t="s">
        <v>17</v>
      </c>
      <c r="E265">
        <v>7.4</v>
      </c>
      <c r="F265">
        <v>1.2</v>
      </c>
      <c r="G265">
        <v>3.41</v>
      </c>
      <c r="H265">
        <v>1.1000000000000001</v>
      </c>
      <c r="I265" t="s">
        <v>21</v>
      </c>
      <c r="J265">
        <v>6</v>
      </c>
      <c r="K265">
        <v>3</v>
      </c>
      <c r="L265">
        <v>7</v>
      </c>
      <c r="M265">
        <v>0</v>
      </c>
    </row>
    <row r="266" spans="1:13" x14ac:dyDescent="0.25">
      <c r="A266">
        <v>19</v>
      </c>
      <c r="B266" t="s">
        <v>16</v>
      </c>
      <c r="C266">
        <v>4.4000000000000004</v>
      </c>
      <c r="D266" t="s">
        <v>20</v>
      </c>
      <c r="E266">
        <v>4.3</v>
      </c>
      <c r="F266">
        <v>0.8</v>
      </c>
      <c r="G266">
        <v>2.44</v>
      </c>
      <c r="H266">
        <v>1</v>
      </c>
      <c r="I266" t="s">
        <v>21</v>
      </c>
      <c r="J266">
        <v>9</v>
      </c>
      <c r="K266">
        <v>9</v>
      </c>
      <c r="L266">
        <v>7</v>
      </c>
      <c r="M266">
        <v>0</v>
      </c>
    </row>
    <row r="267" spans="1:13" x14ac:dyDescent="0.25">
      <c r="A267">
        <v>18</v>
      </c>
      <c r="B267" t="s">
        <v>16</v>
      </c>
      <c r="C267">
        <v>7.7</v>
      </c>
      <c r="D267" t="s">
        <v>20</v>
      </c>
      <c r="E267">
        <v>4.7</v>
      </c>
      <c r="F267">
        <v>1.4</v>
      </c>
      <c r="G267">
        <v>3.04</v>
      </c>
      <c r="H267">
        <v>0.6</v>
      </c>
      <c r="I267" t="s">
        <v>22</v>
      </c>
      <c r="J267">
        <v>9</v>
      </c>
      <c r="K267">
        <v>6</v>
      </c>
      <c r="L267">
        <v>6</v>
      </c>
      <c r="M267">
        <v>0</v>
      </c>
    </row>
    <row r="268" spans="1:13" x14ac:dyDescent="0.25">
      <c r="A268">
        <v>14</v>
      </c>
      <c r="B268" t="s">
        <v>19</v>
      </c>
      <c r="C268">
        <v>7.1</v>
      </c>
      <c r="D268" t="s">
        <v>20</v>
      </c>
      <c r="E268">
        <v>4.5</v>
      </c>
      <c r="F268">
        <v>2.4</v>
      </c>
      <c r="G268">
        <v>3.53</v>
      </c>
      <c r="H268">
        <v>0.4</v>
      </c>
      <c r="I268" t="s">
        <v>21</v>
      </c>
      <c r="J268">
        <v>3</v>
      </c>
      <c r="K268">
        <v>4</v>
      </c>
      <c r="L268">
        <v>4</v>
      </c>
      <c r="M268">
        <v>0</v>
      </c>
    </row>
    <row r="269" spans="1:13" x14ac:dyDescent="0.25">
      <c r="A269">
        <v>16</v>
      </c>
      <c r="B269" t="s">
        <v>16</v>
      </c>
      <c r="C269">
        <v>4.9000000000000004</v>
      </c>
      <c r="D269" t="s">
        <v>17</v>
      </c>
      <c r="E269">
        <v>6.8</v>
      </c>
      <c r="F269">
        <v>1</v>
      </c>
      <c r="G269">
        <v>3.18</v>
      </c>
      <c r="H269">
        <v>1.9</v>
      </c>
      <c r="I269" t="s">
        <v>21</v>
      </c>
      <c r="J269">
        <v>7</v>
      </c>
      <c r="K269">
        <v>4</v>
      </c>
      <c r="L269">
        <v>8</v>
      </c>
      <c r="M269">
        <v>0</v>
      </c>
    </row>
    <row r="270" spans="1:13" x14ac:dyDescent="0.25">
      <c r="A270">
        <v>19</v>
      </c>
      <c r="B270" t="s">
        <v>16</v>
      </c>
      <c r="C270">
        <v>4.5999999999999996</v>
      </c>
      <c r="D270" t="s">
        <v>23</v>
      </c>
      <c r="E270">
        <v>8.9</v>
      </c>
      <c r="F270">
        <v>1.9</v>
      </c>
      <c r="G270">
        <v>2.5</v>
      </c>
      <c r="H270">
        <v>0.4</v>
      </c>
      <c r="I270" t="s">
        <v>22</v>
      </c>
      <c r="J270">
        <v>8</v>
      </c>
      <c r="K270">
        <v>1</v>
      </c>
      <c r="L270">
        <v>3</v>
      </c>
      <c r="M270">
        <v>0</v>
      </c>
    </row>
    <row r="271" spans="1:13" x14ac:dyDescent="0.25">
      <c r="A271">
        <v>19</v>
      </c>
      <c r="B271" t="s">
        <v>16</v>
      </c>
      <c r="C271">
        <v>1.8</v>
      </c>
      <c r="D271" t="s">
        <v>17</v>
      </c>
      <c r="E271">
        <v>6.5</v>
      </c>
      <c r="F271">
        <v>2.6</v>
      </c>
      <c r="G271">
        <v>2.75</v>
      </c>
      <c r="H271">
        <v>1.7</v>
      </c>
      <c r="I271" t="s">
        <v>21</v>
      </c>
      <c r="J271">
        <v>7</v>
      </c>
      <c r="K271">
        <v>6</v>
      </c>
      <c r="L271">
        <v>1</v>
      </c>
      <c r="M271">
        <v>0</v>
      </c>
    </row>
    <row r="272" spans="1:13" x14ac:dyDescent="0.25">
      <c r="A272">
        <v>16</v>
      </c>
      <c r="B272" t="s">
        <v>16</v>
      </c>
      <c r="C272">
        <v>4.2</v>
      </c>
      <c r="D272" t="s">
        <v>23</v>
      </c>
      <c r="E272">
        <v>5.7</v>
      </c>
      <c r="F272">
        <v>1</v>
      </c>
      <c r="G272">
        <v>2.77</v>
      </c>
      <c r="H272">
        <v>0.1</v>
      </c>
      <c r="I272" t="s">
        <v>21</v>
      </c>
      <c r="J272">
        <v>10</v>
      </c>
      <c r="K272">
        <v>5</v>
      </c>
      <c r="L272">
        <v>9</v>
      </c>
      <c r="M272">
        <v>0</v>
      </c>
    </row>
    <row r="273" spans="1:13" x14ac:dyDescent="0.25">
      <c r="A273">
        <v>16</v>
      </c>
      <c r="B273" t="s">
        <v>16</v>
      </c>
      <c r="C273">
        <v>1.5</v>
      </c>
      <c r="D273" t="s">
        <v>20</v>
      </c>
      <c r="E273">
        <v>6.7</v>
      </c>
      <c r="F273">
        <v>0.5</v>
      </c>
      <c r="G273">
        <v>2.78</v>
      </c>
      <c r="H273">
        <v>1.2</v>
      </c>
      <c r="I273" t="s">
        <v>18</v>
      </c>
      <c r="J273">
        <v>1</v>
      </c>
      <c r="K273">
        <v>9</v>
      </c>
      <c r="L273">
        <v>6</v>
      </c>
      <c r="M273">
        <v>0</v>
      </c>
    </row>
    <row r="274" spans="1:13" x14ac:dyDescent="0.25">
      <c r="A274">
        <v>19</v>
      </c>
      <c r="B274" t="s">
        <v>16</v>
      </c>
      <c r="C274">
        <v>7</v>
      </c>
      <c r="D274" t="s">
        <v>17</v>
      </c>
      <c r="E274">
        <v>8.9</v>
      </c>
      <c r="F274">
        <v>2.8</v>
      </c>
      <c r="G274">
        <v>2.84</v>
      </c>
      <c r="H274">
        <v>0.4</v>
      </c>
      <c r="I274" t="s">
        <v>21</v>
      </c>
      <c r="J274">
        <v>6</v>
      </c>
      <c r="K274">
        <v>8</v>
      </c>
      <c r="L274">
        <v>6</v>
      </c>
      <c r="M274">
        <v>0</v>
      </c>
    </row>
    <row r="275" spans="1:13" x14ac:dyDescent="0.25">
      <c r="A275">
        <v>14</v>
      </c>
      <c r="B275" t="s">
        <v>19</v>
      </c>
      <c r="C275">
        <v>6.5</v>
      </c>
      <c r="D275" t="s">
        <v>23</v>
      </c>
      <c r="E275">
        <v>7.8</v>
      </c>
      <c r="F275">
        <v>1.5</v>
      </c>
      <c r="G275">
        <v>3.26</v>
      </c>
      <c r="H275">
        <v>0.8</v>
      </c>
      <c r="I275" t="s">
        <v>22</v>
      </c>
      <c r="J275">
        <v>9</v>
      </c>
      <c r="K275">
        <v>2</v>
      </c>
      <c r="L275">
        <v>3</v>
      </c>
      <c r="M275">
        <v>0</v>
      </c>
    </row>
    <row r="276" spans="1:13" x14ac:dyDescent="0.25">
      <c r="A276">
        <v>19</v>
      </c>
      <c r="B276" t="s">
        <v>19</v>
      </c>
      <c r="C276">
        <v>4.3</v>
      </c>
      <c r="D276" t="s">
        <v>17</v>
      </c>
      <c r="E276">
        <v>5.9</v>
      </c>
      <c r="F276">
        <v>2.1</v>
      </c>
      <c r="G276">
        <v>2.85</v>
      </c>
      <c r="H276">
        <v>1.7</v>
      </c>
      <c r="I276" t="s">
        <v>21</v>
      </c>
      <c r="J276">
        <v>9</v>
      </c>
      <c r="K276">
        <v>9</v>
      </c>
      <c r="L276">
        <v>8</v>
      </c>
      <c r="M276">
        <v>0</v>
      </c>
    </row>
    <row r="277" spans="1:13" x14ac:dyDescent="0.25">
      <c r="A277">
        <v>16</v>
      </c>
      <c r="B277" t="s">
        <v>16</v>
      </c>
      <c r="C277">
        <v>7.2</v>
      </c>
      <c r="D277" t="s">
        <v>23</v>
      </c>
      <c r="E277">
        <v>7.7</v>
      </c>
      <c r="F277">
        <v>2.5</v>
      </c>
      <c r="G277">
        <v>2.56</v>
      </c>
      <c r="H277">
        <v>1.7</v>
      </c>
      <c r="I277" t="s">
        <v>21</v>
      </c>
      <c r="J277">
        <v>8</v>
      </c>
      <c r="K277">
        <v>7</v>
      </c>
      <c r="L277">
        <v>6</v>
      </c>
      <c r="M277">
        <v>0</v>
      </c>
    </row>
    <row r="278" spans="1:13" x14ac:dyDescent="0.25">
      <c r="A278">
        <v>13</v>
      </c>
      <c r="B278" t="s">
        <v>16</v>
      </c>
      <c r="C278">
        <v>7</v>
      </c>
      <c r="D278" t="s">
        <v>23</v>
      </c>
      <c r="E278">
        <v>4.0999999999999996</v>
      </c>
      <c r="F278">
        <v>1.9</v>
      </c>
      <c r="G278">
        <v>2.2999999999999998</v>
      </c>
      <c r="H278">
        <v>0.3</v>
      </c>
      <c r="I278" t="s">
        <v>22</v>
      </c>
      <c r="J278">
        <v>3</v>
      </c>
      <c r="K278">
        <v>10</v>
      </c>
      <c r="L278">
        <v>6</v>
      </c>
      <c r="M278">
        <v>0</v>
      </c>
    </row>
    <row r="279" spans="1:13" x14ac:dyDescent="0.25">
      <c r="A279">
        <v>18</v>
      </c>
      <c r="B279" t="s">
        <v>19</v>
      </c>
      <c r="C279">
        <v>3.8</v>
      </c>
      <c r="D279" t="s">
        <v>23</v>
      </c>
      <c r="E279">
        <v>5.4</v>
      </c>
      <c r="F279">
        <v>1.7</v>
      </c>
      <c r="G279">
        <v>3.06</v>
      </c>
      <c r="H279">
        <v>1.9</v>
      </c>
      <c r="I279" t="s">
        <v>22</v>
      </c>
      <c r="J279">
        <v>5</v>
      </c>
      <c r="K279">
        <v>10</v>
      </c>
      <c r="L279">
        <v>3</v>
      </c>
      <c r="M279">
        <v>0</v>
      </c>
    </row>
    <row r="280" spans="1:13" x14ac:dyDescent="0.25">
      <c r="A280">
        <v>17</v>
      </c>
      <c r="B280" t="s">
        <v>19</v>
      </c>
      <c r="C280">
        <v>3</v>
      </c>
      <c r="D280" t="s">
        <v>17</v>
      </c>
      <c r="E280">
        <v>6.9</v>
      </c>
      <c r="F280">
        <v>2.2999999999999998</v>
      </c>
      <c r="G280">
        <v>3.34</v>
      </c>
      <c r="H280">
        <v>0.6</v>
      </c>
      <c r="I280" t="s">
        <v>18</v>
      </c>
      <c r="J280">
        <v>5</v>
      </c>
      <c r="K280">
        <v>2</v>
      </c>
      <c r="L280">
        <v>9</v>
      </c>
      <c r="M280">
        <v>0</v>
      </c>
    </row>
    <row r="281" spans="1:13" x14ac:dyDescent="0.25">
      <c r="A281">
        <v>14</v>
      </c>
      <c r="B281" t="s">
        <v>19</v>
      </c>
      <c r="C281">
        <v>7</v>
      </c>
      <c r="D281" t="s">
        <v>20</v>
      </c>
      <c r="E281">
        <v>7.8</v>
      </c>
      <c r="F281">
        <v>1.1000000000000001</v>
      </c>
      <c r="G281">
        <v>3.81</v>
      </c>
      <c r="H281">
        <v>1.4</v>
      </c>
      <c r="I281" t="s">
        <v>22</v>
      </c>
      <c r="J281">
        <v>10</v>
      </c>
      <c r="K281">
        <v>4</v>
      </c>
      <c r="L281">
        <v>2</v>
      </c>
      <c r="M281">
        <v>0</v>
      </c>
    </row>
    <row r="282" spans="1:13" x14ac:dyDescent="0.25">
      <c r="A282">
        <v>13</v>
      </c>
      <c r="B282" t="s">
        <v>16</v>
      </c>
      <c r="C282">
        <v>4.5999999999999996</v>
      </c>
      <c r="D282" t="s">
        <v>20</v>
      </c>
      <c r="E282">
        <v>5.3</v>
      </c>
      <c r="F282">
        <v>2.2999999999999998</v>
      </c>
      <c r="G282">
        <v>2.42</v>
      </c>
      <c r="H282">
        <v>0.2</v>
      </c>
      <c r="I282" t="s">
        <v>18</v>
      </c>
      <c r="J282">
        <v>5</v>
      </c>
      <c r="K282">
        <v>9</v>
      </c>
      <c r="L282">
        <v>5</v>
      </c>
      <c r="M282">
        <v>0</v>
      </c>
    </row>
    <row r="283" spans="1:13" x14ac:dyDescent="0.25">
      <c r="A283">
        <v>16</v>
      </c>
      <c r="B283" t="s">
        <v>16</v>
      </c>
      <c r="C283">
        <v>3.4</v>
      </c>
      <c r="D283" t="s">
        <v>23</v>
      </c>
      <c r="E283">
        <v>8.9</v>
      </c>
      <c r="F283">
        <v>2.6</v>
      </c>
      <c r="G283">
        <v>2.54</v>
      </c>
      <c r="H283">
        <v>1.8</v>
      </c>
      <c r="I283" t="s">
        <v>21</v>
      </c>
      <c r="J283">
        <v>6</v>
      </c>
      <c r="K283">
        <v>2</v>
      </c>
      <c r="L283">
        <v>5</v>
      </c>
      <c r="M283">
        <v>0</v>
      </c>
    </row>
    <row r="284" spans="1:13" x14ac:dyDescent="0.25">
      <c r="A284">
        <v>19</v>
      </c>
      <c r="B284" t="s">
        <v>19</v>
      </c>
      <c r="C284">
        <v>3.5</v>
      </c>
      <c r="D284" t="s">
        <v>20</v>
      </c>
      <c r="E284">
        <v>6.7</v>
      </c>
      <c r="F284">
        <v>2.7</v>
      </c>
      <c r="G284">
        <v>3.4</v>
      </c>
      <c r="H284">
        <v>1.2</v>
      </c>
      <c r="I284" t="s">
        <v>18</v>
      </c>
      <c r="J284">
        <v>4</v>
      </c>
      <c r="K284">
        <v>6</v>
      </c>
      <c r="L284">
        <v>7</v>
      </c>
      <c r="M284">
        <v>0</v>
      </c>
    </row>
    <row r="285" spans="1:13" x14ac:dyDescent="0.25">
      <c r="A285">
        <v>14</v>
      </c>
      <c r="B285" t="s">
        <v>19</v>
      </c>
      <c r="C285">
        <v>4.4000000000000004</v>
      </c>
      <c r="D285" t="s">
        <v>23</v>
      </c>
      <c r="E285">
        <v>7.3</v>
      </c>
      <c r="F285">
        <v>2.7</v>
      </c>
      <c r="G285">
        <v>3.3</v>
      </c>
      <c r="H285">
        <v>1.1000000000000001</v>
      </c>
      <c r="I285" t="s">
        <v>18</v>
      </c>
      <c r="J285">
        <v>2</v>
      </c>
      <c r="K285">
        <v>1</v>
      </c>
      <c r="L285">
        <v>9</v>
      </c>
      <c r="M285">
        <v>0</v>
      </c>
    </row>
    <row r="286" spans="1:13" x14ac:dyDescent="0.25">
      <c r="A286">
        <v>14</v>
      </c>
      <c r="B286" t="s">
        <v>19</v>
      </c>
      <c r="C286">
        <v>1.8</v>
      </c>
      <c r="D286" t="s">
        <v>23</v>
      </c>
      <c r="E286">
        <v>8.1999999999999993</v>
      </c>
      <c r="F286">
        <v>2.2000000000000002</v>
      </c>
      <c r="G286">
        <v>3.36</v>
      </c>
      <c r="H286">
        <v>1.7</v>
      </c>
      <c r="I286" t="s">
        <v>21</v>
      </c>
      <c r="J286">
        <v>9</v>
      </c>
      <c r="K286">
        <v>5</v>
      </c>
      <c r="L286">
        <v>10</v>
      </c>
      <c r="M286">
        <v>0</v>
      </c>
    </row>
    <row r="287" spans="1:13" x14ac:dyDescent="0.25">
      <c r="A287">
        <v>17</v>
      </c>
      <c r="B287" t="s">
        <v>16</v>
      </c>
      <c r="C287">
        <v>3.9</v>
      </c>
      <c r="D287" t="s">
        <v>23</v>
      </c>
      <c r="E287">
        <v>7.7</v>
      </c>
      <c r="F287">
        <v>1</v>
      </c>
      <c r="G287">
        <v>2.1</v>
      </c>
      <c r="H287">
        <v>1.8</v>
      </c>
      <c r="I287" t="s">
        <v>21</v>
      </c>
      <c r="J287">
        <v>7</v>
      </c>
      <c r="K287">
        <v>4</v>
      </c>
      <c r="L287">
        <v>5</v>
      </c>
      <c r="M287">
        <v>0</v>
      </c>
    </row>
    <row r="288" spans="1:13" x14ac:dyDescent="0.25">
      <c r="A288">
        <v>14</v>
      </c>
      <c r="B288" t="s">
        <v>19</v>
      </c>
      <c r="C288">
        <v>4.4000000000000004</v>
      </c>
      <c r="D288" t="s">
        <v>20</v>
      </c>
      <c r="E288">
        <v>5.7</v>
      </c>
      <c r="F288">
        <v>1</v>
      </c>
      <c r="G288">
        <v>3.2</v>
      </c>
      <c r="H288">
        <v>1.9</v>
      </c>
      <c r="I288" t="s">
        <v>21</v>
      </c>
      <c r="J288">
        <v>4</v>
      </c>
      <c r="K288">
        <v>2</v>
      </c>
      <c r="L288">
        <v>2</v>
      </c>
      <c r="M288">
        <v>0</v>
      </c>
    </row>
    <row r="289" spans="1:13" x14ac:dyDescent="0.25">
      <c r="A289">
        <v>13</v>
      </c>
      <c r="B289" t="s">
        <v>19</v>
      </c>
      <c r="C289">
        <v>2</v>
      </c>
      <c r="D289" t="s">
        <v>17</v>
      </c>
      <c r="E289">
        <v>8.6999999999999993</v>
      </c>
      <c r="F289">
        <v>1.9</v>
      </c>
      <c r="G289">
        <v>2.2799999999999998</v>
      </c>
      <c r="H289">
        <v>1.2</v>
      </c>
      <c r="I289" t="s">
        <v>22</v>
      </c>
      <c r="J289">
        <v>7</v>
      </c>
      <c r="K289">
        <v>7</v>
      </c>
      <c r="L289">
        <v>9</v>
      </c>
      <c r="M289">
        <v>0</v>
      </c>
    </row>
    <row r="290" spans="1:13" x14ac:dyDescent="0.25">
      <c r="A290">
        <v>17</v>
      </c>
      <c r="B290" t="s">
        <v>16</v>
      </c>
      <c r="C290">
        <v>7.2</v>
      </c>
      <c r="D290" t="s">
        <v>20</v>
      </c>
      <c r="E290">
        <v>8.8000000000000007</v>
      </c>
      <c r="F290">
        <v>2.5</v>
      </c>
      <c r="G290">
        <v>3.97</v>
      </c>
      <c r="H290">
        <v>1.9</v>
      </c>
      <c r="I290" t="s">
        <v>18</v>
      </c>
      <c r="J290">
        <v>1</v>
      </c>
      <c r="K290">
        <v>3</v>
      </c>
      <c r="L290">
        <v>9</v>
      </c>
      <c r="M290">
        <v>0</v>
      </c>
    </row>
    <row r="291" spans="1:13" x14ac:dyDescent="0.25">
      <c r="A291">
        <v>19</v>
      </c>
      <c r="B291" t="s">
        <v>16</v>
      </c>
      <c r="C291">
        <v>4.4000000000000004</v>
      </c>
      <c r="D291" t="s">
        <v>23</v>
      </c>
      <c r="E291">
        <v>6.4</v>
      </c>
      <c r="F291">
        <v>0.9</v>
      </c>
      <c r="G291">
        <v>2.72</v>
      </c>
      <c r="H291">
        <v>0.2</v>
      </c>
      <c r="I291" t="s">
        <v>22</v>
      </c>
      <c r="J291">
        <v>6</v>
      </c>
      <c r="K291">
        <v>9</v>
      </c>
      <c r="L291">
        <v>8</v>
      </c>
      <c r="M291">
        <v>0</v>
      </c>
    </row>
    <row r="292" spans="1:13" x14ac:dyDescent="0.25">
      <c r="A292">
        <v>14</v>
      </c>
      <c r="B292" t="s">
        <v>16</v>
      </c>
      <c r="C292">
        <v>7.2</v>
      </c>
      <c r="D292" t="s">
        <v>20</v>
      </c>
      <c r="E292">
        <v>4.8</v>
      </c>
      <c r="F292">
        <v>1.4</v>
      </c>
      <c r="G292">
        <v>2.36</v>
      </c>
      <c r="H292">
        <v>0.1</v>
      </c>
      <c r="I292" t="s">
        <v>18</v>
      </c>
      <c r="J292">
        <v>5</v>
      </c>
      <c r="K292">
        <v>7</v>
      </c>
      <c r="L292">
        <v>1</v>
      </c>
      <c r="M292">
        <v>0</v>
      </c>
    </row>
    <row r="293" spans="1:13" x14ac:dyDescent="0.25">
      <c r="A293">
        <v>13</v>
      </c>
      <c r="B293" t="s">
        <v>16</v>
      </c>
      <c r="C293">
        <v>5.4</v>
      </c>
      <c r="D293" t="s">
        <v>17</v>
      </c>
      <c r="E293">
        <v>6.5</v>
      </c>
      <c r="F293">
        <v>0.8</v>
      </c>
      <c r="G293">
        <v>3.17</v>
      </c>
      <c r="H293">
        <v>0.3</v>
      </c>
      <c r="I293" t="s">
        <v>22</v>
      </c>
      <c r="J293">
        <v>10</v>
      </c>
      <c r="K293">
        <v>3</v>
      </c>
      <c r="L293">
        <v>3</v>
      </c>
      <c r="M293">
        <v>0</v>
      </c>
    </row>
    <row r="294" spans="1:13" x14ac:dyDescent="0.25">
      <c r="A294">
        <v>16</v>
      </c>
      <c r="B294" t="s">
        <v>16</v>
      </c>
      <c r="C294">
        <v>1.5</v>
      </c>
      <c r="D294" t="s">
        <v>20</v>
      </c>
      <c r="E294">
        <v>4.0999999999999996</v>
      </c>
      <c r="F294">
        <v>1.3</v>
      </c>
      <c r="G294">
        <v>3.67</v>
      </c>
      <c r="H294">
        <v>1.2</v>
      </c>
      <c r="I294" t="s">
        <v>21</v>
      </c>
      <c r="J294">
        <v>10</v>
      </c>
      <c r="K294">
        <v>6</v>
      </c>
      <c r="L294">
        <v>6</v>
      </c>
      <c r="M294">
        <v>0</v>
      </c>
    </row>
    <row r="295" spans="1:13" x14ac:dyDescent="0.25">
      <c r="A295">
        <v>15</v>
      </c>
      <c r="B295" t="s">
        <v>19</v>
      </c>
      <c r="C295">
        <v>1.8</v>
      </c>
      <c r="D295" t="s">
        <v>17</v>
      </c>
      <c r="E295">
        <v>8</v>
      </c>
      <c r="F295">
        <v>2.8</v>
      </c>
      <c r="G295">
        <v>3.49</v>
      </c>
      <c r="H295">
        <v>0.6</v>
      </c>
      <c r="I295" t="s">
        <v>18</v>
      </c>
      <c r="J295">
        <v>9</v>
      </c>
      <c r="K295">
        <v>8</v>
      </c>
      <c r="L295">
        <v>8</v>
      </c>
      <c r="M295">
        <v>0</v>
      </c>
    </row>
    <row r="296" spans="1:13" x14ac:dyDescent="0.25">
      <c r="A296">
        <v>17</v>
      </c>
      <c r="B296" t="s">
        <v>19</v>
      </c>
      <c r="C296">
        <v>3.7</v>
      </c>
      <c r="D296" t="s">
        <v>20</v>
      </c>
      <c r="E296">
        <v>5.3</v>
      </c>
      <c r="F296">
        <v>0.7</v>
      </c>
      <c r="G296">
        <v>2.09</v>
      </c>
      <c r="H296">
        <v>0.8</v>
      </c>
      <c r="I296" t="s">
        <v>21</v>
      </c>
      <c r="J296">
        <v>8</v>
      </c>
      <c r="K296">
        <v>8</v>
      </c>
      <c r="L296">
        <v>10</v>
      </c>
      <c r="M296">
        <v>0</v>
      </c>
    </row>
    <row r="297" spans="1:13" x14ac:dyDescent="0.25">
      <c r="A297">
        <v>13</v>
      </c>
      <c r="B297" t="s">
        <v>16</v>
      </c>
      <c r="C297">
        <v>6.4</v>
      </c>
      <c r="D297" t="s">
        <v>23</v>
      </c>
      <c r="E297">
        <v>8.3000000000000007</v>
      </c>
      <c r="F297">
        <v>1.3</v>
      </c>
      <c r="G297">
        <v>2.21</v>
      </c>
      <c r="H297">
        <v>1.2</v>
      </c>
      <c r="I297" t="s">
        <v>21</v>
      </c>
      <c r="J297">
        <v>4</v>
      </c>
      <c r="K297">
        <v>5</v>
      </c>
      <c r="L297">
        <v>9</v>
      </c>
      <c r="M297">
        <v>0</v>
      </c>
    </row>
    <row r="298" spans="1:13" x14ac:dyDescent="0.25">
      <c r="A298">
        <v>19</v>
      </c>
      <c r="B298" t="s">
        <v>16</v>
      </c>
      <c r="C298">
        <v>6.4</v>
      </c>
      <c r="D298" t="s">
        <v>23</v>
      </c>
      <c r="E298">
        <v>6.7</v>
      </c>
      <c r="F298">
        <v>2.4</v>
      </c>
      <c r="G298">
        <v>2.2000000000000002</v>
      </c>
      <c r="H298">
        <v>1.3</v>
      </c>
      <c r="I298" t="s">
        <v>18</v>
      </c>
      <c r="J298">
        <v>5</v>
      </c>
      <c r="K298">
        <v>2</v>
      </c>
      <c r="L298">
        <v>2</v>
      </c>
      <c r="M298">
        <v>0</v>
      </c>
    </row>
    <row r="299" spans="1:13" x14ac:dyDescent="0.25">
      <c r="A299">
        <v>17</v>
      </c>
      <c r="B299" t="s">
        <v>19</v>
      </c>
      <c r="C299">
        <v>1.1000000000000001</v>
      </c>
      <c r="D299" t="s">
        <v>17</v>
      </c>
      <c r="E299">
        <v>9</v>
      </c>
      <c r="F299">
        <v>2.9</v>
      </c>
      <c r="G299">
        <v>2.74</v>
      </c>
      <c r="H299">
        <v>1</v>
      </c>
      <c r="I299" t="s">
        <v>22</v>
      </c>
      <c r="J299">
        <v>2</v>
      </c>
      <c r="K299">
        <v>8</v>
      </c>
      <c r="L299">
        <v>2</v>
      </c>
      <c r="M299">
        <v>0</v>
      </c>
    </row>
    <row r="300" spans="1:13" x14ac:dyDescent="0.25">
      <c r="A300">
        <v>13</v>
      </c>
      <c r="B300" t="s">
        <v>16</v>
      </c>
      <c r="C300">
        <v>1.3</v>
      </c>
      <c r="D300" t="s">
        <v>20</v>
      </c>
      <c r="E300">
        <v>7.8</v>
      </c>
      <c r="F300">
        <v>2.6</v>
      </c>
      <c r="G300">
        <v>3.01</v>
      </c>
      <c r="H300">
        <v>0.3</v>
      </c>
      <c r="I300" t="s">
        <v>18</v>
      </c>
      <c r="J300">
        <v>2</v>
      </c>
      <c r="K300">
        <v>9</v>
      </c>
      <c r="L300">
        <v>10</v>
      </c>
      <c r="M300">
        <v>0</v>
      </c>
    </row>
    <row r="301" spans="1:13" x14ac:dyDescent="0.25">
      <c r="A301">
        <v>17</v>
      </c>
      <c r="B301" t="s">
        <v>19</v>
      </c>
      <c r="C301">
        <v>4.4000000000000004</v>
      </c>
      <c r="D301" t="s">
        <v>17</v>
      </c>
      <c r="E301">
        <v>6</v>
      </c>
      <c r="F301">
        <v>1.2</v>
      </c>
      <c r="G301">
        <v>2.48</v>
      </c>
      <c r="H301">
        <v>0.9</v>
      </c>
      <c r="I301" t="s">
        <v>22</v>
      </c>
      <c r="J301">
        <v>6</v>
      </c>
      <c r="K301">
        <v>2</v>
      </c>
      <c r="L301">
        <v>6</v>
      </c>
      <c r="M301">
        <v>0</v>
      </c>
    </row>
    <row r="302" spans="1:13" x14ac:dyDescent="0.25">
      <c r="A302">
        <v>13</v>
      </c>
      <c r="B302" t="s">
        <v>16</v>
      </c>
      <c r="C302">
        <v>7.8</v>
      </c>
      <c r="D302" t="s">
        <v>17</v>
      </c>
      <c r="E302">
        <v>5</v>
      </c>
      <c r="F302">
        <v>1.8</v>
      </c>
      <c r="G302">
        <v>3.57</v>
      </c>
      <c r="H302">
        <v>1.5</v>
      </c>
      <c r="I302" t="s">
        <v>22</v>
      </c>
      <c r="J302">
        <v>8</v>
      </c>
      <c r="K302">
        <v>10</v>
      </c>
      <c r="L302">
        <v>3</v>
      </c>
      <c r="M302">
        <v>1</v>
      </c>
    </row>
    <row r="303" spans="1:13" x14ac:dyDescent="0.25">
      <c r="A303">
        <v>14</v>
      </c>
      <c r="B303" t="s">
        <v>19</v>
      </c>
      <c r="C303">
        <v>6.9</v>
      </c>
      <c r="D303" t="s">
        <v>20</v>
      </c>
      <c r="E303">
        <v>6.4</v>
      </c>
      <c r="F303">
        <v>0.9</v>
      </c>
      <c r="G303">
        <v>2.04</v>
      </c>
      <c r="H303">
        <v>1.3</v>
      </c>
      <c r="I303" t="s">
        <v>22</v>
      </c>
      <c r="J303">
        <v>5</v>
      </c>
      <c r="K303">
        <v>5</v>
      </c>
      <c r="L303">
        <v>9</v>
      </c>
      <c r="M303">
        <v>0</v>
      </c>
    </row>
    <row r="304" spans="1:13" x14ac:dyDescent="0.25">
      <c r="A304">
        <v>14</v>
      </c>
      <c r="B304" t="s">
        <v>19</v>
      </c>
      <c r="C304">
        <v>4.8</v>
      </c>
      <c r="D304" t="s">
        <v>17</v>
      </c>
      <c r="E304">
        <v>6.8</v>
      </c>
      <c r="F304">
        <v>0.8</v>
      </c>
      <c r="G304">
        <v>3</v>
      </c>
      <c r="H304">
        <v>0.9</v>
      </c>
      <c r="I304" t="s">
        <v>18</v>
      </c>
      <c r="J304">
        <v>4</v>
      </c>
      <c r="K304">
        <v>3</v>
      </c>
      <c r="L304">
        <v>4</v>
      </c>
      <c r="M304">
        <v>0</v>
      </c>
    </row>
    <row r="305" spans="1:13" x14ac:dyDescent="0.25">
      <c r="A305">
        <v>13</v>
      </c>
      <c r="B305" t="s">
        <v>16</v>
      </c>
      <c r="C305">
        <v>7.5</v>
      </c>
      <c r="D305" t="s">
        <v>17</v>
      </c>
      <c r="E305">
        <v>8.6</v>
      </c>
      <c r="F305">
        <v>1.9</v>
      </c>
      <c r="G305">
        <v>3.33</v>
      </c>
      <c r="H305">
        <v>0.9</v>
      </c>
      <c r="I305" t="s">
        <v>22</v>
      </c>
      <c r="J305">
        <v>7</v>
      </c>
      <c r="K305">
        <v>3</v>
      </c>
      <c r="L305">
        <v>10</v>
      </c>
      <c r="M305">
        <v>0</v>
      </c>
    </row>
    <row r="306" spans="1:13" x14ac:dyDescent="0.25">
      <c r="A306">
        <v>15</v>
      </c>
      <c r="B306" t="s">
        <v>19</v>
      </c>
      <c r="C306">
        <v>6.7</v>
      </c>
      <c r="D306" t="s">
        <v>17</v>
      </c>
      <c r="E306">
        <v>7</v>
      </c>
      <c r="F306">
        <v>2.2000000000000002</v>
      </c>
      <c r="G306">
        <v>2.61</v>
      </c>
      <c r="H306">
        <v>0.7</v>
      </c>
      <c r="I306" t="s">
        <v>21</v>
      </c>
      <c r="J306">
        <v>2</v>
      </c>
      <c r="K306">
        <v>7</v>
      </c>
      <c r="L306">
        <v>8</v>
      </c>
      <c r="M306">
        <v>0</v>
      </c>
    </row>
    <row r="307" spans="1:13" x14ac:dyDescent="0.25">
      <c r="A307">
        <v>14</v>
      </c>
      <c r="B307" t="s">
        <v>16</v>
      </c>
      <c r="C307">
        <v>3.8</v>
      </c>
      <c r="D307" t="s">
        <v>17</v>
      </c>
      <c r="E307">
        <v>4.8</v>
      </c>
      <c r="F307">
        <v>1.9</v>
      </c>
      <c r="G307">
        <v>3.97</v>
      </c>
      <c r="H307">
        <v>0.2</v>
      </c>
      <c r="I307" t="s">
        <v>21</v>
      </c>
      <c r="J307">
        <v>4</v>
      </c>
      <c r="K307">
        <v>6</v>
      </c>
      <c r="L307">
        <v>6</v>
      </c>
      <c r="M307">
        <v>0</v>
      </c>
    </row>
    <row r="308" spans="1:13" x14ac:dyDescent="0.25">
      <c r="A308">
        <v>15</v>
      </c>
      <c r="B308" t="s">
        <v>16</v>
      </c>
      <c r="C308">
        <v>3</v>
      </c>
      <c r="D308" t="s">
        <v>17</v>
      </c>
      <c r="E308">
        <v>8.6</v>
      </c>
      <c r="F308">
        <v>1.5</v>
      </c>
      <c r="G308">
        <v>3.27</v>
      </c>
      <c r="H308">
        <v>0.8</v>
      </c>
      <c r="I308" t="s">
        <v>22</v>
      </c>
      <c r="J308">
        <v>10</v>
      </c>
      <c r="K308">
        <v>10</v>
      </c>
      <c r="L308">
        <v>4</v>
      </c>
      <c r="M308">
        <v>0</v>
      </c>
    </row>
    <row r="309" spans="1:13" x14ac:dyDescent="0.25">
      <c r="A309">
        <v>17</v>
      </c>
      <c r="B309" t="s">
        <v>16</v>
      </c>
      <c r="C309">
        <v>7.8</v>
      </c>
      <c r="D309" t="s">
        <v>20</v>
      </c>
      <c r="E309">
        <v>7.1</v>
      </c>
      <c r="F309">
        <v>0.8</v>
      </c>
      <c r="G309">
        <v>2.79</v>
      </c>
      <c r="H309">
        <v>1.4</v>
      </c>
      <c r="I309" t="s">
        <v>22</v>
      </c>
      <c r="J309">
        <v>9</v>
      </c>
      <c r="K309">
        <v>4</v>
      </c>
      <c r="L309">
        <v>2</v>
      </c>
      <c r="M309">
        <v>0</v>
      </c>
    </row>
    <row r="310" spans="1:13" x14ac:dyDescent="0.25">
      <c r="A310">
        <v>14</v>
      </c>
      <c r="B310" t="s">
        <v>19</v>
      </c>
      <c r="C310">
        <v>7.8</v>
      </c>
      <c r="D310" t="s">
        <v>17</v>
      </c>
      <c r="E310">
        <v>4.3</v>
      </c>
      <c r="F310">
        <v>2.6</v>
      </c>
      <c r="G310">
        <v>3.33</v>
      </c>
      <c r="H310">
        <v>2</v>
      </c>
      <c r="I310" t="s">
        <v>21</v>
      </c>
      <c r="J310">
        <v>3</v>
      </c>
      <c r="K310">
        <v>7</v>
      </c>
      <c r="L310">
        <v>3</v>
      </c>
      <c r="M310">
        <v>0</v>
      </c>
    </row>
    <row r="311" spans="1:13" x14ac:dyDescent="0.25">
      <c r="A311">
        <v>15</v>
      </c>
      <c r="B311" t="s">
        <v>19</v>
      </c>
      <c r="C311">
        <v>6.6</v>
      </c>
      <c r="D311" t="s">
        <v>20</v>
      </c>
      <c r="E311">
        <v>9</v>
      </c>
      <c r="F311">
        <v>1.5</v>
      </c>
      <c r="G311">
        <v>3.04</v>
      </c>
      <c r="H311">
        <v>1.5</v>
      </c>
      <c r="I311" t="s">
        <v>18</v>
      </c>
      <c r="J311">
        <v>4</v>
      </c>
      <c r="K311">
        <v>2</v>
      </c>
      <c r="L311">
        <v>7</v>
      </c>
      <c r="M311">
        <v>0</v>
      </c>
    </row>
    <row r="312" spans="1:13" x14ac:dyDescent="0.25">
      <c r="A312">
        <v>13</v>
      </c>
      <c r="B312" t="s">
        <v>19</v>
      </c>
      <c r="C312">
        <v>7.3</v>
      </c>
      <c r="D312" t="s">
        <v>17</v>
      </c>
      <c r="E312">
        <v>6.4</v>
      </c>
      <c r="F312">
        <v>2.2999999999999998</v>
      </c>
      <c r="G312">
        <v>2.5299999999999998</v>
      </c>
      <c r="H312">
        <v>0.7</v>
      </c>
      <c r="I312" t="s">
        <v>18</v>
      </c>
      <c r="J312">
        <v>9</v>
      </c>
      <c r="K312">
        <v>9</v>
      </c>
      <c r="L312">
        <v>4</v>
      </c>
      <c r="M312">
        <v>0</v>
      </c>
    </row>
    <row r="313" spans="1:13" x14ac:dyDescent="0.25">
      <c r="A313">
        <v>19</v>
      </c>
      <c r="B313" t="s">
        <v>16</v>
      </c>
      <c r="C313">
        <v>6.6</v>
      </c>
      <c r="D313" t="s">
        <v>17</v>
      </c>
      <c r="E313">
        <v>4.4000000000000004</v>
      </c>
      <c r="F313">
        <v>1.1000000000000001</v>
      </c>
      <c r="G313">
        <v>2.29</v>
      </c>
      <c r="H313">
        <v>1</v>
      </c>
      <c r="I313" t="s">
        <v>18</v>
      </c>
      <c r="J313">
        <v>6</v>
      </c>
      <c r="K313">
        <v>8</v>
      </c>
      <c r="L313">
        <v>5</v>
      </c>
      <c r="M313">
        <v>0</v>
      </c>
    </row>
    <row r="314" spans="1:13" x14ac:dyDescent="0.25">
      <c r="A314">
        <v>19</v>
      </c>
      <c r="B314" t="s">
        <v>19</v>
      </c>
      <c r="C314">
        <v>5.6</v>
      </c>
      <c r="D314" t="s">
        <v>20</v>
      </c>
      <c r="E314">
        <v>8.1</v>
      </c>
      <c r="F314">
        <v>3</v>
      </c>
      <c r="G314">
        <v>2.75</v>
      </c>
      <c r="H314">
        <v>0.7</v>
      </c>
      <c r="I314" t="s">
        <v>22</v>
      </c>
      <c r="J314">
        <v>6</v>
      </c>
      <c r="K314">
        <v>3</v>
      </c>
      <c r="L314">
        <v>4</v>
      </c>
      <c r="M314">
        <v>0</v>
      </c>
    </row>
    <row r="315" spans="1:13" x14ac:dyDescent="0.25">
      <c r="A315">
        <v>13</v>
      </c>
      <c r="B315" t="s">
        <v>19</v>
      </c>
      <c r="C315">
        <v>8</v>
      </c>
      <c r="D315" t="s">
        <v>17</v>
      </c>
      <c r="E315">
        <v>5.4</v>
      </c>
      <c r="F315">
        <v>2.8</v>
      </c>
      <c r="G315">
        <v>3.1</v>
      </c>
      <c r="H315">
        <v>1.9</v>
      </c>
      <c r="I315" t="s">
        <v>21</v>
      </c>
      <c r="J315">
        <v>6</v>
      </c>
      <c r="K315">
        <v>10</v>
      </c>
      <c r="L315">
        <v>10</v>
      </c>
      <c r="M315">
        <v>0</v>
      </c>
    </row>
    <row r="316" spans="1:13" x14ac:dyDescent="0.25">
      <c r="A316">
        <v>13</v>
      </c>
      <c r="B316" t="s">
        <v>19</v>
      </c>
      <c r="C316">
        <v>1.3</v>
      </c>
      <c r="D316" t="s">
        <v>17</v>
      </c>
      <c r="E316">
        <v>8.9</v>
      </c>
      <c r="F316">
        <v>2.6</v>
      </c>
      <c r="G316">
        <v>3.54</v>
      </c>
      <c r="H316">
        <v>1.2</v>
      </c>
      <c r="I316" t="s">
        <v>21</v>
      </c>
      <c r="J316">
        <v>8</v>
      </c>
      <c r="K316">
        <v>5</v>
      </c>
      <c r="L316">
        <v>2</v>
      </c>
      <c r="M316">
        <v>0</v>
      </c>
    </row>
    <row r="317" spans="1:13" x14ac:dyDescent="0.25">
      <c r="A317">
        <v>15</v>
      </c>
      <c r="B317" t="s">
        <v>19</v>
      </c>
      <c r="C317">
        <v>5.9</v>
      </c>
      <c r="D317" t="s">
        <v>23</v>
      </c>
      <c r="E317">
        <v>6.9</v>
      </c>
      <c r="F317">
        <v>1.4</v>
      </c>
      <c r="G317">
        <v>3.62</v>
      </c>
      <c r="H317">
        <v>1.5</v>
      </c>
      <c r="I317" t="s">
        <v>22</v>
      </c>
      <c r="J317">
        <v>3</v>
      </c>
      <c r="K317">
        <v>9</v>
      </c>
      <c r="L317">
        <v>1</v>
      </c>
      <c r="M317">
        <v>0</v>
      </c>
    </row>
    <row r="318" spans="1:13" x14ac:dyDescent="0.25">
      <c r="A318">
        <v>14</v>
      </c>
      <c r="B318" t="s">
        <v>19</v>
      </c>
      <c r="C318">
        <v>2</v>
      </c>
      <c r="D318" t="s">
        <v>17</v>
      </c>
      <c r="E318">
        <v>8.8000000000000007</v>
      </c>
      <c r="F318">
        <v>0.9</v>
      </c>
      <c r="G318">
        <v>3.61</v>
      </c>
      <c r="H318">
        <v>0.7</v>
      </c>
      <c r="I318" t="s">
        <v>21</v>
      </c>
      <c r="J318">
        <v>10</v>
      </c>
      <c r="K318">
        <v>2</v>
      </c>
      <c r="L318">
        <v>3</v>
      </c>
      <c r="M318">
        <v>0</v>
      </c>
    </row>
    <row r="319" spans="1:13" x14ac:dyDescent="0.25">
      <c r="A319">
        <v>19</v>
      </c>
      <c r="B319" t="s">
        <v>19</v>
      </c>
      <c r="C319">
        <v>1.4</v>
      </c>
      <c r="D319" t="s">
        <v>17</v>
      </c>
      <c r="E319">
        <v>6.6</v>
      </c>
      <c r="F319">
        <v>1.8</v>
      </c>
      <c r="G319">
        <v>3.07</v>
      </c>
      <c r="H319">
        <v>0</v>
      </c>
      <c r="I319" t="s">
        <v>18</v>
      </c>
      <c r="J319">
        <v>5</v>
      </c>
      <c r="K319">
        <v>2</v>
      </c>
      <c r="L319">
        <v>6</v>
      </c>
      <c r="M319">
        <v>0</v>
      </c>
    </row>
    <row r="320" spans="1:13" x14ac:dyDescent="0.25">
      <c r="A320">
        <v>13</v>
      </c>
      <c r="B320" t="s">
        <v>19</v>
      </c>
      <c r="C320">
        <v>6.4</v>
      </c>
      <c r="D320" t="s">
        <v>23</v>
      </c>
      <c r="E320">
        <v>6.7</v>
      </c>
      <c r="F320">
        <v>0.8</v>
      </c>
      <c r="G320">
        <v>3.9</v>
      </c>
      <c r="H320">
        <v>1.9</v>
      </c>
      <c r="I320" t="s">
        <v>21</v>
      </c>
      <c r="J320">
        <v>3</v>
      </c>
      <c r="K320">
        <v>3</v>
      </c>
      <c r="L320">
        <v>10</v>
      </c>
      <c r="M320">
        <v>0</v>
      </c>
    </row>
    <row r="321" spans="1:13" x14ac:dyDescent="0.25">
      <c r="A321">
        <v>15</v>
      </c>
      <c r="B321" t="s">
        <v>16</v>
      </c>
      <c r="C321">
        <v>7.6</v>
      </c>
      <c r="D321" t="s">
        <v>20</v>
      </c>
      <c r="E321">
        <v>7.9</v>
      </c>
      <c r="F321">
        <v>0.8</v>
      </c>
      <c r="G321">
        <v>3.55</v>
      </c>
      <c r="H321">
        <v>1.9</v>
      </c>
      <c r="I321" t="s">
        <v>21</v>
      </c>
      <c r="J321">
        <v>10</v>
      </c>
      <c r="K321">
        <v>8</v>
      </c>
      <c r="L321">
        <v>6</v>
      </c>
      <c r="M321">
        <v>0</v>
      </c>
    </row>
    <row r="322" spans="1:13" x14ac:dyDescent="0.25">
      <c r="A322">
        <v>16</v>
      </c>
      <c r="B322" t="s">
        <v>16</v>
      </c>
      <c r="C322">
        <v>7.9</v>
      </c>
      <c r="D322" t="s">
        <v>23</v>
      </c>
      <c r="E322">
        <v>5.5</v>
      </c>
      <c r="F322">
        <v>0.6</v>
      </c>
      <c r="G322">
        <v>3.65</v>
      </c>
      <c r="H322">
        <v>1.4</v>
      </c>
      <c r="I322" t="s">
        <v>18</v>
      </c>
      <c r="J322">
        <v>1</v>
      </c>
      <c r="K322">
        <v>4</v>
      </c>
      <c r="L322">
        <v>1</v>
      </c>
      <c r="M322">
        <v>0</v>
      </c>
    </row>
    <row r="323" spans="1:13" x14ac:dyDescent="0.25">
      <c r="A323">
        <v>15</v>
      </c>
      <c r="B323" t="s">
        <v>16</v>
      </c>
      <c r="C323">
        <v>5.0999999999999996</v>
      </c>
      <c r="D323" t="s">
        <v>17</v>
      </c>
      <c r="E323">
        <v>4.0999999999999996</v>
      </c>
      <c r="F323">
        <v>2.8</v>
      </c>
      <c r="G323">
        <v>3.79</v>
      </c>
      <c r="H323">
        <v>0.8</v>
      </c>
      <c r="I323" t="s">
        <v>22</v>
      </c>
      <c r="J323">
        <v>9</v>
      </c>
      <c r="K323">
        <v>7</v>
      </c>
      <c r="L323">
        <v>3</v>
      </c>
      <c r="M323">
        <v>1</v>
      </c>
    </row>
    <row r="324" spans="1:13" x14ac:dyDescent="0.25">
      <c r="A324">
        <v>18</v>
      </c>
      <c r="B324" t="s">
        <v>16</v>
      </c>
      <c r="C324">
        <v>6.4</v>
      </c>
      <c r="D324" t="s">
        <v>20</v>
      </c>
      <c r="E324">
        <v>7.4</v>
      </c>
      <c r="F324">
        <v>1.5</v>
      </c>
      <c r="G324">
        <v>2.92</v>
      </c>
      <c r="H324">
        <v>0.6</v>
      </c>
      <c r="I324" t="s">
        <v>18</v>
      </c>
      <c r="J324">
        <v>9</v>
      </c>
      <c r="K324">
        <v>2</v>
      </c>
      <c r="L324">
        <v>5</v>
      </c>
      <c r="M324">
        <v>0</v>
      </c>
    </row>
    <row r="325" spans="1:13" x14ac:dyDescent="0.25">
      <c r="A325">
        <v>13</v>
      </c>
      <c r="B325" t="s">
        <v>19</v>
      </c>
      <c r="C325">
        <v>7.2</v>
      </c>
      <c r="D325" t="s">
        <v>23</v>
      </c>
      <c r="E325">
        <v>6.7</v>
      </c>
      <c r="F325">
        <v>0.9</v>
      </c>
      <c r="G325">
        <v>2.36</v>
      </c>
      <c r="H325">
        <v>0.6</v>
      </c>
      <c r="I325" t="s">
        <v>18</v>
      </c>
      <c r="J325">
        <v>8</v>
      </c>
      <c r="K325">
        <v>8</v>
      </c>
      <c r="L325">
        <v>1</v>
      </c>
      <c r="M325">
        <v>0</v>
      </c>
    </row>
    <row r="326" spans="1:13" x14ac:dyDescent="0.25">
      <c r="A326">
        <v>18</v>
      </c>
      <c r="B326" t="s">
        <v>19</v>
      </c>
      <c r="C326">
        <v>2.9</v>
      </c>
      <c r="D326" t="s">
        <v>23</v>
      </c>
      <c r="E326">
        <v>4.5999999999999996</v>
      </c>
      <c r="F326">
        <v>2.2999999999999998</v>
      </c>
      <c r="G326">
        <v>3.03</v>
      </c>
      <c r="H326">
        <v>0.3</v>
      </c>
      <c r="I326" t="s">
        <v>18</v>
      </c>
      <c r="J326">
        <v>6</v>
      </c>
      <c r="K326">
        <v>1</v>
      </c>
      <c r="L326">
        <v>9</v>
      </c>
      <c r="M326">
        <v>0</v>
      </c>
    </row>
    <row r="327" spans="1:13" x14ac:dyDescent="0.25">
      <c r="A327">
        <v>19</v>
      </c>
      <c r="B327" t="s">
        <v>16</v>
      </c>
      <c r="C327">
        <v>1.5</v>
      </c>
      <c r="D327" t="s">
        <v>17</v>
      </c>
      <c r="E327">
        <v>7.3</v>
      </c>
      <c r="F327">
        <v>2.7</v>
      </c>
      <c r="G327">
        <v>2.61</v>
      </c>
      <c r="H327">
        <v>0.9</v>
      </c>
      <c r="I327" t="s">
        <v>18</v>
      </c>
      <c r="J327">
        <v>5</v>
      </c>
      <c r="K327">
        <v>7</v>
      </c>
      <c r="L327">
        <v>10</v>
      </c>
      <c r="M327">
        <v>0</v>
      </c>
    </row>
    <row r="328" spans="1:13" x14ac:dyDescent="0.25">
      <c r="A328">
        <v>14</v>
      </c>
      <c r="B328" t="s">
        <v>16</v>
      </c>
      <c r="C328">
        <v>5.4</v>
      </c>
      <c r="D328" t="s">
        <v>23</v>
      </c>
      <c r="E328">
        <v>8.1</v>
      </c>
      <c r="F328">
        <v>1.8</v>
      </c>
      <c r="G328">
        <v>2.5299999999999998</v>
      </c>
      <c r="H328">
        <v>0.9</v>
      </c>
      <c r="I328" t="s">
        <v>22</v>
      </c>
      <c r="J328">
        <v>5</v>
      </c>
      <c r="K328">
        <v>8</v>
      </c>
      <c r="L328">
        <v>8</v>
      </c>
      <c r="M328">
        <v>0</v>
      </c>
    </row>
    <row r="329" spans="1:13" x14ac:dyDescent="0.25">
      <c r="A329">
        <v>13</v>
      </c>
      <c r="B329" t="s">
        <v>16</v>
      </c>
      <c r="C329">
        <v>7.2</v>
      </c>
      <c r="D329" t="s">
        <v>20</v>
      </c>
      <c r="E329">
        <v>4.0999999999999996</v>
      </c>
      <c r="F329">
        <v>1.3</v>
      </c>
      <c r="G329">
        <v>2.4900000000000002</v>
      </c>
      <c r="H329">
        <v>1.8</v>
      </c>
      <c r="I329" t="s">
        <v>22</v>
      </c>
      <c r="J329">
        <v>5</v>
      </c>
      <c r="K329">
        <v>5</v>
      </c>
      <c r="L329">
        <v>4</v>
      </c>
      <c r="M329">
        <v>0</v>
      </c>
    </row>
    <row r="330" spans="1:13" x14ac:dyDescent="0.25">
      <c r="A330">
        <v>15</v>
      </c>
      <c r="B330" t="s">
        <v>19</v>
      </c>
      <c r="C330">
        <v>7</v>
      </c>
      <c r="D330" t="s">
        <v>17</v>
      </c>
      <c r="E330">
        <v>5.9</v>
      </c>
      <c r="F330">
        <v>1.3</v>
      </c>
      <c r="G330">
        <v>2.91</v>
      </c>
      <c r="H330">
        <v>1.2</v>
      </c>
      <c r="I330" t="s">
        <v>18</v>
      </c>
      <c r="J330">
        <v>10</v>
      </c>
      <c r="K330">
        <v>2</v>
      </c>
      <c r="L330">
        <v>6</v>
      </c>
      <c r="M330">
        <v>0</v>
      </c>
    </row>
    <row r="331" spans="1:13" x14ac:dyDescent="0.25">
      <c r="A331">
        <v>17</v>
      </c>
      <c r="B331" t="s">
        <v>19</v>
      </c>
      <c r="C331">
        <v>7.5</v>
      </c>
      <c r="D331" t="s">
        <v>20</v>
      </c>
      <c r="E331">
        <v>6.7</v>
      </c>
      <c r="F331">
        <v>1.1000000000000001</v>
      </c>
      <c r="G331">
        <v>3.77</v>
      </c>
      <c r="H331">
        <v>0.6</v>
      </c>
      <c r="I331" t="s">
        <v>21</v>
      </c>
      <c r="J331">
        <v>3</v>
      </c>
      <c r="K331">
        <v>8</v>
      </c>
      <c r="L331">
        <v>6</v>
      </c>
      <c r="M331">
        <v>0</v>
      </c>
    </row>
    <row r="332" spans="1:13" x14ac:dyDescent="0.25">
      <c r="A332">
        <v>14</v>
      </c>
      <c r="B332" t="s">
        <v>16</v>
      </c>
      <c r="C332">
        <v>1.4</v>
      </c>
      <c r="D332" t="s">
        <v>23</v>
      </c>
      <c r="E332">
        <v>7</v>
      </c>
      <c r="F332">
        <v>1.8</v>
      </c>
      <c r="G332">
        <v>2.69</v>
      </c>
      <c r="H332">
        <v>0.9</v>
      </c>
      <c r="I332" t="s">
        <v>18</v>
      </c>
      <c r="J332">
        <v>10</v>
      </c>
      <c r="K332">
        <v>4</v>
      </c>
      <c r="L332">
        <v>2</v>
      </c>
      <c r="M332">
        <v>0</v>
      </c>
    </row>
    <row r="333" spans="1:13" x14ac:dyDescent="0.25">
      <c r="A333">
        <v>16</v>
      </c>
      <c r="B333" t="s">
        <v>19</v>
      </c>
      <c r="C333">
        <v>6.1</v>
      </c>
      <c r="D333" t="s">
        <v>17</v>
      </c>
      <c r="E333">
        <v>8.1</v>
      </c>
      <c r="F333">
        <v>1.4</v>
      </c>
      <c r="G333">
        <v>3.27</v>
      </c>
      <c r="H333">
        <v>1.6</v>
      </c>
      <c r="I333" t="s">
        <v>18</v>
      </c>
      <c r="J333">
        <v>10</v>
      </c>
      <c r="K333">
        <v>1</v>
      </c>
      <c r="L333">
        <v>4</v>
      </c>
      <c r="M333">
        <v>0</v>
      </c>
    </row>
    <row r="334" spans="1:13" x14ac:dyDescent="0.25">
      <c r="A334">
        <v>16</v>
      </c>
      <c r="B334" t="s">
        <v>19</v>
      </c>
      <c r="C334">
        <v>1.4</v>
      </c>
      <c r="D334" t="s">
        <v>23</v>
      </c>
      <c r="E334">
        <v>5.2</v>
      </c>
      <c r="F334">
        <v>1.7</v>
      </c>
      <c r="G334">
        <v>3.82</v>
      </c>
      <c r="H334">
        <v>0.7</v>
      </c>
      <c r="I334" t="s">
        <v>18</v>
      </c>
      <c r="J334">
        <v>10</v>
      </c>
      <c r="K334">
        <v>4</v>
      </c>
      <c r="L334">
        <v>3</v>
      </c>
      <c r="M334">
        <v>0</v>
      </c>
    </row>
    <row r="335" spans="1:13" x14ac:dyDescent="0.25">
      <c r="A335">
        <v>13</v>
      </c>
      <c r="B335" t="s">
        <v>16</v>
      </c>
      <c r="C335">
        <v>5.4</v>
      </c>
      <c r="D335" t="s">
        <v>17</v>
      </c>
      <c r="E335">
        <v>4.0999999999999996</v>
      </c>
      <c r="F335">
        <v>2</v>
      </c>
      <c r="G335">
        <v>3.82</v>
      </c>
      <c r="H335">
        <v>1.9</v>
      </c>
      <c r="I335" t="s">
        <v>22</v>
      </c>
      <c r="J335">
        <v>6</v>
      </c>
      <c r="K335">
        <v>10</v>
      </c>
      <c r="L335">
        <v>8</v>
      </c>
      <c r="M335">
        <v>0</v>
      </c>
    </row>
    <row r="336" spans="1:13" x14ac:dyDescent="0.25">
      <c r="A336">
        <v>13</v>
      </c>
      <c r="B336" t="s">
        <v>19</v>
      </c>
      <c r="C336">
        <v>2.1</v>
      </c>
      <c r="D336" t="s">
        <v>17</v>
      </c>
      <c r="E336">
        <v>8.1999999999999993</v>
      </c>
      <c r="F336">
        <v>0.9</v>
      </c>
      <c r="G336">
        <v>2.48</v>
      </c>
      <c r="H336">
        <v>0.5</v>
      </c>
      <c r="I336" t="s">
        <v>21</v>
      </c>
      <c r="J336">
        <v>2</v>
      </c>
      <c r="K336">
        <v>7</v>
      </c>
      <c r="L336">
        <v>6</v>
      </c>
      <c r="M336">
        <v>0</v>
      </c>
    </row>
    <row r="337" spans="1:13" x14ac:dyDescent="0.25">
      <c r="A337">
        <v>14</v>
      </c>
      <c r="B337" t="s">
        <v>16</v>
      </c>
      <c r="C337">
        <v>5</v>
      </c>
      <c r="D337" t="s">
        <v>23</v>
      </c>
      <c r="E337">
        <v>4.3</v>
      </c>
      <c r="F337">
        <v>1.1000000000000001</v>
      </c>
      <c r="G337">
        <v>3.8</v>
      </c>
      <c r="H337">
        <v>0.4</v>
      </c>
      <c r="I337" t="s">
        <v>22</v>
      </c>
      <c r="J337">
        <v>9</v>
      </c>
      <c r="K337">
        <v>4</v>
      </c>
      <c r="L337">
        <v>10</v>
      </c>
      <c r="M337">
        <v>0</v>
      </c>
    </row>
    <row r="338" spans="1:13" x14ac:dyDescent="0.25">
      <c r="A338">
        <v>13</v>
      </c>
      <c r="B338" t="s">
        <v>19</v>
      </c>
      <c r="C338">
        <v>4.4000000000000004</v>
      </c>
      <c r="D338" t="s">
        <v>17</v>
      </c>
      <c r="E338">
        <v>4.3</v>
      </c>
      <c r="F338">
        <v>1.9</v>
      </c>
      <c r="G338">
        <v>3.51</v>
      </c>
      <c r="H338">
        <v>0.9</v>
      </c>
      <c r="I338" t="s">
        <v>22</v>
      </c>
      <c r="J338">
        <v>8</v>
      </c>
      <c r="K338">
        <v>4</v>
      </c>
      <c r="L338">
        <v>3</v>
      </c>
      <c r="M338">
        <v>0</v>
      </c>
    </row>
    <row r="339" spans="1:13" x14ac:dyDescent="0.25">
      <c r="A339">
        <v>13</v>
      </c>
      <c r="B339" t="s">
        <v>16</v>
      </c>
      <c r="C339">
        <v>3.4</v>
      </c>
      <c r="D339" t="s">
        <v>23</v>
      </c>
      <c r="E339">
        <v>8.6</v>
      </c>
      <c r="F339">
        <v>0.8</v>
      </c>
      <c r="G339">
        <v>3.08</v>
      </c>
      <c r="H339">
        <v>0.4</v>
      </c>
      <c r="I339" t="s">
        <v>18</v>
      </c>
      <c r="J339">
        <v>7</v>
      </c>
      <c r="K339">
        <v>10</v>
      </c>
      <c r="L339">
        <v>6</v>
      </c>
      <c r="M339">
        <v>0</v>
      </c>
    </row>
    <row r="340" spans="1:13" x14ac:dyDescent="0.25">
      <c r="A340">
        <v>18</v>
      </c>
      <c r="B340" t="s">
        <v>16</v>
      </c>
      <c r="C340">
        <v>1.2</v>
      </c>
      <c r="D340" t="s">
        <v>17</v>
      </c>
      <c r="E340">
        <v>6.4</v>
      </c>
      <c r="F340">
        <v>1.3</v>
      </c>
      <c r="G340">
        <v>3.03</v>
      </c>
      <c r="H340">
        <v>1</v>
      </c>
      <c r="I340" t="s">
        <v>18</v>
      </c>
      <c r="J340">
        <v>5</v>
      </c>
      <c r="K340">
        <v>9</v>
      </c>
      <c r="L340">
        <v>10</v>
      </c>
      <c r="M340">
        <v>0</v>
      </c>
    </row>
    <row r="341" spans="1:13" x14ac:dyDescent="0.25">
      <c r="A341">
        <v>14</v>
      </c>
      <c r="B341" t="s">
        <v>16</v>
      </c>
      <c r="C341">
        <v>5.5</v>
      </c>
      <c r="D341" t="s">
        <v>20</v>
      </c>
      <c r="E341">
        <v>7.3</v>
      </c>
      <c r="F341">
        <v>1.4</v>
      </c>
      <c r="G341">
        <v>2.61</v>
      </c>
      <c r="H341">
        <v>1.2</v>
      </c>
      <c r="I341" t="s">
        <v>21</v>
      </c>
      <c r="J341">
        <v>5</v>
      </c>
      <c r="K341">
        <v>7</v>
      </c>
      <c r="L341">
        <v>1</v>
      </c>
      <c r="M341">
        <v>0</v>
      </c>
    </row>
    <row r="342" spans="1:13" x14ac:dyDescent="0.25">
      <c r="A342">
        <v>15</v>
      </c>
      <c r="B342" t="s">
        <v>16</v>
      </c>
      <c r="C342">
        <v>2.2999999999999998</v>
      </c>
      <c r="D342" t="s">
        <v>23</v>
      </c>
      <c r="E342">
        <v>7.8</v>
      </c>
      <c r="F342">
        <v>3</v>
      </c>
      <c r="G342">
        <v>2.2999999999999998</v>
      </c>
      <c r="H342">
        <v>1.4</v>
      </c>
      <c r="I342" t="s">
        <v>22</v>
      </c>
      <c r="J342">
        <v>4</v>
      </c>
      <c r="K342">
        <v>9</v>
      </c>
      <c r="L342">
        <v>10</v>
      </c>
      <c r="M342">
        <v>0</v>
      </c>
    </row>
    <row r="343" spans="1:13" x14ac:dyDescent="0.25">
      <c r="A343">
        <v>13</v>
      </c>
      <c r="B343" t="s">
        <v>19</v>
      </c>
      <c r="C343">
        <v>1.4</v>
      </c>
      <c r="D343" t="s">
        <v>23</v>
      </c>
      <c r="E343">
        <v>7.4</v>
      </c>
      <c r="F343">
        <v>0.5</v>
      </c>
      <c r="G343">
        <v>2.3199999999999998</v>
      </c>
      <c r="H343">
        <v>1.3</v>
      </c>
      <c r="I343" t="s">
        <v>18</v>
      </c>
      <c r="J343">
        <v>3</v>
      </c>
      <c r="K343">
        <v>2</v>
      </c>
      <c r="L343">
        <v>6</v>
      </c>
      <c r="M343">
        <v>0</v>
      </c>
    </row>
    <row r="344" spans="1:13" x14ac:dyDescent="0.25">
      <c r="A344">
        <v>13</v>
      </c>
      <c r="B344" t="s">
        <v>19</v>
      </c>
      <c r="C344">
        <v>3</v>
      </c>
      <c r="D344" t="s">
        <v>17</v>
      </c>
      <c r="E344">
        <v>7</v>
      </c>
      <c r="F344">
        <v>0.9</v>
      </c>
      <c r="G344">
        <v>2.73</v>
      </c>
      <c r="H344">
        <v>1.7</v>
      </c>
      <c r="I344" t="s">
        <v>21</v>
      </c>
      <c r="J344">
        <v>5</v>
      </c>
      <c r="K344">
        <v>6</v>
      </c>
      <c r="L344">
        <v>9</v>
      </c>
      <c r="M344">
        <v>0</v>
      </c>
    </row>
    <row r="345" spans="1:13" x14ac:dyDescent="0.25">
      <c r="A345">
        <v>14</v>
      </c>
      <c r="B345" t="s">
        <v>16</v>
      </c>
      <c r="C345">
        <v>2.8</v>
      </c>
      <c r="D345" t="s">
        <v>17</v>
      </c>
      <c r="E345">
        <v>5</v>
      </c>
      <c r="F345">
        <v>2.5</v>
      </c>
      <c r="G345">
        <v>3.92</v>
      </c>
      <c r="H345">
        <v>1.8</v>
      </c>
      <c r="I345" t="s">
        <v>21</v>
      </c>
      <c r="J345">
        <v>1</v>
      </c>
      <c r="K345">
        <v>3</v>
      </c>
      <c r="L345">
        <v>4</v>
      </c>
      <c r="M345">
        <v>0</v>
      </c>
    </row>
    <row r="346" spans="1:13" x14ac:dyDescent="0.25">
      <c r="A346">
        <v>14</v>
      </c>
      <c r="B346" t="s">
        <v>16</v>
      </c>
      <c r="C346">
        <v>7</v>
      </c>
      <c r="D346" t="s">
        <v>20</v>
      </c>
      <c r="E346">
        <v>6.9</v>
      </c>
      <c r="F346">
        <v>1</v>
      </c>
      <c r="G346">
        <v>3.93</v>
      </c>
      <c r="H346">
        <v>1.1000000000000001</v>
      </c>
      <c r="I346" t="s">
        <v>21</v>
      </c>
      <c r="J346">
        <v>9</v>
      </c>
      <c r="K346">
        <v>3</v>
      </c>
      <c r="L346">
        <v>7</v>
      </c>
      <c r="M346">
        <v>0</v>
      </c>
    </row>
    <row r="347" spans="1:13" x14ac:dyDescent="0.25">
      <c r="A347">
        <v>13</v>
      </c>
      <c r="B347" t="s">
        <v>19</v>
      </c>
      <c r="C347">
        <v>1.6</v>
      </c>
      <c r="D347" t="s">
        <v>23</v>
      </c>
      <c r="E347">
        <v>8.4</v>
      </c>
      <c r="F347">
        <v>1.4</v>
      </c>
      <c r="G347">
        <v>3.47</v>
      </c>
      <c r="H347">
        <v>0.1</v>
      </c>
      <c r="I347" t="s">
        <v>22</v>
      </c>
      <c r="J347">
        <v>1</v>
      </c>
      <c r="K347">
        <v>6</v>
      </c>
      <c r="L347">
        <v>6</v>
      </c>
      <c r="M347">
        <v>0</v>
      </c>
    </row>
    <row r="348" spans="1:13" x14ac:dyDescent="0.25">
      <c r="A348">
        <v>15</v>
      </c>
      <c r="B348" t="s">
        <v>19</v>
      </c>
      <c r="C348">
        <v>4.2</v>
      </c>
      <c r="D348" t="s">
        <v>17</v>
      </c>
      <c r="E348">
        <v>8.4</v>
      </c>
      <c r="F348">
        <v>1.2</v>
      </c>
      <c r="G348">
        <v>2.61</v>
      </c>
      <c r="H348">
        <v>0</v>
      </c>
      <c r="I348" t="s">
        <v>22</v>
      </c>
      <c r="J348">
        <v>3</v>
      </c>
      <c r="K348">
        <v>10</v>
      </c>
      <c r="L348">
        <v>2</v>
      </c>
      <c r="M348">
        <v>0</v>
      </c>
    </row>
    <row r="349" spans="1:13" x14ac:dyDescent="0.25">
      <c r="A349">
        <v>17</v>
      </c>
      <c r="B349" t="s">
        <v>16</v>
      </c>
      <c r="C349">
        <v>4.9000000000000004</v>
      </c>
      <c r="D349" t="s">
        <v>17</v>
      </c>
      <c r="E349">
        <v>8.6</v>
      </c>
      <c r="F349">
        <v>3</v>
      </c>
      <c r="G349">
        <v>3.62</v>
      </c>
      <c r="H349">
        <v>1.2</v>
      </c>
      <c r="I349" t="s">
        <v>18</v>
      </c>
      <c r="J349">
        <v>6</v>
      </c>
      <c r="K349">
        <v>6</v>
      </c>
      <c r="L349">
        <v>9</v>
      </c>
      <c r="M349">
        <v>0</v>
      </c>
    </row>
    <row r="350" spans="1:13" x14ac:dyDescent="0.25">
      <c r="A350">
        <v>14</v>
      </c>
      <c r="B350" t="s">
        <v>19</v>
      </c>
      <c r="C350">
        <v>3.6</v>
      </c>
      <c r="D350" t="s">
        <v>17</v>
      </c>
      <c r="E350">
        <v>4.0999999999999996</v>
      </c>
      <c r="F350">
        <v>2.9</v>
      </c>
      <c r="G350">
        <v>2.83</v>
      </c>
      <c r="H350">
        <v>0.5</v>
      </c>
      <c r="I350" t="s">
        <v>22</v>
      </c>
      <c r="J350">
        <v>10</v>
      </c>
      <c r="K350">
        <v>6</v>
      </c>
      <c r="L350">
        <v>7</v>
      </c>
      <c r="M350">
        <v>0</v>
      </c>
    </row>
    <row r="351" spans="1:13" x14ac:dyDescent="0.25">
      <c r="A351">
        <v>19</v>
      </c>
      <c r="B351" t="s">
        <v>16</v>
      </c>
      <c r="C351">
        <v>1.8</v>
      </c>
      <c r="D351" t="s">
        <v>20</v>
      </c>
      <c r="E351">
        <v>6</v>
      </c>
      <c r="F351">
        <v>2.2999999999999998</v>
      </c>
      <c r="G351">
        <v>3.22</v>
      </c>
      <c r="H351">
        <v>1</v>
      </c>
      <c r="I351" t="s">
        <v>22</v>
      </c>
      <c r="J351">
        <v>5</v>
      </c>
      <c r="K351">
        <v>6</v>
      </c>
      <c r="L351">
        <v>8</v>
      </c>
      <c r="M351">
        <v>0</v>
      </c>
    </row>
    <row r="352" spans="1:13" x14ac:dyDescent="0.25">
      <c r="A352">
        <v>17</v>
      </c>
      <c r="B352" t="s">
        <v>19</v>
      </c>
      <c r="C352">
        <v>2.7</v>
      </c>
      <c r="D352" t="s">
        <v>17</v>
      </c>
      <c r="E352">
        <v>5.4</v>
      </c>
      <c r="F352">
        <v>2.6</v>
      </c>
      <c r="G352">
        <v>2.0699999999999998</v>
      </c>
      <c r="H352">
        <v>0</v>
      </c>
      <c r="I352" t="s">
        <v>22</v>
      </c>
      <c r="J352">
        <v>6</v>
      </c>
      <c r="K352">
        <v>5</v>
      </c>
      <c r="L352">
        <v>6</v>
      </c>
      <c r="M352">
        <v>0</v>
      </c>
    </row>
    <row r="353" spans="1:13" x14ac:dyDescent="0.25">
      <c r="A353">
        <v>15</v>
      </c>
      <c r="B353" t="s">
        <v>19</v>
      </c>
      <c r="C353">
        <v>1.2</v>
      </c>
      <c r="D353" t="s">
        <v>17</v>
      </c>
      <c r="E353">
        <v>5.2</v>
      </c>
      <c r="F353">
        <v>1</v>
      </c>
      <c r="G353">
        <v>2.78</v>
      </c>
      <c r="H353">
        <v>1.3</v>
      </c>
      <c r="I353" t="s">
        <v>21</v>
      </c>
      <c r="J353">
        <v>5</v>
      </c>
      <c r="K353">
        <v>8</v>
      </c>
      <c r="L353">
        <v>10</v>
      </c>
      <c r="M353">
        <v>0</v>
      </c>
    </row>
    <row r="354" spans="1:13" x14ac:dyDescent="0.25">
      <c r="A354">
        <v>18</v>
      </c>
      <c r="B354" t="s">
        <v>19</v>
      </c>
      <c r="C354">
        <v>6.2</v>
      </c>
      <c r="D354" t="s">
        <v>23</v>
      </c>
      <c r="E354">
        <v>6.7</v>
      </c>
      <c r="F354">
        <v>1.4</v>
      </c>
      <c r="G354">
        <v>3.42</v>
      </c>
      <c r="H354">
        <v>0.9</v>
      </c>
      <c r="I354" t="s">
        <v>18</v>
      </c>
      <c r="J354">
        <v>6</v>
      </c>
      <c r="K354">
        <v>8</v>
      </c>
      <c r="L354">
        <v>6</v>
      </c>
      <c r="M354">
        <v>0</v>
      </c>
    </row>
    <row r="355" spans="1:13" x14ac:dyDescent="0.25">
      <c r="A355">
        <v>18</v>
      </c>
      <c r="B355" t="s">
        <v>16</v>
      </c>
      <c r="C355">
        <v>1.6</v>
      </c>
      <c r="D355" t="s">
        <v>20</v>
      </c>
      <c r="E355">
        <v>6.2</v>
      </c>
      <c r="F355">
        <v>1.9</v>
      </c>
      <c r="G355">
        <v>2.0499999999999998</v>
      </c>
      <c r="H355">
        <v>0.3</v>
      </c>
      <c r="I355" t="s">
        <v>18</v>
      </c>
      <c r="J355">
        <v>8</v>
      </c>
      <c r="K355">
        <v>9</v>
      </c>
      <c r="L355">
        <v>9</v>
      </c>
      <c r="M355">
        <v>0</v>
      </c>
    </row>
    <row r="356" spans="1:13" x14ac:dyDescent="0.25">
      <c r="A356">
        <v>18</v>
      </c>
      <c r="B356" t="s">
        <v>19</v>
      </c>
      <c r="C356">
        <v>5.0999999999999996</v>
      </c>
      <c r="D356" t="s">
        <v>20</v>
      </c>
      <c r="E356">
        <v>7.4</v>
      </c>
      <c r="F356">
        <v>1.3</v>
      </c>
      <c r="G356">
        <v>3.5</v>
      </c>
      <c r="H356">
        <v>1.6</v>
      </c>
      <c r="I356" t="s">
        <v>21</v>
      </c>
      <c r="J356">
        <v>1</v>
      </c>
      <c r="K356">
        <v>5</v>
      </c>
      <c r="L356">
        <v>5</v>
      </c>
      <c r="M356">
        <v>0</v>
      </c>
    </row>
    <row r="357" spans="1:13" x14ac:dyDescent="0.25">
      <c r="A357">
        <v>13</v>
      </c>
      <c r="B357" t="s">
        <v>19</v>
      </c>
      <c r="C357">
        <v>5.2</v>
      </c>
      <c r="D357" t="s">
        <v>20</v>
      </c>
      <c r="E357">
        <v>8.1999999999999993</v>
      </c>
      <c r="F357">
        <v>2.8</v>
      </c>
      <c r="G357">
        <v>2.12</v>
      </c>
      <c r="H357">
        <v>1.4</v>
      </c>
      <c r="I357" t="s">
        <v>22</v>
      </c>
      <c r="J357">
        <v>1</v>
      </c>
      <c r="K357">
        <v>8</v>
      </c>
      <c r="L357">
        <v>1</v>
      </c>
      <c r="M357">
        <v>0</v>
      </c>
    </row>
    <row r="358" spans="1:13" x14ac:dyDescent="0.25">
      <c r="A358">
        <v>14</v>
      </c>
      <c r="B358" t="s">
        <v>16</v>
      </c>
      <c r="C358">
        <v>4.0999999999999996</v>
      </c>
      <c r="D358" t="s">
        <v>20</v>
      </c>
      <c r="E358">
        <v>5.0999999999999996</v>
      </c>
      <c r="F358">
        <v>2</v>
      </c>
      <c r="G358">
        <v>3.51</v>
      </c>
      <c r="H358">
        <v>0.7</v>
      </c>
      <c r="I358" t="s">
        <v>21</v>
      </c>
      <c r="J358">
        <v>2</v>
      </c>
      <c r="K358">
        <v>9</v>
      </c>
      <c r="L358">
        <v>1</v>
      </c>
      <c r="M358">
        <v>0</v>
      </c>
    </row>
    <row r="359" spans="1:13" x14ac:dyDescent="0.25">
      <c r="A359">
        <v>19</v>
      </c>
      <c r="B359" t="s">
        <v>19</v>
      </c>
      <c r="C359">
        <v>5.4</v>
      </c>
      <c r="D359" t="s">
        <v>20</v>
      </c>
      <c r="E359">
        <v>4.4000000000000004</v>
      </c>
      <c r="F359">
        <v>2.2999999999999998</v>
      </c>
      <c r="G359">
        <v>3.34</v>
      </c>
      <c r="H359">
        <v>0.4</v>
      </c>
      <c r="I359" t="s">
        <v>21</v>
      </c>
      <c r="J359">
        <v>3</v>
      </c>
      <c r="K359">
        <v>3</v>
      </c>
      <c r="L359">
        <v>8</v>
      </c>
      <c r="M359">
        <v>0</v>
      </c>
    </row>
    <row r="360" spans="1:13" x14ac:dyDescent="0.25">
      <c r="A360">
        <v>13</v>
      </c>
      <c r="B360" t="s">
        <v>16</v>
      </c>
      <c r="C360">
        <v>2.4</v>
      </c>
      <c r="D360" t="s">
        <v>20</v>
      </c>
      <c r="E360">
        <v>8.4</v>
      </c>
      <c r="F360">
        <v>1.6</v>
      </c>
      <c r="G360">
        <v>2.82</v>
      </c>
      <c r="H360">
        <v>1.1000000000000001</v>
      </c>
      <c r="I360" t="s">
        <v>18</v>
      </c>
      <c r="J360">
        <v>1</v>
      </c>
      <c r="K360">
        <v>3</v>
      </c>
      <c r="L360">
        <v>2</v>
      </c>
      <c r="M360">
        <v>0</v>
      </c>
    </row>
    <row r="361" spans="1:13" x14ac:dyDescent="0.25">
      <c r="A361">
        <v>18</v>
      </c>
      <c r="B361" t="s">
        <v>16</v>
      </c>
      <c r="C361">
        <v>1.7</v>
      </c>
      <c r="D361" t="s">
        <v>23</v>
      </c>
      <c r="E361">
        <v>5.6</v>
      </c>
      <c r="F361">
        <v>1.4</v>
      </c>
      <c r="G361">
        <v>2.85</v>
      </c>
      <c r="H361">
        <v>1</v>
      </c>
      <c r="I361" t="s">
        <v>21</v>
      </c>
      <c r="J361">
        <v>3</v>
      </c>
      <c r="K361">
        <v>3</v>
      </c>
      <c r="L361">
        <v>7</v>
      </c>
      <c r="M361">
        <v>0</v>
      </c>
    </row>
    <row r="362" spans="1:13" x14ac:dyDescent="0.25">
      <c r="A362">
        <v>18</v>
      </c>
      <c r="B362" t="s">
        <v>16</v>
      </c>
      <c r="C362">
        <v>6</v>
      </c>
      <c r="D362" t="s">
        <v>23</v>
      </c>
      <c r="E362">
        <v>6.1</v>
      </c>
      <c r="F362">
        <v>0.9</v>
      </c>
      <c r="G362">
        <v>2.68</v>
      </c>
      <c r="H362">
        <v>0.3</v>
      </c>
      <c r="I362" t="s">
        <v>22</v>
      </c>
      <c r="J362">
        <v>2</v>
      </c>
      <c r="K362">
        <v>10</v>
      </c>
      <c r="L362">
        <v>10</v>
      </c>
      <c r="M362">
        <v>0</v>
      </c>
    </row>
    <row r="363" spans="1:13" x14ac:dyDescent="0.25">
      <c r="A363">
        <v>17</v>
      </c>
      <c r="B363" t="s">
        <v>16</v>
      </c>
      <c r="C363">
        <v>7.2</v>
      </c>
      <c r="D363" t="s">
        <v>23</v>
      </c>
      <c r="E363">
        <v>6.1</v>
      </c>
      <c r="F363">
        <v>0.8</v>
      </c>
      <c r="G363">
        <v>3.9</v>
      </c>
      <c r="H363">
        <v>0.2</v>
      </c>
      <c r="I363" t="s">
        <v>18</v>
      </c>
      <c r="J363">
        <v>8</v>
      </c>
      <c r="K363">
        <v>3</v>
      </c>
      <c r="L363">
        <v>7</v>
      </c>
      <c r="M363">
        <v>0</v>
      </c>
    </row>
    <row r="364" spans="1:13" x14ac:dyDescent="0.25">
      <c r="A364">
        <v>18</v>
      </c>
      <c r="B364" t="s">
        <v>16</v>
      </c>
      <c r="C364">
        <v>3.5</v>
      </c>
      <c r="D364" t="s">
        <v>20</v>
      </c>
      <c r="E364">
        <v>6.3</v>
      </c>
      <c r="F364">
        <v>2.9</v>
      </c>
      <c r="G364">
        <v>3.35</v>
      </c>
      <c r="H364">
        <v>1.6</v>
      </c>
      <c r="I364" t="s">
        <v>21</v>
      </c>
      <c r="J364">
        <v>1</v>
      </c>
      <c r="K364">
        <v>4</v>
      </c>
      <c r="L364">
        <v>2</v>
      </c>
      <c r="M364">
        <v>0</v>
      </c>
    </row>
    <row r="365" spans="1:13" x14ac:dyDescent="0.25">
      <c r="A365">
        <v>15</v>
      </c>
      <c r="B365" t="s">
        <v>19</v>
      </c>
      <c r="C365">
        <v>3.8</v>
      </c>
      <c r="D365" t="s">
        <v>17</v>
      </c>
      <c r="E365">
        <v>4.4000000000000004</v>
      </c>
      <c r="F365">
        <v>1.9</v>
      </c>
      <c r="G365">
        <v>2.04</v>
      </c>
      <c r="H365">
        <v>0.5</v>
      </c>
      <c r="I365" t="s">
        <v>22</v>
      </c>
      <c r="J365">
        <v>4</v>
      </c>
      <c r="K365">
        <v>9</v>
      </c>
      <c r="L365">
        <v>7</v>
      </c>
      <c r="M365">
        <v>0</v>
      </c>
    </row>
    <row r="366" spans="1:13" x14ac:dyDescent="0.25">
      <c r="A366">
        <v>18</v>
      </c>
      <c r="B366" t="s">
        <v>19</v>
      </c>
      <c r="C366">
        <v>4.5</v>
      </c>
      <c r="D366" t="s">
        <v>23</v>
      </c>
      <c r="E366">
        <v>8</v>
      </c>
      <c r="F366">
        <v>1.5</v>
      </c>
      <c r="G366">
        <v>3.45</v>
      </c>
      <c r="H366">
        <v>1</v>
      </c>
      <c r="I366" t="s">
        <v>18</v>
      </c>
      <c r="J366">
        <v>4</v>
      </c>
      <c r="K366">
        <v>3</v>
      </c>
      <c r="L366">
        <v>9</v>
      </c>
      <c r="M366">
        <v>0</v>
      </c>
    </row>
    <row r="367" spans="1:13" x14ac:dyDescent="0.25">
      <c r="A367">
        <v>16</v>
      </c>
      <c r="B367" t="s">
        <v>19</v>
      </c>
      <c r="C367">
        <v>7.3</v>
      </c>
      <c r="D367" t="s">
        <v>23</v>
      </c>
      <c r="E367">
        <v>7.2</v>
      </c>
      <c r="F367">
        <v>0.5</v>
      </c>
      <c r="G367">
        <v>2.78</v>
      </c>
      <c r="H367">
        <v>1.9</v>
      </c>
      <c r="I367" t="s">
        <v>18</v>
      </c>
      <c r="J367">
        <v>7</v>
      </c>
      <c r="K367">
        <v>3</v>
      </c>
      <c r="L367">
        <v>9</v>
      </c>
      <c r="M367">
        <v>0</v>
      </c>
    </row>
    <row r="368" spans="1:13" x14ac:dyDescent="0.25">
      <c r="A368">
        <v>18</v>
      </c>
      <c r="B368" t="s">
        <v>19</v>
      </c>
      <c r="C368">
        <v>6.4</v>
      </c>
      <c r="D368" t="s">
        <v>17</v>
      </c>
      <c r="E368">
        <v>7.7</v>
      </c>
      <c r="F368">
        <v>0.5</v>
      </c>
      <c r="G368">
        <v>3.05</v>
      </c>
      <c r="H368">
        <v>1.2</v>
      </c>
      <c r="I368" t="s">
        <v>18</v>
      </c>
      <c r="J368">
        <v>3</v>
      </c>
      <c r="K368">
        <v>1</v>
      </c>
      <c r="L368">
        <v>2</v>
      </c>
      <c r="M368">
        <v>0</v>
      </c>
    </row>
    <row r="369" spans="1:13" x14ac:dyDescent="0.25">
      <c r="A369">
        <v>16</v>
      </c>
      <c r="B369" t="s">
        <v>16</v>
      </c>
      <c r="C369">
        <v>5.3</v>
      </c>
      <c r="D369" t="s">
        <v>20</v>
      </c>
      <c r="E369">
        <v>8.4</v>
      </c>
      <c r="F369">
        <v>2.2000000000000002</v>
      </c>
      <c r="G369">
        <v>2.81</v>
      </c>
      <c r="H369">
        <v>0.6</v>
      </c>
      <c r="I369" t="s">
        <v>21</v>
      </c>
      <c r="J369">
        <v>2</v>
      </c>
      <c r="K369">
        <v>8</v>
      </c>
      <c r="L369">
        <v>8</v>
      </c>
      <c r="M369">
        <v>0</v>
      </c>
    </row>
    <row r="370" spans="1:13" x14ac:dyDescent="0.25">
      <c r="A370">
        <v>13</v>
      </c>
      <c r="B370" t="s">
        <v>16</v>
      </c>
      <c r="C370">
        <v>2.4</v>
      </c>
      <c r="D370" t="s">
        <v>17</v>
      </c>
      <c r="E370">
        <v>7.1</v>
      </c>
      <c r="F370">
        <v>0.7</v>
      </c>
      <c r="G370">
        <v>3.64</v>
      </c>
      <c r="H370">
        <v>1.1000000000000001</v>
      </c>
      <c r="I370" t="s">
        <v>21</v>
      </c>
      <c r="J370">
        <v>6</v>
      </c>
      <c r="K370">
        <v>5</v>
      </c>
      <c r="L370">
        <v>5</v>
      </c>
      <c r="M370">
        <v>0</v>
      </c>
    </row>
    <row r="371" spans="1:13" x14ac:dyDescent="0.25">
      <c r="A371">
        <v>13</v>
      </c>
      <c r="B371" t="s">
        <v>16</v>
      </c>
      <c r="C371">
        <v>8</v>
      </c>
      <c r="D371" t="s">
        <v>23</v>
      </c>
      <c r="E371">
        <v>8.9</v>
      </c>
      <c r="F371">
        <v>2.2000000000000002</v>
      </c>
      <c r="G371">
        <v>3.82</v>
      </c>
      <c r="H371">
        <v>1.2</v>
      </c>
      <c r="I371" t="s">
        <v>18</v>
      </c>
      <c r="J371">
        <v>8</v>
      </c>
      <c r="K371">
        <v>8</v>
      </c>
      <c r="L371">
        <v>4</v>
      </c>
      <c r="M371">
        <v>0</v>
      </c>
    </row>
    <row r="372" spans="1:13" x14ac:dyDescent="0.25">
      <c r="A372">
        <v>15</v>
      </c>
      <c r="B372" t="s">
        <v>16</v>
      </c>
      <c r="C372">
        <v>7.3</v>
      </c>
      <c r="D372" t="s">
        <v>23</v>
      </c>
      <c r="E372">
        <v>4.4000000000000004</v>
      </c>
      <c r="F372">
        <v>2.2999999999999998</v>
      </c>
      <c r="G372">
        <v>2.76</v>
      </c>
      <c r="H372">
        <v>1.8</v>
      </c>
      <c r="I372" t="s">
        <v>22</v>
      </c>
      <c r="J372">
        <v>4</v>
      </c>
      <c r="K372">
        <v>6</v>
      </c>
      <c r="L372">
        <v>9</v>
      </c>
      <c r="M372">
        <v>0</v>
      </c>
    </row>
    <row r="373" spans="1:13" x14ac:dyDescent="0.25">
      <c r="A373">
        <v>17</v>
      </c>
      <c r="B373" t="s">
        <v>19</v>
      </c>
      <c r="C373">
        <v>4.5</v>
      </c>
      <c r="D373" t="s">
        <v>23</v>
      </c>
      <c r="E373">
        <v>7.3</v>
      </c>
      <c r="F373">
        <v>0.9</v>
      </c>
      <c r="G373">
        <v>2.34</v>
      </c>
      <c r="H373">
        <v>0.9</v>
      </c>
      <c r="I373" t="s">
        <v>22</v>
      </c>
      <c r="J373">
        <v>7</v>
      </c>
      <c r="K373">
        <v>3</v>
      </c>
      <c r="L373">
        <v>8</v>
      </c>
      <c r="M373">
        <v>0</v>
      </c>
    </row>
    <row r="374" spans="1:13" x14ac:dyDescent="0.25">
      <c r="A374">
        <v>19</v>
      </c>
      <c r="B374" t="s">
        <v>16</v>
      </c>
      <c r="C374">
        <v>5</v>
      </c>
      <c r="D374" t="s">
        <v>23</v>
      </c>
      <c r="E374">
        <v>9</v>
      </c>
      <c r="F374">
        <v>2.4</v>
      </c>
      <c r="G374">
        <v>2.5299999999999998</v>
      </c>
      <c r="H374">
        <v>0.4</v>
      </c>
      <c r="I374" t="s">
        <v>22</v>
      </c>
      <c r="J374">
        <v>7</v>
      </c>
      <c r="K374">
        <v>2</v>
      </c>
      <c r="L374">
        <v>10</v>
      </c>
      <c r="M374">
        <v>0</v>
      </c>
    </row>
    <row r="375" spans="1:13" x14ac:dyDescent="0.25">
      <c r="A375">
        <v>16</v>
      </c>
      <c r="B375" t="s">
        <v>19</v>
      </c>
      <c r="C375">
        <v>5.7</v>
      </c>
      <c r="D375" t="s">
        <v>23</v>
      </c>
      <c r="E375">
        <v>4.2</v>
      </c>
      <c r="F375">
        <v>1.4</v>
      </c>
      <c r="G375">
        <v>2.56</v>
      </c>
      <c r="H375">
        <v>0.1</v>
      </c>
      <c r="I375" t="s">
        <v>21</v>
      </c>
      <c r="J375">
        <v>4</v>
      </c>
      <c r="K375">
        <v>3</v>
      </c>
      <c r="L375">
        <v>1</v>
      </c>
      <c r="M375">
        <v>0</v>
      </c>
    </row>
    <row r="376" spans="1:13" x14ac:dyDescent="0.25">
      <c r="A376">
        <v>18</v>
      </c>
      <c r="B376" t="s">
        <v>19</v>
      </c>
      <c r="C376">
        <v>2.9</v>
      </c>
      <c r="D376" t="s">
        <v>17</v>
      </c>
      <c r="E376">
        <v>8.4</v>
      </c>
      <c r="F376">
        <v>2.6</v>
      </c>
      <c r="G376">
        <v>2.57</v>
      </c>
      <c r="H376">
        <v>1.8</v>
      </c>
      <c r="I376" t="s">
        <v>22</v>
      </c>
      <c r="J376">
        <v>4</v>
      </c>
      <c r="K376">
        <v>1</v>
      </c>
      <c r="L376">
        <v>3</v>
      </c>
      <c r="M376">
        <v>0</v>
      </c>
    </row>
    <row r="377" spans="1:13" x14ac:dyDescent="0.25">
      <c r="A377">
        <v>13</v>
      </c>
      <c r="B377" t="s">
        <v>16</v>
      </c>
      <c r="C377">
        <v>7.9</v>
      </c>
      <c r="D377" t="s">
        <v>17</v>
      </c>
      <c r="E377">
        <v>8.8000000000000007</v>
      </c>
      <c r="F377">
        <v>2.2999999999999998</v>
      </c>
      <c r="G377">
        <v>3.39</v>
      </c>
      <c r="H377">
        <v>0.5</v>
      </c>
      <c r="I377" t="s">
        <v>18</v>
      </c>
      <c r="J377">
        <v>1</v>
      </c>
      <c r="K377">
        <v>9</v>
      </c>
      <c r="L377">
        <v>3</v>
      </c>
      <c r="M377">
        <v>0</v>
      </c>
    </row>
    <row r="378" spans="1:13" x14ac:dyDescent="0.25">
      <c r="A378">
        <v>19</v>
      </c>
      <c r="B378" t="s">
        <v>16</v>
      </c>
      <c r="C378">
        <v>4.8</v>
      </c>
      <c r="D378" t="s">
        <v>20</v>
      </c>
      <c r="E378">
        <v>5</v>
      </c>
      <c r="F378">
        <v>2.6</v>
      </c>
      <c r="G378">
        <v>3.25</v>
      </c>
      <c r="H378">
        <v>1.6</v>
      </c>
      <c r="I378" t="s">
        <v>18</v>
      </c>
      <c r="J378">
        <v>4</v>
      </c>
      <c r="K378">
        <v>6</v>
      </c>
      <c r="L378">
        <v>1</v>
      </c>
      <c r="M378">
        <v>0</v>
      </c>
    </row>
    <row r="379" spans="1:13" x14ac:dyDescent="0.25">
      <c r="A379">
        <v>13</v>
      </c>
      <c r="B379" t="s">
        <v>19</v>
      </c>
      <c r="C379">
        <v>3</v>
      </c>
      <c r="D379" t="s">
        <v>23</v>
      </c>
      <c r="E379">
        <v>6</v>
      </c>
      <c r="F379">
        <v>1</v>
      </c>
      <c r="G379">
        <v>2.63</v>
      </c>
      <c r="H379">
        <v>0.1</v>
      </c>
      <c r="I379" t="s">
        <v>18</v>
      </c>
      <c r="J379">
        <v>5</v>
      </c>
      <c r="K379">
        <v>10</v>
      </c>
      <c r="L379">
        <v>9</v>
      </c>
      <c r="M379">
        <v>0</v>
      </c>
    </row>
    <row r="380" spans="1:13" x14ac:dyDescent="0.25">
      <c r="A380">
        <v>14</v>
      </c>
      <c r="B380" t="s">
        <v>19</v>
      </c>
      <c r="C380">
        <v>4.0999999999999996</v>
      </c>
      <c r="D380" t="s">
        <v>23</v>
      </c>
      <c r="E380">
        <v>6.4</v>
      </c>
      <c r="F380">
        <v>2</v>
      </c>
      <c r="G380">
        <v>3.69</v>
      </c>
      <c r="H380">
        <v>1.5</v>
      </c>
      <c r="I380" t="s">
        <v>22</v>
      </c>
      <c r="J380">
        <v>7</v>
      </c>
      <c r="K380">
        <v>7</v>
      </c>
      <c r="L380">
        <v>9</v>
      </c>
      <c r="M380">
        <v>0</v>
      </c>
    </row>
    <row r="381" spans="1:13" x14ac:dyDescent="0.25">
      <c r="A381">
        <v>19</v>
      </c>
      <c r="B381" t="s">
        <v>16</v>
      </c>
      <c r="C381">
        <v>6.9</v>
      </c>
      <c r="D381" t="s">
        <v>17</v>
      </c>
      <c r="E381">
        <v>5</v>
      </c>
      <c r="F381">
        <v>1.2</v>
      </c>
      <c r="G381">
        <v>2.56</v>
      </c>
      <c r="H381">
        <v>1.6</v>
      </c>
      <c r="I381" t="s">
        <v>21</v>
      </c>
      <c r="J381">
        <v>3</v>
      </c>
      <c r="K381">
        <v>10</v>
      </c>
      <c r="L381">
        <v>8</v>
      </c>
      <c r="M381">
        <v>0</v>
      </c>
    </row>
    <row r="382" spans="1:13" x14ac:dyDescent="0.25">
      <c r="A382">
        <v>17</v>
      </c>
      <c r="B382" t="s">
        <v>19</v>
      </c>
      <c r="C382">
        <v>3.2</v>
      </c>
      <c r="D382" t="s">
        <v>17</v>
      </c>
      <c r="E382">
        <v>6.2</v>
      </c>
      <c r="F382">
        <v>2.2000000000000002</v>
      </c>
      <c r="G382">
        <v>2.96</v>
      </c>
      <c r="H382">
        <v>1.6</v>
      </c>
      <c r="I382" t="s">
        <v>18</v>
      </c>
      <c r="J382">
        <v>8</v>
      </c>
      <c r="K382">
        <v>10</v>
      </c>
      <c r="L382">
        <v>9</v>
      </c>
      <c r="M382">
        <v>0</v>
      </c>
    </row>
    <row r="383" spans="1:13" x14ac:dyDescent="0.25">
      <c r="A383">
        <v>18</v>
      </c>
      <c r="B383" t="s">
        <v>19</v>
      </c>
      <c r="C383">
        <v>1.3</v>
      </c>
      <c r="D383" t="s">
        <v>23</v>
      </c>
      <c r="E383">
        <v>4.9000000000000004</v>
      </c>
      <c r="F383">
        <v>0.9</v>
      </c>
      <c r="G383">
        <v>3.86</v>
      </c>
      <c r="H383">
        <v>0</v>
      </c>
      <c r="I383" t="s">
        <v>22</v>
      </c>
      <c r="J383">
        <v>4</v>
      </c>
      <c r="K383">
        <v>9</v>
      </c>
      <c r="L383">
        <v>8</v>
      </c>
      <c r="M383">
        <v>0</v>
      </c>
    </row>
    <row r="384" spans="1:13" x14ac:dyDescent="0.25">
      <c r="A384">
        <v>15</v>
      </c>
      <c r="B384" t="s">
        <v>19</v>
      </c>
      <c r="C384">
        <v>4.2</v>
      </c>
      <c r="D384" t="s">
        <v>20</v>
      </c>
      <c r="E384">
        <v>6.8</v>
      </c>
      <c r="F384">
        <v>1.1000000000000001</v>
      </c>
      <c r="G384">
        <v>3.37</v>
      </c>
      <c r="H384">
        <v>0.7</v>
      </c>
      <c r="I384" t="s">
        <v>21</v>
      </c>
      <c r="J384">
        <v>3</v>
      </c>
      <c r="K384">
        <v>6</v>
      </c>
      <c r="L384">
        <v>8</v>
      </c>
      <c r="M384">
        <v>0</v>
      </c>
    </row>
    <row r="385" spans="1:13" x14ac:dyDescent="0.25">
      <c r="A385">
        <v>19</v>
      </c>
      <c r="B385" t="s">
        <v>16</v>
      </c>
      <c r="C385">
        <v>6.6</v>
      </c>
      <c r="D385" t="s">
        <v>23</v>
      </c>
      <c r="E385">
        <v>6</v>
      </c>
      <c r="F385">
        <v>2.1</v>
      </c>
      <c r="G385">
        <v>2.84</v>
      </c>
      <c r="H385">
        <v>1.5</v>
      </c>
      <c r="I385" t="s">
        <v>18</v>
      </c>
      <c r="J385">
        <v>9</v>
      </c>
      <c r="K385">
        <v>4</v>
      </c>
      <c r="L385">
        <v>5</v>
      </c>
      <c r="M385">
        <v>0</v>
      </c>
    </row>
    <row r="386" spans="1:13" x14ac:dyDescent="0.25">
      <c r="A386">
        <v>13</v>
      </c>
      <c r="B386" t="s">
        <v>16</v>
      </c>
      <c r="C386">
        <v>7.5</v>
      </c>
      <c r="D386" t="s">
        <v>20</v>
      </c>
      <c r="E386">
        <v>4.8</v>
      </c>
      <c r="F386">
        <v>0.7</v>
      </c>
      <c r="G386">
        <v>2.91</v>
      </c>
      <c r="H386">
        <v>2</v>
      </c>
      <c r="I386" t="s">
        <v>21</v>
      </c>
      <c r="J386">
        <v>10</v>
      </c>
      <c r="K386">
        <v>9</v>
      </c>
      <c r="L386">
        <v>1</v>
      </c>
      <c r="M386">
        <v>1</v>
      </c>
    </row>
    <row r="387" spans="1:13" x14ac:dyDescent="0.25">
      <c r="A387">
        <v>15</v>
      </c>
      <c r="B387" t="s">
        <v>16</v>
      </c>
      <c r="C387">
        <v>7</v>
      </c>
      <c r="D387" t="s">
        <v>23</v>
      </c>
      <c r="E387">
        <v>8.6999999999999993</v>
      </c>
      <c r="F387">
        <v>3</v>
      </c>
      <c r="G387">
        <v>2.84</v>
      </c>
      <c r="H387">
        <v>1.4</v>
      </c>
      <c r="I387" t="s">
        <v>22</v>
      </c>
      <c r="J387">
        <v>5</v>
      </c>
      <c r="K387">
        <v>3</v>
      </c>
      <c r="L387">
        <v>2</v>
      </c>
      <c r="M387">
        <v>0</v>
      </c>
    </row>
    <row r="388" spans="1:13" x14ac:dyDescent="0.25">
      <c r="A388">
        <v>15</v>
      </c>
      <c r="B388" t="s">
        <v>19</v>
      </c>
      <c r="C388">
        <v>6.7</v>
      </c>
      <c r="D388" t="s">
        <v>23</v>
      </c>
      <c r="E388">
        <v>5</v>
      </c>
      <c r="F388">
        <v>0.6</v>
      </c>
      <c r="G388">
        <v>2.75</v>
      </c>
      <c r="H388">
        <v>1.5</v>
      </c>
      <c r="I388" t="s">
        <v>22</v>
      </c>
      <c r="J388">
        <v>7</v>
      </c>
      <c r="K388">
        <v>4</v>
      </c>
      <c r="L388">
        <v>8</v>
      </c>
      <c r="M388">
        <v>0</v>
      </c>
    </row>
    <row r="389" spans="1:13" x14ac:dyDescent="0.25">
      <c r="A389">
        <v>15</v>
      </c>
      <c r="B389" t="s">
        <v>19</v>
      </c>
      <c r="C389">
        <v>2.2999999999999998</v>
      </c>
      <c r="D389" t="s">
        <v>17</v>
      </c>
      <c r="E389">
        <v>5.6</v>
      </c>
      <c r="F389">
        <v>2.9</v>
      </c>
      <c r="G389">
        <v>2.72</v>
      </c>
      <c r="H389">
        <v>1</v>
      </c>
      <c r="I389" t="s">
        <v>21</v>
      </c>
      <c r="J389">
        <v>6</v>
      </c>
      <c r="K389">
        <v>6</v>
      </c>
      <c r="L389">
        <v>2</v>
      </c>
      <c r="M389">
        <v>0</v>
      </c>
    </row>
    <row r="390" spans="1:13" x14ac:dyDescent="0.25">
      <c r="A390">
        <v>14</v>
      </c>
      <c r="B390" t="s">
        <v>16</v>
      </c>
      <c r="C390">
        <v>5.3</v>
      </c>
      <c r="D390" t="s">
        <v>23</v>
      </c>
      <c r="E390">
        <v>9</v>
      </c>
      <c r="F390">
        <v>2.8</v>
      </c>
      <c r="G390">
        <v>3.1</v>
      </c>
      <c r="H390">
        <v>1.6</v>
      </c>
      <c r="I390" t="s">
        <v>21</v>
      </c>
      <c r="J390">
        <v>10</v>
      </c>
      <c r="K390">
        <v>7</v>
      </c>
      <c r="L390">
        <v>6</v>
      </c>
      <c r="M390">
        <v>0</v>
      </c>
    </row>
    <row r="391" spans="1:13" x14ac:dyDescent="0.25">
      <c r="A391">
        <v>13</v>
      </c>
      <c r="B391" t="s">
        <v>19</v>
      </c>
      <c r="C391">
        <v>2.7</v>
      </c>
      <c r="D391" t="s">
        <v>20</v>
      </c>
      <c r="E391">
        <v>6.5</v>
      </c>
      <c r="F391">
        <v>1.5</v>
      </c>
      <c r="G391">
        <v>2.58</v>
      </c>
      <c r="H391">
        <v>0.4</v>
      </c>
      <c r="I391" t="s">
        <v>21</v>
      </c>
      <c r="J391">
        <v>1</v>
      </c>
      <c r="K391">
        <v>1</v>
      </c>
      <c r="L391">
        <v>6</v>
      </c>
      <c r="M391">
        <v>0</v>
      </c>
    </row>
    <row r="392" spans="1:13" x14ac:dyDescent="0.25">
      <c r="A392">
        <v>13</v>
      </c>
      <c r="B392" t="s">
        <v>16</v>
      </c>
      <c r="C392">
        <v>5.4</v>
      </c>
      <c r="D392" t="s">
        <v>17</v>
      </c>
      <c r="E392">
        <v>7.8</v>
      </c>
      <c r="F392">
        <v>1.8</v>
      </c>
      <c r="G392">
        <v>3.46</v>
      </c>
      <c r="H392">
        <v>1</v>
      </c>
      <c r="I392" t="s">
        <v>21</v>
      </c>
      <c r="J392">
        <v>4</v>
      </c>
      <c r="K392">
        <v>7</v>
      </c>
      <c r="L392">
        <v>7</v>
      </c>
      <c r="M392">
        <v>0</v>
      </c>
    </row>
    <row r="393" spans="1:13" x14ac:dyDescent="0.25">
      <c r="A393">
        <v>17</v>
      </c>
      <c r="B393" t="s">
        <v>16</v>
      </c>
      <c r="C393">
        <v>7.2</v>
      </c>
      <c r="D393" t="s">
        <v>17</v>
      </c>
      <c r="E393">
        <v>8</v>
      </c>
      <c r="F393">
        <v>1.9</v>
      </c>
      <c r="G393">
        <v>2.66</v>
      </c>
      <c r="H393">
        <v>1.4</v>
      </c>
      <c r="I393" t="s">
        <v>22</v>
      </c>
      <c r="J393">
        <v>5</v>
      </c>
      <c r="K393">
        <v>8</v>
      </c>
      <c r="L393">
        <v>6</v>
      </c>
      <c r="M393">
        <v>0</v>
      </c>
    </row>
    <row r="394" spans="1:13" x14ac:dyDescent="0.25">
      <c r="A394">
        <v>19</v>
      </c>
      <c r="B394" t="s">
        <v>16</v>
      </c>
      <c r="C394">
        <v>1.5</v>
      </c>
      <c r="D394" t="s">
        <v>20</v>
      </c>
      <c r="E394">
        <v>6.8</v>
      </c>
      <c r="F394">
        <v>2.5</v>
      </c>
      <c r="G394">
        <v>2.13</v>
      </c>
      <c r="H394">
        <v>0.2</v>
      </c>
      <c r="I394" t="s">
        <v>22</v>
      </c>
      <c r="J394">
        <v>9</v>
      </c>
      <c r="K394">
        <v>8</v>
      </c>
      <c r="L394">
        <v>10</v>
      </c>
      <c r="M394">
        <v>0</v>
      </c>
    </row>
    <row r="395" spans="1:13" x14ac:dyDescent="0.25">
      <c r="A395">
        <v>13</v>
      </c>
      <c r="B395" t="s">
        <v>16</v>
      </c>
      <c r="C395">
        <v>4</v>
      </c>
      <c r="D395" t="s">
        <v>23</v>
      </c>
      <c r="E395">
        <v>4.2</v>
      </c>
      <c r="F395">
        <v>0.5</v>
      </c>
      <c r="G395">
        <v>2.46</v>
      </c>
      <c r="H395">
        <v>0.6</v>
      </c>
      <c r="I395" t="s">
        <v>18</v>
      </c>
      <c r="J395">
        <v>2</v>
      </c>
      <c r="K395">
        <v>9</v>
      </c>
      <c r="L395">
        <v>9</v>
      </c>
      <c r="M395">
        <v>0</v>
      </c>
    </row>
    <row r="396" spans="1:13" x14ac:dyDescent="0.25">
      <c r="A396">
        <v>15</v>
      </c>
      <c r="B396" t="s">
        <v>19</v>
      </c>
      <c r="C396">
        <v>4.2</v>
      </c>
      <c r="D396" t="s">
        <v>23</v>
      </c>
      <c r="E396">
        <v>7.1</v>
      </c>
      <c r="F396">
        <v>2.1</v>
      </c>
      <c r="G396">
        <v>2.21</v>
      </c>
      <c r="H396">
        <v>1.8</v>
      </c>
      <c r="I396" t="s">
        <v>22</v>
      </c>
      <c r="J396">
        <v>4</v>
      </c>
      <c r="K396">
        <v>1</v>
      </c>
      <c r="L396">
        <v>3</v>
      </c>
      <c r="M396">
        <v>0</v>
      </c>
    </row>
    <row r="397" spans="1:13" x14ac:dyDescent="0.25">
      <c r="A397">
        <v>19</v>
      </c>
      <c r="B397" t="s">
        <v>16</v>
      </c>
      <c r="C397">
        <v>1.8</v>
      </c>
      <c r="D397" t="s">
        <v>20</v>
      </c>
      <c r="E397">
        <v>7.7</v>
      </c>
      <c r="F397">
        <v>2.2000000000000002</v>
      </c>
      <c r="G397">
        <v>3.77</v>
      </c>
      <c r="H397">
        <v>0.3</v>
      </c>
      <c r="I397" t="s">
        <v>22</v>
      </c>
      <c r="J397">
        <v>4</v>
      </c>
      <c r="K397">
        <v>6</v>
      </c>
      <c r="L397">
        <v>7</v>
      </c>
      <c r="M397">
        <v>0</v>
      </c>
    </row>
    <row r="398" spans="1:13" x14ac:dyDescent="0.25">
      <c r="A398">
        <v>17</v>
      </c>
      <c r="B398" t="s">
        <v>19</v>
      </c>
      <c r="C398">
        <v>3.3</v>
      </c>
      <c r="D398" t="s">
        <v>17</v>
      </c>
      <c r="E398">
        <v>8.6</v>
      </c>
      <c r="F398">
        <v>1.1000000000000001</v>
      </c>
      <c r="G398">
        <v>2.62</v>
      </c>
      <c r="H398">
        <v>0.4</v>
      </c>
      <c r="I398" t="s">
        <v>18</v>
      </c>
      <c r="J398">
        <v>4</v>
      </c>
      <c r="K398">
        <v>7</v>
      </c>
      <c r="L398">
        <v>9</v>
      </c>
      <c r="M398">
        <v>0</v>
      </c>
    </row>
    <row r="399" spans="1:13" x14ac:dyDescent="0.25">
      <c r="A399">
        <v>14</v>
      </c>
      <c r="B399" t="s">
        <v>19</v>
      </c>
      <c r="C399">
        <v>1</v>
      </c>
      <c r="D399" t="s">
        <v>23</v>
      </c>
      <c r="E399">
        <v>6.6</v>
      </c>
      <c r="F399">
        <v>1.4</v>
      </c>
      <c r="G399">
        <v>2.02</v>
      </c>
      <c r="H399">
        <v>1.9</v>
      </c>
      <c r="I399" t="s">
        <v>18</v>
      </c>
      <c r="J399">
        <v>6</v>
      </c>
      <c r="K399">
        <v>5</v>
      </c>
      <c r="L399">
        <v>5</v>
      </c>
      <c r="M399">
        <v>0</v>
      </c>
    </row>
    <row r="400" spans="1:13" x14ac:dyDescent="0.25">
      <c r="A400">
        <v>13</v>
      </c>
      <c r="B400" t="s">
        <v>19</v>
      </c>
      <c r="C400">
        <v>1.2</v>
      </c>
      <c r="D400" t="s">
        <v>20</v>
      </c>
      <c r="E400">
        <v>8</v>
      </c>
      <c r="F400">
        <v>2.8</v>
      </c>
      <c r="G400">
        <v>2.1800000000000002</v>
      </c>
      <c r="H400">
        <v>1.1000000000000001</v>
      </c>
      <c r="I400" t="s">
        <v>21</v>
      </c>
      <c r="J400">
        <v>5</v>
      </c>
      <c r="K400">
        <v>8</v>
      </c>
      <c r="L400">
        <v>5</v>
      </c>
      <c r="M400">
        <v>0</v>
      </c>
    </row>
    <row r="401" spans="1:13" x14ac:dyDescent="0.25">
      <c r="A401">
        <v>19</v>
      </c>
      <c r="B401" t="s">
        <v>16</v>
      </c>
      <c r="C401">
        <v>2</v>
      </c>
      <c r="D401" t="s">
        <v>17</v>
      </c>
      <c r="E401">
        <v>4.0999999999999996</v>
      </c>
      <c r="F401">
        <v>1.3</v>
      </c>
      <c r="G401">
        <v>3.71</v>
      </c>
      <c r="H401">
        <v>1.6</v>
      </c>
      <c r="I401" t="s">
        <v>18</v>
      </c>
      <c r="J401">
        <v>7</v>
      </c>
      <c r="K401">
        <v>7</v>
      </c>
      <c r="L401">
        <v>8</v>
      </c>
      <c r="M401">
        <v>0</v>
      </c>
    </row>
    <row r="402" spans="1:13" x14ac:dyDescent="0.25">
      <c r="A402">
        <v>13</v>
      </c>
      <c r="B402" t="s">
        <v>19</v>
      </c>
      <c r="C402">
        <v>7.1</v>
      </c>
      <c r="D402" t="s">
        <v>23</v>
      </c>
      <c r="E402">
        <v>6.5</v>
      </c>
      <c r="F402">
        <v>1.6</v>
      </c>
      <c r="G402">
        <v>2.0299999999999998</v>
      </c>
      <c r="H402">
        <v>0.3</v>
      </c>
      <c r="I402" t="s">
        <v>22</v>
      </c>
      <c r="J402">
        <v>1</v>
      </c>
      <c r="K402">
        <v>10</v>
      </c>
      <c r="L402">
        <v>6</v>
      </c>
      <c r="M402">
        <v>0</v>
      </c>
    </row>
    <row r="403" spans="1:13" x14ac:dyDescent="0.25">
      <c r="A403">
        <v>15</v>
      </c>
      <c r="B403" t="s">
        <v>19</v>
      </c>
      <c r="C403">
        <v>5.5</v>
      </c>
      <c r="D403" t="s">
        <v>20</v>
      </c>
      <c r="E403">
        <v>7.8</v>
      </c>
      <c r="F403">
        <v>1.5</v>
      </c>
      <c r="G403">
        <v>2.79</v>
      </c>
      <c r="H403">
        <v>0.7</v>
      </c>
      <c r="I403" t="s">
        <v>21</v>
      </c>
      <c r="J403">
        <v>9</v>
      </c>
      <c r="K403">
        <v>10</v>
      </c>
      <c r="L403">
        <v>7</v>
      </c>
      <c r="M403">
        <v>0</v>
      </c>
    </row>
    <row r="404" spans="1:13" x14ac:dyDescent="0.25">
      <c r="A404">
        <v>17</v>
      </c>
      <c r="B404" t="s">
        <v>16</v>
      </c>
      <c r="C404">
        <v>7.7</v>
      </c>
      <c r="D404" t="s">
        <v>20</v>
      </c>
      <c r="E404">
        <v>4.7</v>
      </c>
      <c r="F404">
        <v>2.8</v>
      </c>
      <c r="G404">
        <v>3.5</v>
      </c>
      <c r="H404">
        <v>1.5</v>
      </c>
      <c r="I404" t="s">
        <v>18</v>
      </c>
      <c r="J404">
        <v>8</v>
      </c>
      <c r="K404">
        <v>4</v>
      </c>
      <c r="L404">
        <v>8</v>
      </c>
      <c r="M404">
        <v>0</v>
      </c>
    </row>
    <row r="405" spans="1:13" x14ac:dyDescent="0.25">
      <c r="A405">
        <v>17</v>
      </c>
      <c r="B405" t="s">
        <v>19</v>
      </c>
      <c r="C405">
        <v>7.6</v>
      </c>
      <c r="D405" t="s">
        <v>17</v>
      </c>
      <c r="E405">
        <v>5.9</v>
      </c>
      <c r="F405">
        <v>2</v>
      </c>
      <c r="G405">
        <v>2.52</v>
      </c>
      <c r="H405">
        <v>1.5</v>
      </c>
      <c r="I405" t="s">
        <v>22</v>
      </c>
      <c r="J405">
        <v>1</v>
      </c>
      <c r="K405">
        <v>5</v>
      </c>
      <c r="L405">
        <v>1</v>
      </c>
      <c r="M405">
        <v>0</v>
      </c>
    </row>
    <row r="406" spans="1:13" x14ac:dyDescent="0.25">
      <c r="A406">
        <v>13</v>
      </c>
      <c r="B406" t="s">
        <v>16</v>
      </c>
      <c r="C406">
        <v>8</v>
      </c>
      <c r="D406" t="s">
        <v>17</v>
      </c>
      <c r="E406">
        <v>6.9</v>
      </c>
      <c r="F406">
        <v>2.5</v>
      </c>
      <c r="G406">
        <v>2.4500000000000002</v>
      </c>
      <c r="H406">
        <v>1.7</v>
      </c>
      <c r="I406" t="s">
        <v>22</v>
      </c>
      <c r="J406">
        <v>10</v>
      </c>
      <c r="K406">
        <v>1</v>
      </c>
      <c r="L406">
        <v>3</v>
      </c>
      <c r="M406">
        <v>0</v>
      </c>
    </row>
    <row r="407" spans="1:13" x14ac:dyDescent="0.25">
      <c r="A407">
        <v>16</v>
      </c>
      <c r="B407" t="s">
        <v>19</v>
      </c>
      <c r="C407">
        <v>4.3</v>
      </c>
      <c r="D407" t="s">
        <v>17</v>
      </c>
      <c r="E407">
        <v>6</v>
      </c>
      <c r="F407">
        <v>1.4</v>
      </c>
      <c r="G407">
        <v>2.98</v>
      </c>
      <c r="H407">
        <v>1.7</v>
      </c>
      <c r="I407" t="s">
        <v>18</v>
      </c>
      <c r="J407">
        <v>8</v>
      </c>
      <c r="K407">
        <v>7</v>
      </c>
      <c r="L407">
        <v>4</v>
      </c>
      <c r="M407">
        <v>0</v>
      </c>
    </row>
    <row r="408" spans="1:13" x14ac:dyDescent="0.25">
      <c r="A408">
        <v>13</v>
      </c>
      <c r="B408" t="s">
        <v>16</v>
      </c>
      <c r="C408">
        <v>3.8</v>
      </c>
      <c r="D408" t="s">
        <v>23</v>
      </c>
      <c r="E408">
        <v>5.3</v>
      </c>
      <c r="F408">
        <v>2.5</v>
      </c>
      <c r="G408">
        <v>3.48</v>
      </c>
      <c r="H408">
        <v>1</v>
      </c>
      <c r="I408" t="s">
        <v>18</v>
      </c>
      <c r="J408">
        <v>6</v>
      </c>
      <c r="K408">
        <v>7</v>
      </c>
      <c r="L408">
        <v>7</v>
      </c>
      <c r="M408">
        <v>0</v>
      </c>
    </row>
    <row r="409" spans="1:13" x14ac:dyDescent="0.25">
      <c r="A409">
        <v>16</v>
      </c>
      <c r="B409" t="s">
        <v>19</v>
      </c>
      <c r="C409">
        <v>2.9</v>
      </c>
      <c r="D409" t="s">
        <v>20</v>
      </c>
      <c r="E409">
        <v>6.3</v>
      </c>
      <c r="F409">
        <v>3</v>
      </c>
      <c r="G409">
        <v>2.6</v>
      </c>
      <c r="H409">
        <v>0.4</v>
      </c>
      <c r="I409" t="s">
        <v>22</v>
      </c>
      <c r="J409">
        <v>9</v>
      </c>
      <c r="K409">
        <v>7</v>
      </c>
      <c r="L409">
        <v>3</v>
      </c>
      <c r="M409">
        <v>0</v>
      </c>
    </row>
    <row r="410" spans="1:13" x14ac:dyDescent="0.25">
      <c r="A410">
        <v>13</v>
      </c>
      <c r="B410" t="s">
        <v>19</v>
      </c>
      <c r="C410">
        <v>5.3</v>
      </c>
      <c r="D410" t="s">
        <v>20</v>
      </c>
      <c r="E410">
        <v>6.5</v>
      </c>
      <c r="F410">
        <v>1.1000000000000001</v>
      </c>
      <c r="G410">
        <v>3.48</v>
      </c>
      <c r="H410">
        <v>1.8</v>
      </c>
      <c r="I410" t="s">
        <v>18</v>
      </c>
      <c r="J410">
        <v>9</v>
      </c>
      <c r="K410">
        <v>5</v>
      </c>
      <c r="L410">
        <v>4</v>
      </c>
      <c r="M410">
        <v>0</v>
      </c>
    </row>
    <row r="411" spans="1:13" x14ac:dyDescent="0.25">
      <c r="A411">
        <v>15</v>
      </c>
      <c r="B411" t="s">
        <v>19</v>
      </c>
      <c r="C411">
        <v>5.7</v>
      </c>
      <c r="D411" t="s">
        <v>17</v>
      </c>
      <c r="E411">
        <v>7.5</v>
      </c>
      <c r="F411">
        <v>2.4</v>
      </c>
      <c r="G411">
        <v>2.84</v>
      </c>
      <c r="H411">
        <v>1.3</v>
      </c>
      <c r="I411" t="s">
        <v>22</v>
      </c>
      <c r="J411">
        <v>10</v>
      </c>
      <c r="K411">
        <v>10</v>
      </c>
      <c r="L411">
        <v>2</v>
      </c>
      <c r="M411">
        <v>0</v>
      </c>
    </row>
    <row r="412" spans="1:13" x14ac:dyDescent="0.25">
      <c r="A412">
        <v>18</v>
      </c>
      <c r="B412" t="s">
        <v>19</v>
      </c>
      <c r="C412">
        <v>2.8</v>
      </c>
      <c r="D412" t="s">
        <v>17</v>
      </c>
      <c r="E412">
        <v>7.4</v>
      </c>
      <c r="F412">
        <v>1</v>
      </c>
      <c r="G412">
        <v>3.73</v>
      </c>
      <c r="H412">
        <v>1.9</v>
      </c>
      <c r="I412" t="s">
        <v>18</v>
      </c>
      <c r="J412">
        <v>7</v>
      </c>
      <c r="K412">
        <v>3</v>
      </c>
      <c r="L412">
        <v>6</v>
      </c>
      <c r="M412">
        <v>0</v>
      </c>
    </row>
    <row r="413" spans="1:13" x14ac:dyDescent="0.25">
      <c r="A413">
        <v>15</v>
      </c>
      <c r="B413" t="s">
        <v>16</v>
      </c>
      <c r="C413">
        <v>2.8</v>
      </c>
      <c r="D413" t="s">
        <v>20</v>
      </c>
      <c r="E413">
        <v>6.1</v>
      </c>
      <c r="F413">
        <v>2.9</v>
      </c>
      <c r="G413">
        <v>2.98</v>
      </c>
      <c r="H413">
        <v>1.8</v>
      </c>
      <c r="I413" t="s">
        <v>22</v>
      </c>
      <c r="J413">
        <v>6</v>
      </c>
      <c r="K413">
        <v>3</v>
      </c>
      <c r="L413">
        <v>7</v>
      </c>
      <c r="M413">
        <v>0</v>
      </c>
    </row>
    <row r="414" spans="1:13" x14ac:dyDescent="0.25">
      <c r="A414">
        <v>13</v>
      </c>
      <c r="B414" t="s">
        <v>19</v>
      </c>
      <c r="C414">
        <v>1.1000000000000001</v>
      </c>
      <c r="D414" t="s">
        <v>17</v>
      </c>
      <c r="E414">
        <v>7</v>
      </c>
      <c r="F414">
        <v>1.9</v>
      </c>
      <c r="G414">
        <v>4</v>
      </c>
      <c r="H414">
        <v>0.9</v>
      </c>
      <c r="I414" t="s">
        <v>22</v>
      </c>
      <c r="J414">
        <v>2</v>
      </c>
      <c r="K414">
        <v>9</v>
      </c>
      <c r="L414">
        <v>6</v>
      </c>
      <c r="M414">
        <v>0</v>
      </c>
    </row>
    <row r="415" spans="1:13" x14ac:dyDescent="0.25">
      <c r="A415">
        <v>14</v>
      </c>
      <c r="B415" t="s">
        <v>19</v>
      </c>
      <c r="C415">
        <v>2</v>
      </c>
      <c r="D415" t="s">
        <v>23</v>
      </c>
      <c r="E415">
        <v>5</v>
      </c>
      <c r="F415">
        <v>2.6</v>
      </c>
      <c r="G415">
        <v>2.71</v>
      </c>
      <c r="H415">
        <v>2</v>
      </c>
      <c r="I415" t="s">
        <v>18</v>
      </c>
      <c r="J415">
        <v>5</v>
      </c>
      <c r="K415">
        <v>4</v>
      </c>
      <c r="L415">
        <v>3</v>
      </c>
      <c r="M415">
        <v>0</v>
      </c>
    </row>
    <row r="416" spans="1:13" x14ac:dyDescent="0.25">
      <c r="A416">
        <v>16</v>
      </c>
      <c r="B416" t="s">
        <v>19</v>
      </c>
      <c r="C416">
        <v>6.5</v>
      </c>
      <c r="D416" t="s">
        <v>20</v>
      </c>
      <c r="E416">
        <v>5.3</v>
      </c>
      <c r="F416">
        <v>1.8</v>
      </c>
      <c r="G416">
        <v>2.29</v>
      </c>
      <c r="H416">
        <v>0.2</v>
      </c>
      <c r="I416" t="s">
        <v>21</v>
      </c>
      <c r="J416">
        <v>4</v>
      </c>
      <c r="K416">
        <v>10</v>
      </c>
      <c r="L416">
        <v>2</v>
      </c>
      <c r="M416">
        <v>0</v>
      </c>
    </row>
    <row r="417" spans="1:13" x14ac:dyDescent="0.25">
      <c r="A417">
        <v>16</v>
      </c>
      <c r="B417" t="s">
        <v>19</v>
      </c>
      <c r="C417">
        <v>7.5</v>
      </c>
      <c r="D417" t="s">
        <v>20</v>
      </c>
      <c r="E417">
        <v>7.8</v>
      </c>
      <c r="F417">
        <v>1.3</v>
      </c>
      <c r="G417">
        <v>2.73</v>
      </c>
      <c r="H417">
        <v>1.5</v>
      </c>
      <c r="I417" t="s">
        <v>22</v>
      </c>
      <c r="J417">
        <v>4</v>
      </c>
      <c r="K417">
        <v>5</v>
      </c>
      <c r="L417">
        <v>8</v>
      </c>
      <c r="M417">
        <v>0</v>
      </c>
    </row>
    <row r="418" spans="1:13" x14ac:dyDescent="0.25">
      <c r="A418">
        <v>16</v>
      </c>
      <c r="B418" t="s">
        <v>19</v>
      </c>
      <c r="C418">
        <v>3.1</v>
      </c>
      <c r="D418" t="s">
        <v>17</v>
      </c>
      <c r="E418">
        <v>7.9</v>
      </c>
      <c r="F418">
        <v>1.2</v>
      </c>
      <c r="G418">
        <v>2.85</v>
      </c>
      <c r="H418">
        <v>0.7</v>
      </c>
      <c r="I418" t="s">
        <v>21</v>
      </c>
      <c r="J418">
        <v>2</v>
      </c>
      <c r="K418">
        <v>2</v>
      </c>
      <c r="L418">
        <v>5</v>
      </c>
      <c r="M418">
        <v>0</v>
      </c>
    </row>
    <row r="419" spans="1:13" x14ac:dyDescent="0.25">
      <c r="A419">
        <v>19</v>
      </c>
      <c r="B419" t="s">
        <v>16</v>
      </c>
      <c r="C419">
        <v>5.9</v>
      </c>
      <c r="D419" t="s">
        <v>23</v>
      </c>
      <c r="E419">
        <v>7</v>
      </c>
      <c r="F419">
        <v>2.2999999999999998</v>
      </c>
      <c r="G419">
        <v>3</v>
      </c>
      <c r="H419">
        <v>1.6</v>
      </c>
      <c r="I419" t="s">
        <v>18</v>
      </c>
      <c r="J419">
        <v>3</v>
      </c>
      <c r="K419">
        <v>5</v>
      </c>
      <c r="L419">
        <v>10</v>
      </c>
      <c r="M419">
        <v>0</v>
      </c>
    </row>
    <row r="420" spans="1:13" x14ac:dyDescent="0.25">
      <c r="A420">
        <v>15</v>
      </c>
      <c r="B420" t="s">
        <v>16</v>
      </c>
      <c r="C420">
        <v>7.9</v>
      </c>
      <c r="D420" t="s">
        <v>20</v>
      </c>
      <c r="E420">
        <v>4.0999999999999996</v>
      </c>
      <c r="F420">
        <v>0.7</v>
      </c>
      <c r="G420">
        <v>2.33</v>
      </c>
      <c r="H420">
        <v>1.2</v>
      </c>
      <c r="I420" t="s">
        <v>22</v>
      </c>
      <c r="J420">
        <v>3</v>
      </c>
      <c r="K420">
        <v>8</v>
      </c>
      <c r="L420">
        <v>1</v>
      </c>
      <c r="M420">
        <v>0</v>
      </c>
    </row>
    <row r="421" spans="1:13" x14ac:dyDescent="0.25">
      <c r="A421">
        <v>15</v>
      </c>
      <c r="B421" t="s">
        <v>16</v>
      </c>
      <c r="C421">
        <v>5.0999999999999996</v>
      </c>
      <c r="D421" t="s">
        <v>17</v>
      </c>
      <c r="E421">
        <v>7.4</v>
      </c>
      <c r="F421">
        <v>0.7</v>
      </c>
      <c r="G421">
        <v>2.64</v>
      </c>
      <c r="H421">
        <v>0.2</v>
      </c>
      <c r="I421" t="s">
        <v>22</v>
      </c>
      <c r="J421">
        <v>5</v>
      </c>
      <c r="K421">
        <v>8</v>
      </c>
      <c r="L421">
        <v>1</v>
      </c>
      <c r="M421">
        <v>0</v>
      </c>
    </row>
    <row r="422" spans="1:13" x14ac:dyDescent="0.25">
      <c r="A422">
        <v>16</v>
      </c>
      <c r="B422" t="s">
        <v>16</v>
      </c>
      <c r="C422">
        <v>1.9</v>
      </c>
      <c r="D422" t="s">
        <v>23</v>
      </c>
      <c r="E422">
        <v>5.8</v>
      </c>
      <c r="F422">
        <v>2.1</v>
      </c>
      <c r="G422">
        <v>2.27</v>
      </c>
      <c r="H422">
        <v>0.6</v>
      </c>
      <c r="I422" t="s">
        <v>22</v>
      </c>
      <c r="J422">
        <v>3</v>
      </c>
      <c r="K422">
        <v>3</v>
      </c>
      <c r="L422">
        <v>2</v>
      </c>
      <c r="M422">
        <v>0</v>
      </c>
    </row>
    <row r="423" spans="1:13" x14ac:dyDescent="0.25">
      <c r="A423">
        <v>17</v>
      </c>
      <c r="B423" t="s">
        <v>16</v>
      </c>
      <c r="C423">
        <v>8</v>
      </c>
      <c r="D423" t="s">
        <v>17</v>
      </c>
      <c r="E423">
        <v>8.6999999999999993</v>
      </c>
      <c r="F423">
        <v>1.5</v>
      </c>
      <c r="G423">
        <v>3.7</v>
      </c>
      <c r="H423">
        <v>2</v>
      </c>
      <c r="I423" t="s">
        <v>21</v>
      </c>
      <c r="J423">
        <v>10</v>
      </c>
      <c r="K423">
        <v>9</v>
      </c>
      <c r="L423">
        <v>5</v>
      </c>
      <c r="M423">
        <v>0</v>
      </c>
    </row>
    <row r="424" spans="1:13" x14ac:dyDescent="0.25">
      <c r="A424">
        <v>19</v>
      </c>
      <c r="B424" t="s">
        <v>16</v>
      </c>
      <c r="C424">
        <v>2.9</v>
      </c>
      <c r="D424" t="s">
        <v>23</v>
      </c>
      <c r="E424">
        <v>4</v>
      </c>
      <c r="F424">
        <v>0.5</v>
      </c>
      <c r="G424">
        <v>3.16</v>
      </c>
      <c r="H424">
        <v>0.2</v>
      </c>
      <c r="I424" t="s">
        <v>21</v>
      </c>
      <c r="J424">
        <v>7</v>
      </c>
      <c r="K424">
        <v>6</v>
      </c>
      <c r="L424">
        <v>3</v>
      </c>
      <c r="M424">
        <v>0</v>
      </c>
    </row>
    <row r="425" spans="1:13" x14ac:dyDescent="0.25">
      <c r="A425">
        <v>14</v>
      </c>
      <c r="B425" t="s">
        <v>16</v>
      </c>
      <c r="C425">
        <v>4.3</v>
      </c>
      <c r="D425" t="s">
        <v>17</v>
      </c>
      <c r="E425">
        <v>8.4</v>
      </c>
      <c r="F425">
        <v>0.9</v>
      </c>
      <c r="G425">
        <v>3.2</v>
      </c>
      <c r="H425">
        <v>1.6</v>
      </c>
      <c r="I425" t="s">
        <v>21</v>
      </c>
      <c r="J425">
        <v>10</v>
      </c>
      <c r="K425">
        <v>10</v>
      </c>
      <c r="L425">
        <v>1</v>
      </c>
      <c r="M425">
        <v>0</v>
      </c>
    </row>
    <row r="426" spans="1:13" x14ac:dyDescent="0.25">
      <c r="A426">
        <v>16</v>
      </c>
      <c r="B426" t="s">
        <v>16</v>
      </c>
      <c r="C426">
        <v>1.1000000000000001</v>
      </c>
      <c r="D426" t="s">
        <v>17</v>
      </c>
      <c r="E426">
        <v>6.4</v>
      </c>
      <c r="F426">
        <v>3</v>
      </c>
      <c r="G426">
        <v>2.5099999999999998</v>
      </c>
      <c r="H426">
        <v>0.1</v>
      </c>
      <c r="I426" t="s">
        <v>22</v>
      </c>
      <c r="J426">
        <v>8</v>
      </c>
      <c r="K426">
        <v>6</v>
      </c>
      <c r="L426">
        <v>9</v>
      </c>
      <c r="M426">
        <v>0</v>
      </c>
    </row>
    <row r="427" spans="1:13" x14ac:dyDescent="0.25">
      <c r="A427">
        <v>16</v>
      </c>
      <c r="B427" t="s">
        <v>16</v>
      </c>
      <c r="C427">
        <v>4.9000000000000004</v>
      </c>
      <c r="D427" t="s">
        <v>17</v>
      </c>
      <c r="E427">
        <v>5.7</v>
      </c>
      <c r="F427">
        <v>1.2</v>
      </c>
      <c r="G427">
        <v>2.0699999999999998</v>
      </c>
      <c r="H427">
        <v>0.1</v>
      </c>
      <c r="I427" t="s">
        <v>22</v>
      </c>
      <c r="J427">
        <v>8</v>
      </c>
      <c r="K427">
        <v>2</v>
      </c>
      <c r="L427">
        <v>1</v>
      </c>
      <c r="M427">
        <v>0</v>
      </c>
    </row>
    <row r="428" spans="1:13" x14ac:dyDescent="0.25">
      <c r="A428">
        <v>14</v>
      </c>
      <c r="B428" t="s">
        <v>16</v>
      </c>
      <c r="C428">
        <v>6.1</v>
      </c>
      <c r="D428" t="s">
        <v>23</v>
      </c>
      <c r="E428">
        <v>7.6</v>
      </c>
      <c r="F428">
        <v>1.4</v>
      </c>
      <c r="G428">
        <v>2.72</v>
      </c>
      <c r="H428">
        <v>0.9</v>
      </c>
      <c r="I428" t="s">
        <v>18</v>
      </c>
      <c r="J428">
        <v>9</v>
      </c>
      <c r="K428">
        <v>3</v>
      </c>
      <c r="L428">
        <v>3</v>
      </c>
      <c r="M428">
        <v>0</v>
      </c>
    </row>
    <row r="429" spans="1:13" x14ac:dyDescent="0.25">
      <c r="A429">
        <v>15</v>
      </c>
      <c r="B429" t="s">
        <v>19</v>
      </c>
      <c r="C429">
        <v>2.7</v>
      </c>
      <c r="D429" t="s">
        <v>23</v>
      </c>
      <c r="E429">
        <v>6.5</v>
      </c>
      <c r="F429">
        <v>1.6</v>
      </c>
      <c r="G429">
        <v>2.14</v>
      </c>
      <c r="H429">
        <v>0.4</v>
      </c>
      <c r="I429" t="s">
        <v>21</v>
      </c>
      <c r="J429">
        <v>6</v>
      </c>
      <c r="K429">
        <v>6</v>
      </c>
      <c r="L429">
        <v>6</v>
      </c>
      <c r="M429">
        <v>0</v>
      </c>
    </row>
    <row r="430" spans="1:13" x14ac:dyDescent="0.25">
      <c r="A430">
        <v>16</v>
      </c>
      <c r="B430" t="s">
        <v>19</v>
      </c>
      <c r="C430">
        <v>7.8</v>
      </c>
      <c r="D430" t="s">
        <v>23</v>
      </c>
      <c r="E430">
        <v>7.4</v>
      </c>
      <c r="F430">
        <v>0.7</v>
      </c>
      <c r="G430">
        <v>2.54</v>
      </c>
      <c r="H430">
        <v>1.2</v>
      </c>
      <c r="I430" t="s">
        <v>22</v>
      </c>
      <c r="J430">
        <v>10</v>
      </c>
      <c r="K430">
        <v>4</v>
      </c>
      <c r="L430">
        <v>9</v>
      </c>
      <c r="M430">
        <v>0</v>
      </c>
    </row>
    <row r="431" spans="1:13" x14ac:dyDescent="0.25">
      <c r="A431">
        <v>18</v>
      </c>
      <c r="B431" t="s">
        <v>16</v>
      </c>
      <c r="C431">
        <v>4.2</v>
      </c>
      <c r="D431" t="s">
        <v>20</v>
      </c>
      <c r="E431">
        <v>6.5</v>
      </c>
      <c r="F431">
        <v>1.4</v>
      </c>
      <c r="G431">
        <v>2.91</v>
      </c>
      <c r="H431">
        <v>1.5</v>
      </c>
      <c r="I431" t="s">
        <v>18</v>
      </c>
      <c r="J431">
        <v>5</v>
      </c>
      <c r="K431">
        <v>6</v>
      </c>
      <c r="L431">
        <v>4</v>
      </c>
      <c r="M431">
        <v>0</v>
      </c>
    </row>
    <row r="432" spans="1:13" x14ac:dyDescent="0.25">
      <c r="A432">
        <v>13</v>
      </c>
      <c r="B432" t="s">
        <v>19</v>
      </c>
      <c r="C432">
        <v>4.4000000000000004</v>
      </c>
      <c r="D432" t="s">
        <v>17</v>
      </c>
      <c r="E432">
        <v>5.5</v>
      </c>
      <c r="F432">
        <v>2.7</v>
      </c>
      <c r="G432">
        <v>3.17</v>
      </c>
      <c r="H432">
        <v>0.3</v>
      </c>
      <c r="I432" t="s">
        <v>18</v>
      </c>
      <c r="J432">
        <v>5</v>
      </c>
      <c r="K432">
        <v>1</v>
      </c>
      <c r="L432">
        <v>5</v>
      </c>
      <c r="M432">
        <v>0</v>
      </c>
    </row>
    <row r="433" spans="1:13" x14ac:dyDescent="0.25">
      <c r="A433">
        <v>13</v>
      </c>
      <c r="B433" t="s">
        <v>19</v>
      </c>
      <c r="C433">
        <v>1.4</v>
      </c>
      <c r="D433" t="s">
        <v>23</v>
      </c>
      <c r="E433">
        <v>7.8</v>
      </c>
      <c r="F433">
        <v>0.6</v>
      </c>
      <c r="G433">
        <v>3.42</v>
      </c>
      <c r="H433">
        <v>1.6</v>
      </c>
      <c r="I433" t="s">
        <v>22</v>
      </c>
      <c r="J433">
        <v>10</v>
      </c>
      <c r="K433">
        <v>4</v>
      </c>
      <c r="L433">
        <v>6</v>
      </c>
      <c r="M433">
        <v>0</v>
      </c>
    </row>
    <row r="434" spans="1:13" x14ac:dyDescent="0.25">
      <c r="A434">
        <v>17</v>
      </c>
      <c r="B434" t="s">
        <v>16</v>
      </c>
      <c r="C434">
        <v>3.7</v>
      </c>
      <c r="D434" t="s">
        <v>20</v>
      </c>
      <c r="E434">
        <v>7.2</v>
      </c>
      <c r="F434">
        <v>0.6</v>
      </c>
      <c r="G434">
        <v>3.34</v>
      </c>
      <c r="H434">
        <v>1.8</v>
      </c>
      <c r="I434" t="s">
        <v>21</v>
      </c>
      <c r="J434">
        <v>2</v>
      </c>
      <c r="K434">
        <v>6</v>
      </c>
      <c r="L434">
        <v>2</v>
      </c>
      <c r="M434">
        <v>0</v>
      </c>
    </row>
    <row r="435" spans="1:13" x14ac:dyDescent="0.25">
      <c r="A435">
        <v>14</v>
      </c>
      <c r="B435" t="s">
        <v>16</v>
      </c>
      <c r="C435">
        <v>3.8</v>
      </c>
      <c r="D435" t="s">
        <v>17</v>
      </c>
      <c r="E435">
        <v>8.9</v>
      </c>
      <c r="F435">
        <v>1.9</v>
      </c>
      <c r="G435">
        <v>2.77</v>
      </c>
      <c r="H435">
        <v>0.2</v>
      </c>
      <c r="I435" t="s">
        <v>22</v>
      </c>
      <c r="J435">
        <v>6</v>
      </c>
      <c r="K435">
        <v>2</v>
      </c>
      <c r="L435">
        <v>2</v>
      </c>
      <c r="M435">
        <v>0</v>
      </c>
    </row>
    <row r="436" spans="1:13" x14ac:dyDescent="0.25">
      <c r="A436">
        <v>15</v>
      </c>
      <c r="B436" t="s">
        <v>19</v>
      </c>
      <c r="C436">
        <v>5.4</v>
      </c>
      <c r="D436" t="s">
        <v>20</v>
      </c>
      <c r="E436">
        <v>7</v>
      </c>
      <c r="F436">
        <v>1.8</v>
      </c>
      <c r="G436">
        <v>2.54</v>
      </c>
      <c r="H436">
        <v>0.1</v>
      </c>
      <c r="I436" t="s">
        <v>18</v>
      </c>
      <c r="J436">
        <v>1</v>
      </c>
      <c r="K436">
        <v>4</v>
      </c>
      <c r="L436">
        <v>4</v>
      </c>
      <c r="M436">
        <v>0</v>
      </c>
    </row>
    <row r="437" spans="1:13" x14ac:dyDescent="0.25">
      <c r="A437">
        <v>17</v>
      </c>
      <c r="B437" t="s">
        <v>16</v>
      </c>
      <c r="C437">
        <v>4</v>
      </c>
      <c r="D437" t="s">
        <v>23</v>
      </c>
      <c r="E437">
        <v>4.3</v>
      </c>
      <c r="F437">
        <v>1.8</v>
      </c>
      <c r="G437">
        <v>2.17</v>
      </c>
      <c r="H437">
        <v>0.9</v>
      </c>
      <c r="I437" t="s">
        <v>21</v>
      </c>
      <c r="J437">
        <v>8</v>
      </c>
      <c r="K437">
        <v>8</v>
      </c>
      <c r="L437">
        <v>3</v>
      </c>
      <c r="M437">
        <v>0</v>
      </c>
    </row>
    <row r="438" spans="1:13" x14ac:dyDescent="0.25">
      <c r="A438">
        <v>19</v>
      </c>
      <c r="B438" t="s">
        <v>16</v>
      </c>
      <c r="C438">
        <v>3.5</v>
      </c>
      <c r="D438" t="s">
        <v>20</v>
      </c>
      <c r="E438">
        <v>5.8</v>
      </c>
      <c r="F438">
        <v>1.8</v>
      </c>
      <c r="G438">
        <v>3.3</v>
      </c>
      <c r="H438">
        <v>0.9</v>
      </c>
      <c r="I438" t="s">
        <v>18</v>
      </c>
      <c r="J438">
        <v>7</v>
      </c>
      <c r="K438">
        <v>6</v>
      </c>
      <c r="L438">
        <v>9</v>
      </c>
      <c r="M438">
        <v>0</v>
      </c>
    </row>
    <row r="439" spans="1:13" x14ac:dyDescent="0.25">
      <c r="A439">
        <v>17</v>
      </c>
      <c r="B439" t="s">
        <v>16</v>
      </c>
      <c r="C439">
        <v>1.3</v>
      </c>
      <c r="D439" t="s">
        <v>23</v>
      </c>
      <c r="E439">
        <v>8.3000000000000007</v>
      </c>
      <c r="F439">
        <v>1</v>
      </c>
      <c r="G439">
        <v>3.95</v>
      </c>
      <c r="H439">
        <v>1.2</v>
      </c>
      <c r="I439" t="s">
        <v>22</v>
      </c>
      <c r="J439">
        <v>4</v>
      </c>
      <c r="K439">
        <v>1</v>
      </c>
      <c r="L439">
        <v>1</v>
      </c>
      <c r="M439">
        <v>0</v>
      </c>
    </row>
    <row r="440" spans="1:13" x14ac:dyDescent="0.25">
      <c r="A440">
        <v>14</v>
      </c>
      <c r="B440" t="s">
        <v>16</v>
      </c>
      <c r="C440">
        <v>5.6</v>
      </c>
      <c r="D440" t="s">
        <v>17</v>
      </c>
      <c r="E440">
        <v>8.8000000000000007</v>
      </c>
      <c r="F440">
        <v>0.9</v>
      </c>
      <c r="G440">
        <v>3.03</v>
      </c>
      <c r="H440">
        <v>2</v>
      </c>
      <c r="I440" t="s">
        <v>18</v>
      </c>
      <c r="J440">
        <v>8</v>
      </c>
      <c r="K440">
        <v>10</v>
      </c>
      <c r="L440">
        <v>3</v>
      </c>
      <c r="M440">
        <v>0</v>
      </c>
    </row>
    <row r="441" spans="1:13" x14ac:dyDescent="0.25">
      <c r="A441">
        <v>13</v>
      </c>
      <c r="B441" t="s">
        <v>19</v>
      </c>
      <c r="C441">
        <v>2.4</v>
      </c>
      <c r="D441" t="s">
        <v>17</v>
      </c>
      <c r="E441">
        <v>5.5</v>
      </c>
      <c r="F441">
        <v>0.6</v>
      </c>
      <c r="G441">
        <v>3.56</v>
      </c>
      <c r="H441">
        <v>1.6</v>
      </c>
      <c r="I441" t="s">
        <v>22</v>
      </c>
      <c r="J441">
        <v>4</v>
      </c>
      <c r="K441">
        <v>8</v>
      </c>
      <c r="L441">
        <v>7</v>
      </c>
      <c r="M441">
        <v>0</v>
      </c>
    </row>
    <row r="442" spans="1:13" x14ac:dyDescent="0.25">
      <c r="A442">
        <v>16</v>
      </c>
      <c r="B442" t="s">
        <v>16</v>
      </c>
      <c r="C442">
        <v>2</v>
      </c>
      <c r="D442" t="s">
        <v>23</v>
      </c>
      <c r="E442">
        <v>7.8</v>
      </c>
      <c r="F442">
        <v>2.8</v>
      </c>
      <c r="G442">
        <v>2.1</v>
      </c>
      <c r="H442">
        <v>0.6</v>
      </c>
      <c r="I442" t="s">
        <v>22</v>
      </c>
      <c r="J442">
        <v>2</v>
      </c>
      <c r="K442">
        <v>6</v>
      </c>
      <c r="L442">
        <v>8</v>
      </c>
      <c r="M442">
        <v>0</v>
      </c>
    </row>
    <row r="443" spans="1:13" x14ac:dyDescent="0.25">
      <c r="A443">
        <v>15</v>
      </c>
      <c r="B443" t="s">
        <v>16</v>
      </c>
      <c r="C443">
        <v>6.6</v>
      </c>
      <c r="D443" t="s">
        <v>17</v>
      </c>
      <c r="E443">
        <v>8.6</v>
      </c>
      <c r="F443">
        <v>1.5</v>
      </c>
      <c r="G443">
        <v>2.63</v>
      </c>
      <c r="H443">
        <v>1.1000000000000001</v>
      </c>
      <c r="I443" t="s">
        <v>18</v>
      </c>
      <c r="J443">
        <v>1</v>
      </c>
      <c r="K443">
        <v>9</v>
      </c>
      <c r="L443">
        <v>9</v>
      </c>
      <c r="M443">
        <v>0</v>
      </c>
    </row>
    <row r="444" spans="1:13" x14ac:dyDescent="0.25">
      <c r="A444">
        <v>17</v>
      </c>
      <c r="B444" t="s">
        <v>19</v>
      </c>
      <c r="C444">
        <v>2.2999999999999998</v>
      </c>
      <c r="D444" t="s">
        <v>20</v>
      </c>
      <c r="E444">
        <v>6.4</v>
      </c>
      <c r="F444">
        <v>2.4</v>
      </c>
      <c r="G444">
        <v>3.61</v>
      </c>
      <c r="H444">
        <v>0.6</v>
      </c>
      <c r="I444" t="s">
        <v>22</v>
      </c>
      <c r="J444">
        <v>2</v>
      </c>
      <c r="K444">
        <v>1</v>
      </c>
      <c r="L444">
        <v>1</v>
      </c>
      <c r="M444">
        <v>0</v>
      </c>
    </row>
    <row r="445" spans="1:13" x14ac:dyDescent="0.25">
      <c r="A445">
        <v>16</v>
      </c>
      <c r="B445" t="s">
        <v>16</v>
      </c>
      <c r="C445">
        <v>6.4</v>
      </c>
      <c r="D445" t="s">
        <v>20</v>
      </c>
      <c r="E445">
        <v>5.4</v>
      </c>
      <c r="F445">
        <v>1.4</v>
      </c>
      <c r="G445">
        <v>2.42</v>
      </c>
      <c r="H445">
        <v>1.9</v>
      </c>
      <c r="I445" t="s">
        <v>22</v>
      </c>
      <c r="J445">
        <v>4</v>
      </c>
      <c r="K445">
        <v>9</v>
      </c>
      <c r="L445">
        <v>5</v>
      </c>
      <c r="M445">
        <v>0</v>
      </c>
    </row>
    <row r="446" spans="1:13" x14ac:dyDescent="0.25">
      <c r="A446">
        <v>18</v>
      </c>
      <c r="B446" t="s">
        <v>19</v>
      </c>
      <c r="C446">
        <v>3.5</v>
      </c>
      <c r="D446" t="s">
        <v>23</v>
      </c>
      <c r="E446">
        <v>5.9</v>
      </c>
      <c r="F446">
        <v>1.3</v>
      </c>
      <c r="G446">
        <v>3.68</v>
      </c>
      <c r="H446">
        <v>2</v>
      </c>
      <c r="I446" t="s">
        <v>22</v>
      </c>
      <c r="J446">
        <v>7</v>
      </c>
      <c r="K446">
        <v>4</v>
      </c>
      <c r="L446">
        <v>10</v>
      </c>
      <c r="M446">
        <v>0</v>
      </c>
    </row>
    <row r="447" spans="1:13" x14ac:dyDescent="0.25">
      <c r="A447">
        <v>18</v>
      </c>
      <c r="B447" t="s">
        <v>19</v>
      </c>
      <c r="C447">
        <v>1.7</v>
      </c>
      <c r="D447" t="s">
        <v>17</v>
      </c>
      <c r="E447">
        <v>8.5</v>
      </c>
      <c r="F447">
        <v>1</v>
      </c>
      <c r="G447">
        <v>3.32</v>
      </c>
      <c r="H447">
        <v>1.3</v>
      </c>
      <c r="I447" t="s">
        <v>22</v>
      </c>
      <c r="J447">
        <v>1</v>
      </c>
      <c r="K447">
        <v>1</v>
      </c>
      <c r="L447">
        <v>7</v>
      </c>
      <c r="M447">
        <v>0</v>
      </c>
    </row>
    <row r="448" spans="1:13" x14ac:dyDescent="0.25">
      <c r="A448">
        <v>14</v>
      </c>
      <c r="B448" t="s">
        <v>16</v>
      </c>
      <c r="C448">
        <v>4.0999999999999996</v>
      </c>
      <c r="D448" t="s">
        <v>17</v>
      </c>
      <c r="E448">
        <v>8.1999999999999993</v>
      </c>
      <c r="F448">
        <v>1.7</v>
      </c>
      <c r="G448">
        <v>2.3199999999999998</v>
      </c>
      <c r="H448">
        <v>1.4</v>
      </c>
      <c r="I448" t="s">
        <v>21</v>
      </c>
      <c r="J448">
        <v>9</v>
      </c>
      <c r="K448">
        <v>2</v>
      </c>
      <c r="L448">
        <v>4</v>
      </c>
      <c r="M448">
        <v>0</v>
      </c>
    </row>
    <row r="449" spans="1:13" x14ac:dyDescent="0.25">
      <c r="A449">
        <v>14</v>
      </c>
      <c r="B449" t="s">
        <v>16</v>
      </c>
      <c r="C449">
        <v>3.3</v>
      </c>
      <c r="D449" t="s">
        <v>17</v>
      </c>
      <c r="E449">
        <v>6.5</v>
      </c>
      <c r="F449">
        <v>0.8</v>
      </c>
      <c r="G449">
        <v>2.54</v>
      </c>
      <c r="H449">
        <v>0.8</v>
      </c>
      <c r="I449" t="s">
        <v>18</v>
      </c>
      <c r="J449">
        <v>1</v>
      </c>
      <c r="K449">
        <v>2</v>
      </c>
      <c r="L449">
        <v>3</v>
      </c>
      <c r="M449">
        <v>0</v>
      </c>
    </row>
    <row r="450" spans="1:13" x14ac:dyDescent="0.25">
      <c r="A450">
        <v>14</v>
      </c>
      <c r="B450" t="s">
        <v>19</v>
      </c>
      <c r="C450">
        <v>5</v>
      </c>
      <c r="D450" t="s">
        <v>20</v>
      </c>
      <c r="E450">
        <v>4.9000000000000004</v>
      </c>
      <c r="F450">
        <v>2.6</v>
      </c>
      <c r="G450">
        <v>3.82</v>
      </c>
      <c r="H450">
        <v>1.9</v>
      </c>
      <c r="I450" t="s">
        <v>22</v>
      </c>
      <c r="J450">
        <v>3</v>
      </c>
      <c r="K450">
        <v>10</v>
      </c>
      <c r="L450">
        <v>10</v>
      </c>
      <c r="M450">
        <v>0</v>
      </c>
    </row>
    <row r="451" spans="1:13" x14ac:dyDescent="0.25">
      <c r="A451">
        <v>19</v>
      </c>
      <c r="B451" t="s">
        <v>19</v>
      </c>
      <c r="C451">
        <v>1.5</v>
      </c>
      <c r="D451" t="s">
        <v>17</v>
      </c>
      <c r="E451">
        <v>8.4</v>
      </c>
      <c r="F451">
        <v>3</v>
      </c>
      <c r="G451">
        <v>2.46</v>
      </c>
      <c r="H451">
        <v>1.5</v>
      </c>
      <c r="I451" t="s">
        <v>21</v>
      </c>
      <c r="J451">
        <v>1</v>
      </c>
      <c r="K451">
        <v>7</v>
      </c>
      <c r="L451">
        <v>6</v>
      </c>
      <c r="M451">
        <v>0</v>
      </c>
    </row>
    <row r="452" spans="1:13" x14ac:dyDescent="0.25">
      <c r="A452">
        <v>17</v>
      </c>
      <c r="B452" t="s">
        <v>19</v>
      </c>
      <c r="C452">
        <v>3.3</v>
      </c>
      <c r="D452" t="s">
        <v>20</v>
      </c>
      <c r="E452">
        <v>8.4</v>
      </c>
      <c r="F452">
        <v>2.1</v>
      </c>
      <c r="G452">
        <v>3.4</v>
      </c>
      <c r="H452">
        <v>0.2</v>
      </c>
      <c r="I452" t="s">
        <v>21</v>
      </c>
      <c r="J452">
        <v>1</v>
      </c>
      <c r="K452">
        <v>3</v>
      </c>
      <c r="L452">
        <v>10</v>
      </c>
      <c r="M452">
        <v>0</v>
      </c>
    </row>
    <row r="453" spans="1:13" x14ac:dyDescent="0.25">
      <c r="A453">
        <v>13</v>
      </c>
      <c r="B453" t="s">
        <v>16</v>
      </c>
      <c r="C453">
        <v>6.4</v>
      </c>
      <c r="D453" t="s">
        <v>23</v>
      </c>
      <c r="E453">
        <v>4.0999999999999996</v>
      </c>
      <c r="F453">
        <v>1.3</v>
      </c>
      <c r="G453">
        <v>2.77</v>
      </c>
      <c r="H453">
        <v>1.3</v>
      </c>
      <c r="I453" t="s">
        <v>18</v>
      </c>
      <c r="J453">
        <v>10</v>
      </c>
      <c r="K453">
        <v>6</v>
      </c>
      <c r="L453">
        <v>1</v>
      </c>
      <c r="M453">
        <v>0</v>
      </c>
    </row>
    <row r="454" spans="1:13" x14ac:dyDescent="0.25">
      <c r="A454">
        <v>17</v>
      </c>
      <c r="B454" t="s">
        <v>19</v>
      </c>
      <c r="C454">
        <v>8</v>
      </c>
      <c r="D454" t="s">
        <v>17</v>
      </c>
      <c r="E454">
        <v>8.1</v>
      </c>
      <c r="F454">
        <v>1.2</v>
      </c>
      <c r="G454">
        <v>2.13</v>
      </c>
      <c r="H454">
        <v>1</v>
      </c>
      <c r="I454" t="s">
        <v>18</v>
      </c>
      <c r="J454">
        <v>1</v>
      </c>
      <c r="K454">
        <v>8</v>
      </c>
      <c r="L454">
        <v>7</v>
      </c>
      <c r="M454">
        <v>0</v>
      </c>
    </row>
    <row r="455" spans="1:13" x14ac:dyDescent="0.25">
      <c r="A455">
        <v>16</v>
      </c>
      <c r="B455" t="s">
        <v>19</v>
      </c>
      <c r="C455">
        <v>1</v>
      </c>
      <c r="D455" t="s">
        <v>23</v>
      </c>
      <c r="E455">
        <v>4.0999999999999996</v>
      </c>
      <c r="F455">
        <v>1.3</v>
      </c>
      <c r="G455">
        <v>2.2200000000000002</v>
      </c>
      <c r="H455">
        <v>0.4</v>
      </c>
      <c r="I455" t="s">
        <v>18</v>
      </c>
      <c r="J455">
        <v>2</v>
      </c>
      <c r="K455">
        <v>1</v>
      </c>
      <c r="L455">
        <v>8</v>
      </c>
      <c r="M455">
        <v>0</v>
      </c>
    </row>
    <row r="456" spans="1:13" x14ac:dyDescent="0.25">
      <c r="A456">
        <v>18</v>
      </c>
      <c r="B456" t="s">
        <v>19</v>
      </c>
      <c r="C456">
        <v>4.2</v>
      </c>
      <c r="D456" t="s">
        <v>17</v>
      </c>
      <c r="E456">
        <v>5.4</v>
      </c>
      <c r="F456">
        <v>1.1000000000000001</v>
      </c>
      <c r="G456">
        <v>2.31</v>
      </c>
      <c r="H456">
        <v>0.3</v>
      </c>
      <c r="I456" t="s">
        <v>18</v>
      </c>
      <c r="J456">
        <v>4</v>
      </c>
      <c r="K456">
        <v>9</v>
      </c>
      <c r="L456">
        <v>1</v>
      </c>
      <c r="M456">
        <v>0</v>
      </c>
    </row>
    <row r="457" spans="1:13" x14ac:dyDescent="0.25">
      <c r="A457">
        <v>18</v>
      </c>
      <c r="B457" t="s">
        <v>19</v>
      </c>
      <c r="C457">
        <v>4.5999999999999996</v>
      </c>
      <c r="D457" t="s">
        <v>20</v>
      </c>
      <c r="E457">
        <v>7.3</v>
      </c>
      <c r="F457">
        <v>2.8</v>
      </c>
      <c r="G457">
        <v>3.22</v>
      </c>
      <c r="H457">
        <v>0.6</v>
      </c>
      <c r="I457" t="s">
        <v>21</v>
      </c>
      <c r="J457">
        <v>1</v>
      </c>
      <c r="K457">
        <v>3</v>
      </c>
      <c r="L457">
        <v>6</v>
      </c>
      <c r="M457">
        <v>0</v>
      </c>
    </row>
    <row r="458" spans="1:13" x14ac:dyDescent="0.25">
      <c r="A458">
        <v>17</v>
      </c>
      <c r="B458" t="s">
        <v>19</v>
      </c>
      <c r="C458">
        <v>2.8</v>
      </c>
      <c r="D458" t="s">
        <v>23</v>
      </c>
      <c r="E458">
        <v>6.2</v>
      </c>
      <c r="F458">
        <v>2.4</v>
      </c>
      <c r="G458">
        <v>2.58</v>
      </c>
      <c r="H458">
        <v>0.4</v>
      </c>
      <c r="I458" t="s">
        <v>21</v>
      </c>
      <c r="J458">
        <v>4</v>
      </c>
      <c r="K458">
        <v>10</v>
      </c>
      <c r="L458">
        <v>9</v>
      </c>
      <c r="M458">
        <v>0</v>
      </c>
    </row>
    <row r="459" spans="1:13" x14ac:dyDescent="0.25">
      <c r="A459">
        <v>16</v>
      </c>
      <c r="B459" t="s">
        <v>19</v>
      </c>
      <c r="C459">
        <v>6.3</v>
      </c>
      <c r="D459" t="s">
        <v>17</v>
      </c>
      <c r="E459">
        <v>6.9</v>
      </c>
      <c r="F459">
        <v>1.3</v>
      </c>
      <c r="G459">
        <v>2.15</v>
      </c>
      <c r="H459">
        <v>1.4</v>
      </c>
      <c r="I459" t="s">
        <v>18</v>
      </c>
      <c r="J459">
        <v>9</v>
      </c>
      <c r="K459">
        <v>2</v>
      </c>
      <c r="L459">
        <v>10</v>
      </c>
      <c r="M459">
        <v>0</v>
      </c>
    </row>
    <row r="460" spans="1:13" x14ac:dyDescent="0.25">
      <c r="A460">
        <v>17</v>
      </c>
      <c r="B460" t="s">
        <v>19</v>
      </c>
      <c r="C460">
        <v>7.2</v>
      </c>
      <c r="D460" t="s">
        <v>20</v>
      </c>
      <c r="E460">
        <v>7</v>
      </c>
      <c r="F460">
        <v>1.3</v>
      </c>
      <c r="G460">
        <v>3.86</v>
      </c>
      <c r="H460">
        <v>0.9</v>
      </c>
      <c r="I460" t="s">
        <v>18</v>
      </c>
      <c r="J460">
        <v>7</v>
      </c>
      <c r="K460">
        <v>8</v>
      </c>
      <c r="L460">
        <v>4</v>
      </c>
      <c r="M460">
        <v>0</v>
      </c>
    </row>
    <row r="461" spans="1:13" x14ac:dyDescent="0.25">
      <c r="A461">
        <v>13</v>
      </c>
      <c r="B461" t="s">
        <v>16</v>
      </c>
      <c r="C461">
        <v>4.5</v>
      </c>
      <c r="D461" t="s">
        <v>23</v>
      </c>
      <c r="E461">
        <v>6.7</v>
      </c>
      <c r="F461">
        <v>2.2000000000000002</v>
      </c>
      <c r="G461">
        <v>3.73</v>
      </c>
      <c r="H461">
        <v>0.3</v>
      </c>
      <c r="I461" t="s">
        <v>18</v>
      </c>
      <c r="J461">
        <v>3</v>
      </c>
      <c r="K461">
        <v>5</v>
      </c>
      <c r="L461">
        <v>10</v>
      </c>
      <c r="M461">
        <v>0</v>
      </c>
    </row>
    <row r="462" spans="1:13" x14ac:dyDescent="0.25">
      <c r="A462">
        <v>18</v>
      </c>
      <c r="B462" t="s">
        <v>16</v>
      </c>
      <c r="C462">
        <v>5.3</v>
      </c>
      <c r="D462" t="s">
        <v>23</v>
      </c>
      <c r="E462">
        <v>5.0999999999999996</v>
      </c>
      <c r="F462">
        <v>1.2</v>
      </c>
      <c r="G462">
        <v>3.32</v>
      </c>
      <c r="H462">
        <v>1.8</v>
      </c>
      <c r="I462" t="s">
        <v>18</v>
      </c>
      <c r="J462">
        <v>7</v>
      </c>
      <c r="K462">
        <v>3</v>
      </c>
      <c r="L462">
        <v>8</v>
      </c>
      <c r="M462">
        <v>0</v>
      </c>
    </row>
    <row r="463" spans="1:13" x14ac:dyDescent="0.25">
      <c r="A463">
        <v>13</v>
      </c>
      <c r="B463" t="s">
        <v>16</v>
      </c>
      <c r="C463">
        <v>5.2</v>
      </c>
      <c r="D463" t="s">
        <v>20</v>
      </c>
      <c r="E463">
        <v>6.7</v>
      </c>
      <c r="F463">
        <v>2.5</v>
      </c>
      <c r="G463">
        <v>3.82</v>
      </c>
      <c r="H463">
        <v>0.9</v>
      </c>
      <c r="I463" t="s">
        <v>22</v>
      </c>
      <c r="J463">
        <v>8</v>
      </c>
      <c r="K463">
        <v>8</v>
      </c>
      <c r="L463">
        <v>6</v>
      </c>
      <c r="M463">
        <v>0</v>
      </c>
    </row>
    <row r="464" spans="1:13" x14ac:dyDescent="0.25">
      <c r="A464">
        <v>13</v>
      </c>
      <c r="B464" t="s">
        <v>16</v>
      </c>
      <c r="C464">
        <v>7.9</v>
      </c>
      <c r="D464" t="s">
        <v>20</v>
      </c>
      <c r="E464">
        <v>6</v>
      </c>
      <c r="F464">
        <v>2.7</v>
      </c>
      <c r="G464">
        <v>2.85</v>
      </c>
      <c r="H464">
        <v>0.3</v>
      </c>
      <c r="I464" t="s">
        <v>18</v>
      </c>
      <c r="J464">
        <v>9</v>
      </c>
      <c r="K464">
        <v>10</v>
      </c>
      <c r="L464">
        <v>3</v>
      </c>
      <c r="M464">
        <v>0</v>
      </c>
    </row>
    <row r="465" spans="1:13" x14ac:dyDescent="0.25">
      <c r="A465">
        <v>19</v>
      </c>
      <c r="B465" t="s">
        <v>16</v>
      </c>
      <c r="C465">
        <v>6.9</v>
      </c>
      <c r="D465" t="s">
        <v>20</v>
      </c>
      <c r="E465">
        <v>8.5</v>
      </c>
      <c r="F465">
        <v>1.5</v>
      </c>
      <c r="G465">
        <v>3.55</v>
      </c>
      <c r="H465">
        <v>1.3</v>
      </c>
      <c r="I465" t="s">
        <v>18</v>
      </c>
      <c r="J465">
        <v>5</v>
      </c>
      <c r="K465">
        <v>6</v>
      </c>
      <c r="L465">
        <v>1</v>
      </c>
      <c r="M465">
        <v>0</v>
      </c>
    </row>
    <row r="466" spans="1:13" x14ac:dyDescent="0.25">
      <c r="A466">
        <v>17</v>
      </c>
      <c r="B466" t="s">
        <v>19</v>
      </c>
      <c r="C466">
        <v>5.8</v>
      </c>
      <c r="D466" t="s">
        <v>17</v>
      </c>
      <c r="E466">
        <v>4.0999999999999996</v>
      </c>
      <c r="F466">
        <v>2.9</v>
      </c>
      <c r="G466">
        <v>2.33</v>
      </c>
      <c r="H466">
        <v>0.4</v>
      </c>
      <c r="I466" t="s">
        <v>21</v>
      </c>
      <c r="J466">
        <v>9</v>
      </c>
      <c r="K466">
        <v>6</v>
      </c>
      <c r="L466">
        <v>8</v>
      </c>
      <c r="M466">
        <v>0</v>
      </c>
    </row>
    <row r="467" spans="1:13" x14ac:dyDescent="0.25">
      <c r="A467">
        <v>19</v>
      </c>
      <c r="B467" t="s">
        <v>16</v>
      </c>
      <c r="C467">
        <v>7</v>
      </c>
      <c r="D467" t="s">
        <v>17</v>
      </c>
      <c r="E467">
        <v>8.3000000000000007</v>
      </c>
      <c r="F467">
        <v>2.1</v>
      </c>
      <c r="G467">
        <v>3.09</v>
      </c>
      <c r="H467">
        <v>1.5</v>
      </c>
      <c r="I467" t="s">
        <v>18</v>
      </c>
      <c r="J467">
        <v>9</v>
      </c>
      <c r="K467">
        <v>7</v>
      </c>
      <c r="L467">
        <v>3</v>
      </c>
      <c r="M467">
        <v>0</v>
      </c>
    </row>
    <row r="468" spans="1:13" x14ac:dyDescent="0.25">
      <c r="A468">
        <v>14</v>
      </c>
      <c r="B468" t="s">
        <v>19</v>
      </c>
      <c r="C468">
        <v>3</v>
      </c>
      <c r="D468" t="s">
        <v>20</v>
      </c>
      <c r="E468">
        <v>8.3000000000000007</v>
      </c>
      <c r="F468">
        <v>2.7</v>
      </c>
      <c r="G468">
        <v>3.9</v>
      </c>
      <c r="H468">
        <v>0.7</v>
      </c>
      <c r="I468" t="s">
        <v>21</v>
      </c>
      <c r="J468">
        <v>3</v>
      </c>
      <c r="K468">
        <v>1</v>
      </c>
      <c r="L468">
        <v>5</v>
      </c>
      <c r="M468">
        <v>0</v>
      </c>
    </row>
    <row r="469" spans="1:13" x14ac:dyDescent="0.25">
      <c r="A469">
        <v>18</v>
      </c>
      <c r="B469" t="s">
        <v>16</v>
      </c>
      <c r="C469">
        <v>6.3</v>
      </c>
      <c r="D469" t="s">
        <v>23</v>
      </c>
      <c r="E469">
        <v>7.9</v>
      </c>
      <c r="F469">
        <v>1.7</v>
      </c>
      <c r="G469">
        <v>2.85</v>
      </c>
      <c r="H469">
        <v>0.3</v>
      </c>
      <c r="I469" t="s">
        <v>22</v>
      </c>
      <c r="J469">
        <v>1</v>
      </c>
      <c r="K469">
        <v>1</v>
      </c>
      <c r="L469">
        <v>2</v>
      </c>
      <c r="M469">
        <v>0</v>
      </c>
    </row>
    <row r="470" spans="1:13" x14ac:dyDescent="0.25">
      <c r="A470">
        <v>17</v>
      </c>
      <c r="B470" t="s">
        <v>19</v>
      </c>
      <c r="C470">
        <v>5.5</v>
      </c>
      <c r="D470" t="s">
        <v>17</v>
      </c>
      <c r="E470">
        <v>4.9000000000000004</v>
      </c>
      <c r="F470">
        <v>2.6</v>
      </c>
      <c r="G470">
        <v>3.64</v>
      </c>
      <c r="H470">
        <v>0.8</v>
      </c>
      <c r="I470" t="s">
        <v>22</v>
      </c>
      <c r="J470">
        <v>6</v>
      </c>
      <c r="K470">
        <v>8</v>
      </c>
      <c r="L470">
        <v>3</v>
      </c>
      <c r="M470">
        <v>0</v>
      </c>
    </row>
    <row r="471" spans="1:13" x14ac:dyDescent="0.25">
      <c r="A471">
        <v>17</v>
      </c>
      <c r="B471" t="s">
        <v>19</v>
      </c>
      <c r="C471">
        <v>2.2000000000000002</v>
      </c>
      <c r="D471" t="s">
        <v>23</v>
      </c>
      <c r="E471">
        <v>7.5</v>
      </c>
      <c r="F471">
        <v>2.2000000000000002</v>
      </c>
      <c r="G471">
        <v>2.95</v>
      </c>
      <c r="H471">
        <v>1.6</v>
      </c>
      <c r="I471" t="s">
        <v>18</v>
      </c>
      <c r="J471">
        <v>9</v>
      </c>
      <c r="K471">
        <v>7</v>
      </c>
      <c r="L471">
        <v>4</v>
      </c>
      <c r="M471">
        <v>0</v>
      </c>
    </row>
    <row r="472" spans="1:13" x14ac:dyDescent="0.25">
      <c r="A472">
        <v>14</v>
      </c>
      <c r="B472" t="s">
        <v>16</v>
      </c>
      <c r="C472">
        <v>1.4</v>
      </c>
      <c r="D472" t="s">
        <v>23</v>
      </c>
      <c r="E472">
        <v>4.5</v>
      </c>
      <c r="F472">
        <v>1.4</v>
      </c>
      <c r="G472">
        <v>3.17</v>
      </c>
      <c r="H472">
        <v>1.7</v>
      </c>
      <c r="I472" t="s">
        <v>21</v>
      </c>
      <c r="J472">
        <v>9</v>
      </c>
      <c r="K472">
        <v>10</v>
      </c>
      <c r="L472">
        <v>9</v>
      </c>
      <c r="M472">
        <v>0</v>
      </c>
    </row>
    <row r="473" spans="1:13" x14ac:dyDescent="0.25">
      <c r="A473">
        <v>18</v>
      </c>
      <c r="B473" t="s">
        <v>16</v>
      </c>
      <c r="C473">
        <v>4.5</v>
      </c>
      <c r="D473" t="s">
        <v>17</v>
      </c>
      <c r="E473">
        <v>4.4000000000000004</v>
      </c>
      <c r="F473">
        <v>1.9</v>
      </c>
      <c r="G473">
        <v>2.2599999999999998</v>
      </c>
      <c r="H473">
        <v>0</v>
      </c>
      <c r="I473" t="s">
        <v>18</v>
      </c>
      <c r="J473">
        <v>7</v>
      </c>
      <c r="K473">
        <v>8</v>
      </c>
      <c r="L473">
        <v>10</v>
      </c>
      <c r="M473">
        <v>0</v>
      </c>
    </row>
    <row r="474" spans="1:13" x14ac:dyDescent="0.25">
      <c r="A474">
        <v>14</v>
      </c>
      <c r="B474" t="s">
        <v>19</v>
      </c>
      <c r="C474">
        <v>6.1</v>
      </c>
      <c r="D474" t="s">
        <v>17</v>
      </c>
      <c r="E474">
        <v>5.7</v>
      </c>
      <c r="F474">
        <v>2</v>
      </c>
      <c r="G474">
        <v>3.9</v>
      </c>
      <c r="H474">
        <v>1</v>
      </c>
      <c r="I474" t="s">
        <v>18</v>
      </c>
      <c r="J474">
        <v>8</v>
      </c>
      <c r="K474">
        <v>4</v>
      </c>
      <c r="L474">
        <v>6</v>
      </c>
      <c r="M474">
        <v>0</v>
      </c>
    </row>
    <row r="475" spans="1:13" x14ac:dyDescent="0.25">
      <c r="A475">
        <v>17</v>
      </c>
      <c r="B475" t="s">
        <v>16</v>
      </c>
      <c r="C475">
        <v>3.3</v>
      </c>
      <c r="D475" t="s">
        <v>20</v>
      </c>
      <c r="E475">
        <v>5.7</v>
      </c>
      <c r="F475">
        <v>2</v>
      </c>
      <c r="G475">
        <v>3.71</v>
      </c>
      <c r="H475">
        <v>0.1</v>
      </c>
      <c r="I475" t="s">
        <v>18</v>
      </c>
      <c r="J475">
        <v>6</v>
      </c>
      <c r="K475">
        <v>6</v>
      </c>
      <c r="L475">
        <v>8</v>
      </c>
      <c r="M475">
        <v>0</v>
      </c>
    </row>
    <row r="476" spans="1:13" x14ac:dyDescent="0.25">
      <c r="A476">
        <v>15</v>
      </c>
      <c r="B476" t="s">
        <v>16</v>
      </c>
      <c r="C476">
        <v>5.2</v>
      </c>
      <c r="D476" t="s">
        <v>23</v>
      </c>
      <c r="E476">
        <v>5.6</v>
      </c>
      <c r="F476">
        <v>1.1000000000000001</v>
      </c>
      <c r="G476">
        <v>2.88</v>
      </c>
      <c r="H476">
        <v>0.1</v>
      </c>
      <c r="I476" t="s">
        <v>22</v>
      </c>
      <c r="J476">
        <v>4</v>
      </c>
      <c r="K476">
        <v>8</v>
      </c>
      <c r="L476">
        <v>7</v>
      </c>
      <c r="M476">
        <v>0</v>
      </c>
    </row>
    <row r="477" spans="1:13" x14ac:dyDescent="0.25">
      <c r="A477">
        <v>18</v>
      </c>
      <c r="B477" t="s">
        <v>16</v>
      </c>
      <c r="C477">
        <v>5</v>
      </c>
      <c r="D477" t="s">
        <v>23</v>
      </c>
      <c r="E477">
        <v>5.8</v>
      </c>
      <c r="F477">
        <v>1.3</v>
      </c>
      <c r="G477">
        <v>2.12</v>
      </c>
      <c r="H477">
        <v>0.1</v>
      </c>
      <c r="I477" t="s">
        <v>18</v>
      </c>
      <c r="J477">
        <v>1</v>
      </c>
      <c r="K477">
        <v>9</v>
      </c>
      <c r="L477">
        <v>2</v>
      </c>
      <c r="M477">
        <v>0</v>
      </c>
    </row>
    <row r="478" spans="1:13" x14ac:dyDescent="0.25">
      <c r="A478">
        <v>17</v>
      </c>
      <c r="B478" t="s">
        <v>19</v>
      </c>
      <c r="C478">
        <v>1.8</v>
      </c>
      <c r="D478" t="s">
        <v>20</v>
      </c>
      <c r="E478">
        <v>5.9</v>
      </c>
      <c r="F478">
        <v>1.9</v>
      </c>
      <c r="G478">
        <v>2.89</v>
      </c>
      <c r="H478">
        <v>0.6</v>
      </c>
      <c r="I478" t="s">
        <v>18</v>
      </c>
      <c r="J478">
        <v>8</v>
      </c>
      <c r="K478">
        <v>8</v>
      </c>
      <c r="L478">
        <v>5</v>
      </c>
      <c r="M478">
        <v>0</v>
      </c>
    </row>
    <row r="479" spans="1:13" x14ac:dyDescent="0.25">
      <c r="A479">
        <v>13</v>
      </c>
      <c r="B479" t="s">
        <v>16</v>
      </c>
      <c r="C479">
        <v>2.2999999999999998</v>
      </c>
      <c r="D479" t="s">
        <v>20</v>
      </c>
      <c r="E479">
        <v>4.5</v>
      </c>
      <c r="F479">
        <v>0.7</v>
      </c>
      <c r="G479">
        <v>2.71</v>
      </c>
      <c r="H479">
        <v>0.2</v>
      </c>
      <c r="I479" t="s">
        <v>18</v>
      </c>
      <c r="J479">
        <v>6</v>
      </c>
      <c r="K479">
        <v>3</v>
      </c>
      <c r="L479">
        <v>7</v>
      </c>
      <c r="M479">
        <v>0</v>
      </c>
    </row>
    <row r="480" spans="1:13" x14ac:dyDescent="0.25">
      <c r="A480">
        <v>14</v>
      </c>
      <c r="B480" t="s">
        <v>16</v>
      </c>
      <c r="C480">
        <v>2.7</v>
      </c>
      <c r="D480" t="s">
        <v>23</v>
      </c>
      <c r="E480">
        <v>6.3</v>
      </c>
      <c r="F480">
        <v>0.6</v>
      </c>
      <c r="G480">
        <v>3.88</v>
      </c>
      <c r="H480">
        <v>0.3</v>
      </c>
      <c r="I480" t="s">
        <v>22</v>
      </c>
      <c r="J480">
        <v>6</v>
      </c>
      <c r="K480">
        <v>6</v>
      </c>
      <c r="L480">
        <v>6</v>
      </c>
      <c r="M480">
        <v>0</v>
      </c>
    </row>
    <row r="481" spans="1:13" x14ac:dyDescent="0.25">
      <c r="A481">
        <v>16</v>
      </c>
      <c r="B481" t="s">
        <v>16</v>
      </c>
      <c r="C481">
        <v>7.4</v>
      </c>
      <c r="D481" t="s">
        <v>20</v>
      </c>
      <c r="E481">
        <v>7.5</v>
      </c>
      <c r="F481">
        <v>1.7</v>
      </c>
      <c r="G481">
        <v>3.16</v>
      </c>
      <c r="H481">
        <v>1.8</v>
      </c>
      <c r="I481" t="s">
        <v>22</v>
      </c>
      <c r="J481">
        <v>2</v>
      </c>
      <c r="K481">
        <v>3</v>
      </c>
      <c r="L481">
        <v>2</v>
      </c>
      <c r="M481">
        <v>0</v>
      </c>
    </row>
    <row r="482" spans="1:13" x14ac:dyDescent="0.25">
      <c r="A482">
        <v>15</v>
      </c>
      <c r="B482" t="s">
        <v>16</v>
      </c>
      <c r="C482">
        <v>6.2</v>
      </c>
      <c r="D482" t="s">
        <v>20</v>
      </c>
      <c r="E482">
        <v>4.5999999999999996</v>
      </c>
      <c r="F482">
        <v>1.1000000000000001</v>
      </c>
      <c r="G482">
        <v>2.94</v>
      </c>
      <c r="H482">
        <v>1.8</v>
      </c>
      <c r="I482" t="s">
        <v>21</v>
      </c>
      <c r="J482">
        <v>4</v>
      </c>
      <c r="K482">
        <v>2</v>
      </c>
      <c r="L482">
        <v>3</v>
      </c>
      <c r="M482">
        <v>0</v>
      </c>
    </row>
    <row r="483" spans="1:13" x14ac:dyDescent="0.25">
      <c r="A483">
        <v>16</v>
      </c>
      <c r="B483" t="s">
        <v>16</v>
      </c>
      <c r="C483">
        <v>2.2999999999999998</v>
      </c>
      <c r="D483" t="s">
        <v>20</v>
      </c>
      <c r="E483">
        <v>8.8000000000000007</v>
      </c>
      <c r="F483">
        <v>1</v>
      </c>
      <c r="G483">
        <v>2.5099999999999998</v>
      </c>
      <c r="H483">
        <v>2</v>
      </c>
      <c r="I483" t="s">
        <v>22</v>
      </c>
      <c r="J483">
        <v>6</v>
      </c>
      <c r="K483">
        <v>10</v>
      </c>
      <c r="L483">
        <v>10</v>
      </c>
      <c r="M483">
        <v>0</v>
      </c>
    </row>
    <row r="484" spans="1:13" x14ac:dyDescent="0.25">
      <c r="A484">
        <v>18</v>
      </c>
      <c r="B484" t="s">
        <v>16</v>
      </c>
      <c r="C484">
        <v>1.8</v>
      </c>
      <c r="D484" t="s">
        <v>20</v>
      </c>
      <c r="E484">
        <v>5.2</v>
      </c>
      <c r="F484">
        <v>1.4</v>
      </c>
      <c r="G484">
        <v>2.68</v>
      </c>
      <c r="H484">
        <v>0.1</v>
      </c>
      <c r="I484" t="s">
        <v>21</v>
      </c>
      <c r="J484">
        <v>6</v>
      </c>
      <c r="K484">
        <v>2</v>
      </c>
      <c r="L484">
        <v>10</v>
      </c>
      <c r="M484">
        <v>0</v>
      </c>
    </row>
    <row r="485" spans="1:13" x14ac:dyDescent="0.25">
      <c r="A485">
        <v>16</v>
      </c>
      <c r="B485" t="s">
        <v>19</v>
      </c>
      <c r="C485">
        <v>1.3</v>
      </c>
      <c r="D485" t="s">
        <v>17</v>
      </c>
      <c r="E485">
        <v>4.9000000000000004</v>
      </c>
      <c r="F485">
        <v>2.6</v>
      </c>
      <c r="G485">
        <v>2.89</v>
      </c>
      <c r="H485">
        <v>0.2</v>
      </c>
      <c r="I485" t="s">
        <v>18</v>
      </c>
      <c r="J485">
        <v>2</v>
      </c>
      <c r="K485">
        <v>5</v>
      </c>
      <c r="L485">
        <v>2</v>
      </c>
      <c r="M485">
        <v>0</v>
      </c>
    </row>
    <row r="486" spans="1:13" x14ac:dyDescent="0.25">
      <c r="A486">
        <v>15</v>
      </c>
      <c r="B486" t="s">
        <v>16</v>
      </c>
      <c r="C486">
        <v>2.1</v>
      </c>
      <c r="D486" t="s">
        <v>17</v>
      </c>
      <c r="E486">
        <v>4.4000000000000004</v>
      </c>
      <c r="F486">
        <v>2.1</v>
      </c>
      <c r="G486">
        <v>3.43</v>
      </c>
      <c r="H486">
        <v>1.9</v>
      </c>
      <c r="I486" t="s">
        <v>18</v>
      </c>
      <c r="J486">
        <v>6</v>
      </c>
      <c r="K486">
        <v>6</v>
      </c>
      <c r="L486">
        <v>7</v>
      </c>
      <c r="M486">
        <v>0</v>
      </c>
    </row>
    <row r="487" spans="1:13" x14ac:dyDescent="0.25">
      <c r="A487">
        <v>14</v>
      </c>
      <c r="B487" t="s">
        <v>16</v>
      </c>
      <c r="C487">
        <v>3.9</v>
      </c>
      <c r="D487" t="s">
        <v>17</v>
      </c>
      <c r="E487">
        <v>7.7</v>
      </c>
      <c r="F487">
        <v>1.4</v>
      </c>
      <c r="G487">
        <v>2.86</v>
      </c>
      <c r="H487">
        <v>1.7</v>
      </c>
      <c r="I487" t="s">
        <v>21</v>
      </c>
      <c r="J487">
        <v>3</v>
      </c>
      <c r="K487">
        <v>5</v>
      </c>
      <c r="L487">
        <v>1</v>
      </c>
      <c r="M487">
        <v>0</v>
      </c>
    </row>
    <row r="488" spans="1:13" x14ac:dyDescent="0.25">
      <c r="A488">
        <v>18</v>
      </c>
      <c r="B488" t="s">
        <v>19</v>
      </c>
      <c r="C488">
        <v>3.8</v>
      </c>
      <c r="D488" t="s">
        <v>23</v>
      </c>
      <c r="E488">
        <v>4.5</v>
      </c>
      <c r="F488">
        <v>1.3</v>
      </c>
      <c r="G488">
        <v>3.06</v>
      </c>
      <c r="H488">
        <v>0.3</v>
      </c>
      <c r="I488" t="s">
        <v>22</v>
      </c>
      <c r="J488">
        <v>7</v>
      </c>
      <c r="K488">
        <v>8</v>
      </c>
      <c r="L488">
        <v>1</v>
      </c>
      <c r="M488">
        <v>0</v>
      </c>
    </row>
    <row r="489" spans="1:13" x14ac:dyDescent="0.25">
      <c r="A489">
        <v>15</v>
      </c>
      <c r="B489" t="s">
        <v>16</v>
      </c>
      <c r="C489">
        <v>6.4</v>
      </c>
      <c r="D489" t="s">
        <v>17</v>
      </c>
      <c r="E489">
        <v>7.8</v>
      </c>
      <c r="F489">
        <v>0.7</v>
      </c>
      <c r="G489">
        <v>2.6</v>
      </c>
      <c r="H489">
        <v>0.7</v>
      </c>
      <c r="I489" t="s">
        <v>21</v>
      </c>
      <c r="J489">
        <v>4</v>
      </c>
      <c r="K489">
        <v>4</v>
      </c>
      <c r="L489">
        <v>2</v>
      </c>
      <c r="M489">
        <v>0</v>
      </c>
    </row>
    <row r="490" spans="1:13" x14ac:dyDescent="0.25">
      <c r="A490">
        <v>19</v>
      </c>
      <c r="B490" t="s">
        <v>16</v>
      </c>
      <c r="C490">
        <v>3.2</v>
      </c>
      <c r="D490" t="s">
        <v>17</v>
      </c>
      <c r="E490">
        <v>6.2</v>
      </c>
      <c r="F490">
        <v>2.6</v>
      </c>
      <c r="G490">
        <v>3.72</v>
      </c>
      <c r="H490">
        <v>1.9</v>
      </c>
      <c r="I490" t="s">
        <v>21</v>
      </c>
      <c r="J490">
        <v>9</v>
      </c>
      <c r="K490">
        <v>5</v>
      </c>
      <c r="L490">
        <v>7</v>
      </c>
      <c r="M490">
        <v>0</v>
      </c>
    </row>
    <row r="491" spans="1:13" x14ac:dyDescent="0.25">
      <c r="A491">
        <v>13</v>
      </c>
      <c r="B491" t="s">
        <v>16</v>
      </c>
      <c r="C491">
        <v>4.4000000000000004</v>
      </c>
      <c r="D491" t="s">
        <v>23</v>
      </c>
      <c r="E491">
        <v>8.1999999999999993</v>
      </c>
      <c r="F491">
        <v>1.5</v>
      </c>
      <c r="G491">
        <v>3.98</v>
      </c>
      <c r="H491">
        <v>1.4</v>
      </c>
      <c r="I491" t="s">
        <v>21</v>
      </c>
      <c r="J491">
        <v>9</v>
      </c>
      <c r="K491">
        <v>6</v>
      </c>
      <c r="L491">
        <v>6</v>
      </c>
      <c r="M491">
        <v>0</v>
      </c>
    </row>
    <row r="492" spans="1:13" x14ac:dyDescent="0.25">
      <c r="A492">
        <v>15</v>
      </c>
      <c r="B492" t="s">
        <v>16</v>
      </c>
      <c r="C492">
        <v>1.3</v>
      </c>
      <c r="D492" t="s">
        <v>20</v>
      </c>
      <c r="E492">
        <v>7.5</v>
      </c>
      <c r="F492">
        <v>1.3</v>
      </c>
      <c r="G492">
        <v>2.99</v>
      </c>
      <c r="H492">
        <v>1.4</v>
      </c>
      <c r="I492" t="s">
        <v>18</v>
      </c>
      <c r="J492">
        <v>1</v>
      </c>
      <c r="K492">
        <v>5</v>
      </c>
      <c r="L492">
        <v>2</v>
      </c>
      <c r="M492">
        <v>0</v>
      </c>
    </row>
    <row r="493" spans="1:13" x14ac:dyDescent="0.25">
      <c r="A493">
        <v>18</v>
      </c>
      <c r="B493" t="s">
        <v>19</v>
      </c>
      <c r="C493">
        <v>5.7</v>
      </c>
      <c r="D493" t="s">
        <v>20</v>
      </c>
      <c r="E493">
        <v>6.2</v>
      </c>
      <c r="F493">
        <v>0.5</v>
      </c>
      <c r="G493">
        <v>3.98</v>
      </c>
      <c r="H493">
        <v>1.7</v>
      </c>
      <c r="I493" t="s">
        <v>22</v>
      </c>
      <c r="J493">
        <v>7</v>
      </c>
      <c r="K493">
        <v>6</v>
      </c>
      <c r="L493">
        <v>3</v>
      </c>
      <c r="M493">
        <v>0</v>
      </c>
    </row>
    <row r="494" spans="1:13" x14ac:dyDescent="0.25">
      <c r="A494">
        <v>13</v>
      </c>
      <c r="B494" t="s">
        <v>16</v>
      </c>
      <c r="C494">
        <v>4</v>
      </c>
      <c r="D494" t="s">
        <v>20</v>
      </c>
      <c r="E494">
        <v>5</v>
      </c>
      <c r="F494">
        <v>2.9</v>
      </c>
      <c r="G494">
        <v>3.84</v>
      </c>
      <c r="H494">
        <v>0.1</v>
      </c>
      <c r="I494" t="s">
        <v>18</v>
      </c>
      <c r="J494">
        <v>7</v>
      </c>
      <c r="K494">
        <v>8</v>
      </c>
      <c r="L494">
        <v>10</v>
      </c>
      <c r="M494">
        <v>0</v>
      </c>
    </row>
    <row r="495" spans="1:13" x14ac:dyDescent="0.25">
      <c r="A495">
        <v>16</v>
      </c>
      <c r="B495" t="s">
        <v>19</v>
      </c>
      <c r="C495">
        <v>4.8</v>
      </c>
      <c r="D495" t="s">
        <v>17</v>
      </c>
      <c r="E495">
        <v>6.7</v>
      </c>
      <c r="F495">
        <v>1.4</v>
      </c>
      <c r="G495">
        <v>2.44</v>
      </c>
      <c r="H495">
        <v>0.3</v>
      </c>
      <c r="I495" t="s">
        <v>18</v>
      </c>
      <c r="J495">
        <v>1</v>
      </c>
      <c r="K495">
        <v>3</v>
      </c>
      <c r="L495">
        <v>1</v>
      </c>
      <c r="M495">
        <v>0</v>
      </c>
    </row>
    <row r="496" spans="1:13" x14ac:dyDescent="0.25">
      <c r="A496">
        <v>19</v>
      </c>
      <c r="B496" t="s">
        <v>16</v>
      </c>
      <c r="C496">
        <v>5.8</v>
      </c>
      <c r="D496" t="s">
        <v>23</v>
      </c>
      <c r="E496">
        <v>7.5</v>
      </c>
      <c r="F496">
        <v>1.9</v>
      </c>
      <c r="G496">
        <v>2.08</v>
      </c>
      <c r="H496">
        <v>0.1</v>
      </c>
      <c r="I496" t="s">
        <v>21</v>
      </c>
      <c r="J496">
        <v>2</v>
      </c>
      <c r="K496">
        <v>1</v>
      </c>
      <c r="L496">
        <v>3</v>
      </c>
      <c r="M496">
        <v>0</v>
      </c>
    </row>
    <row r="497" spans="1:13" x14ac:dyDescent="0.25">
      <c r="A497">
        <v>16</v>
      </c>
      <c r="B497" t="s">
        <v>16</v>
      </c>
      <c r="C497">
        <v>5.8</v>
      </c>
      <c r="D497" t="s">
        <v>23</v>
      </c>
      <c r="E497">
        <v>8.9</v>
      </c>
      <c r="F497">
        <v>1.1000000000000001</v>
      </c>
      <c r="G497">
        <v>2.08</v>
      </c>
      <c r="H497">
        <v>1.9</v>
      </c>
      <c r="I497" t="s">
        <v>22</v>
      </c>
      <c r="J497">
        <v>8</v>
      </c>
      <c r="K497">
        <v>5</v>
      </c>
      <c r="L497">
        <v>9</v>
      </c>
      <c r="M497">
        <v>0</v>
      </c>
    </row>
    <row r="498" spans="1:13" x14ac:dyDescent="0.25">
      <c r="A498">
        <v>13</v>
      </c>
      <c r="B498" t="s">
        <v>16</v>
      </c>
      <c r="C498">
        <v>3.2</v>
      </c>
      <c r="D498" t="s">
        <v>20</v>
      </c>
      <c r="E498">
        <v>5.0999999999999996</v>
      </c>
      <c r="F498">
        <v>1.6</v>
      </c>
      <c r="G498">
        <v>2.87</v>
      </c>
      <c r="H498">
        <v>1.8</v>
      </c>
      <c r="I498" t="s">
        <v>22</v>
      </c>
      <c r="J498">
        <v>4</v>
      </c>
      <c r="K498">
        <v>9</v>
      </c>
      <c r="L498">
        <v>8</v>
      </c>
      <c r="M498">
        <v>0</v>
      </c>
    </row>
    <row r="499" spans="1:13" x14ac:dyDescent="0.25">
      <c r="A499">
        <v>16</v>
      </c>
      <c r="B499" t="s">
        <v>19</v>
      </c>
      <c r="C499">
        <v>5.2</v>
      </c>
      <c r="D499" t="s">
        <v>23</v>
      </c>
      <c r="E499">
        <v>4</v>
      </c>
      <c r="F499">
        <v>2.4</v>
      </c>
      <c r="G499">
        <v>2.35</v>
      </c>
      <c r="H499">
        <v>1.6</v>
      </c>
      <c r="I499" t="s">
        <v>18</v>
      </c>
      <c r="J499">
        <v>10</v>
      </c>
      <c r="K499">
        <v>5</v>
      </c>
      <c r="L499">
        <v>2</v>
      </c>
      <c r="M499">
        <v>0</v>
      </c>
    </row>
    <row r="500" spans="1:13" x14ac:dyDescent="0.25">
      <c r="A500">
        <v>17</v>
      </c>
      <c r="B500" t="s">
        <v>16</v>
      </c>
      <c r="C500">
        <v>2.4</v>
      </c>
      <c r="D500" t="s">
        <v>20</v>
      </c>
      <c r="E500">
        <v>6</v>
      </c>
      <c r="F500">
        <v>0.7</v>
      </c>
      <c r="G500">
        <v>3.67</v>
      </c>
      <c r="H500">
        <v>1.5</v>
      </c>
      <c r="I500" t="s">
        <v>18</v>
      </c>
      <c r="J500">
        <v>7</v>
      </c>
      <c r="K500">
        <v>9</v>
      </c>
      <c r="L500">
        <v>2</v>
      </c>
      <c r="M500">
        <v>0</v>
      </c>
    </row>
    <row r="501" spans="1:13" x14ac:dyDescent="0.25">
      <c r="A501">
        <v>15</v>
      </c>
      <c r="B501" t="s">
        <v>16</v>
      </c>
      <c r="C501">
        <v>7.4</v>
      </c>
      <c r="D501" t="s">
        <v>23</v>
      </c>
      <c r="E501">
        <v>5.9</v>
      </c>
      <c r="F501">
        <v>2.6</v>
      </c>
      <c r="G501">
        <v>2.89</v>
      </c>
      <c r="H501">
        <v>1.9</v>
      </c>
      <c r="I501" t="s">
        <v>22</v>
      </c>
      <c r="J501">
        <v>7</v>
      </c>
      <c r="K501">
        <v>3</v>
      </c>
      <c r="L501">
        <v>8</v>
      </c>
      <c r="M501">
        <v>0</v>
      </c>
    </row>
    <row r="502" spans="1:13" x14ac:dyDescent="0.25">
      <c r="A502">
        <v>18</v>
      </c>
      <c r="B502" t="s">
        <v>19</v>
      </c>
      <c r="C502">
        <v>7.1</v>
      </c>
      <c r="D502" t="s">
        <v>17</v>
      </c>
      <c r="E502">
        <v>4.8</v>
      </c>
      <c r="F502">
        <v>2.1</v>
      </c>
      <c r="G502">
        <v>2.5099999999999998</v>
      </c>
      <c r="H502">
        <v>0.9</v>
      </c>
      <c r="I502" t="s">
        <v>21</v>
      </c>
      <c r="J502">
        <v>1</v>
      </c>
      <c r="K502">
        <v>1</v>
      </c>
      <c r="L502">
        <v>10</v>
      </c>
      <c r="M502">
        <v>0</v>
      </c>
    </row>
    <row r="503" spans="1:13" x14ac:dyDescent="0.25">
      <c r="A503">
        <v>16</v>
      </c>
      <c r="B503" t="s">
        <v>16</v>
      </c>
      <c r="C503">
        <v>6.5</v>
      </c>
      <c r="D503" t="s">
        <v>20</v>
      </c>
      <c r="E503">
        <v>7.4</v>
      </c>
      <c r="F503">
        <v>1.9</v>
      </c>
      <c r="G503">
        <v>2.2200000000000002</v>
      </c>
      <c r="H503">
        <v>1.1000000000000001</v>
      </c>
      <c r="I503" t="s">
        <v>22</v>
      </c>
      <c r="J503">
        <v>10</v>
      </c>
      <c r="K503">
        <v>10</v>
      </c>
      <c r="L503">
        <v>2</v>
      </c>
      <c r="M503">
        <v>0</v>
      </c>
    </row>
    <row r="504" spans="1:13" x14ac:dyDescent="0.25">
      <c r="A504">
        <v>13</v>
      </c>
      <c r="B504" t="s">
        <v>16</v>
      </c>
      <c r="C504">
        <v>7.4</v>
      </c>
      <c r="D504" t="s">
        <v>23</v>
      </c>
      <c r="E504">
        <v>7</v>
      </c>
      <c r="F504">
        <v>1.8</v>
      </c>
      <c r="G504">
        <v>2.17</v>
      </c>
      <c r="H504">
        <v>1.4</v>
      </c>
      <c r="I504" t="s">
        <v>22</v>
      </c>
      <c r="J504">
        <v>9</v>
      </c>
      <c r="K504">
        <v>10</v>
      </c>
      <c r="L504">
        <v>5</v>
      </c>
      <c r="M504">
        <v>0</v>
      </c>
    </row>
    <row r="505" spans="1:13" x14ac:dyDescent="0.25">
      <c r="A505">
        <v>15</v>
      </c>
      <c r="B505" t="s">
        <v>19</v>
      </c>
      <c r="C505">
        <v>3.9</v>
      </c>
      <c r="D505" t="s">
        <v>17</v>
      </c>
      <c r="E505">
        <v>6.4</v>
      </c>
      <c r="F505">
        <v>1.7</v>
      </c>
      <c r="G505">
        <v>2.87</v>
      </c>
      <c r="H505">
        <v>1.8</v>
      </c>
      <c r="I505" t="s">
        <v>21</v>
      </c>
      <c r="J505">
        <v>6</v>
      </c>
      <c r="K505">
        <v>6</v>
      </c>
      <c r="L505">
        <v>6</v>
      </c>
      <c r="M505">
        <v>0</v>
      </c>
    </row>
    <row r="506" spans="1:13" x14ac:dyDescent="0.25">
      <c r="A506">
        <v>15</v>
      </c>
      <c r="B506" t="s">
        <v>19</v>
      </c>
      <c r="C506">
        <v>4.5999999999999996</v>
      </c>
      <c r="D506" t="s">
        <v>23</v>
      </c>
      <c r="E506">
        <v>8.6</v>
      </c>
      <c r="F506">
        <v>2</v>
      </c>
      <c r="G506">
        <v>3.01</v>
      </c>
      <c r="H506">
        <v>0</v>
      </c>
      <c r="I506" t="s">
        <v>18</v>
      </c>
      <c r="J506">
        <v>1</v>
      </c>
      <c r="K506">
        <v>8</v>
      </c>
      <c r="L506">
        <v>3</v>
      </c>
      <c r="M506">
        <v>0</v>
      </c>
    </row>
    <row r="507" spans="1:13" x14ac:dyDescent="0.25">
      <c r="A507">
        <v>19</v>
      </c>
      <c r="B507" t="s">
        <v>16</v>
      </c>
      <c r="C507">
        <v>1.5</v>
      </c>
      <c r="D507" t="s">
        <v>20</v>
      </c>
      <c r="E507">
        <v>6.7</v>
      </c>
      <c r="F507">
        <v>1</v>
      </c>
      <c r="G507">
        <v>3.9</v>
      </c>
      <c r="H507">
        <v>0.4</v>
      </c>
      <c r="I507" t="s">
        <v>18</v>
      </c>
      <c r="J507">
        <v>4</v>
      </c>
      <c r="K507">
        <v>3</v>
      </c>
      <c r="L507">
        <v>3</v>
      </c>
      <c r="M507">
        <v>0</v>
      </c>
    </row>
    <row r="508" spans="1:13" x14ac:dyDescent="0.25">
      <c r="A508">
        <v>15</v>
      </c>
      <c r="B508" t="s">
        <v>19</v>
      </c>
      <c r="C508">
        <v>5.8</v>
      </c>
      <c r="D508" t="s">
        <v>17</v>
      </c>
      <c r="E508">
        <v>7.1</v>
      </c>
      <c r="F508">
        <v>1.1000000000000001</v>
      </c>
      <c r="G508">
        <v>3.72</v>
      </c>
      <c r="H508">
        <v>1.5</v>
      </c>
      <c r="I508" t="s">
        <v>18</v>
      </c>
      <c r="J508">
        <v>9</v>
      </c>
      <c r="K508">
        <v>6</v>
      </c>
      <c r="L508">
        <v>6</v>
      </c>
      <c r="M508">
        <v>0</v>
      </c>
    </row>
    <row r="509" spans="1:13" x14ac:dyDescent="0.25">
      <c r="A509">
        <v>17</v>
      </c>
      <c r="B509" t="s">
        <v>19</v>
      </c>
      <c r="C509">
        <v>6.4</v>
      </c>
      <c r="D509" t="s">
        <v>20</v>
      </c>
      <c r="E509">
        <v>4.9000000000000004</v>
      </c>
      <c r="F509">
        <v>2.1</v>
      </c>
      <c r="G509">
        <v>2.78</v>
      </c>
      <c r="H509">
        <v>1</v>
      </c>
      <c r="I509" t="s">
        <v>21</v>
      </c>
      <c r="J509">
        <v>2</v>
      </c>
      <c r="K509">
        <v>2</v>
      </c>
      <c r="L509">
        <v>6</v>
      </c>
      <c r="M509">
        <v>0</v>
      </c>
    </row>
    <row r="510" spans="1:13" x14ac:dyDescent="0.25">
      <c r="A510">
        <v>16</v>
      </c>
      <c r="B510" t="s">
        <v>19</v>
      </c>
      <c r="C510">
        <v>2.1</v>
      </c>
      <c r="D510" t="s">
        <v>20</v>
      </c>
      <c r="E510">
        <v>8.1999999999999993</v>
      </c>
      <c r="F510">
        <v>2.4</v>
      </c>
      <c r="G510">
        <v>3.25</v>
      </c>
      <c r="H510">
        <v>0.1</v>
      </c>
      <c r="I510" t="s">
        <v>21</v>
      </c>
      <c r="J510">
        <v>1</v>
      </c>
      <c r="K510">
        <v>1</v>
      </c>
      <c r="L510">
        <v>8</v>
      </c>
      <c r="M510">
        <v>0</v>
      </c>
    </row>
    <row r="511" spans="1:13" x14ac:dyDescent="0.25">
      <c r="A511">
        <v>17</v>
      </c>
      <c r="B511" t="s">
        <v>19</v>
      </c>
      <c r="C511">
        <v>2.2000000000000002</v>
      </c>
      <c r="D511" t="s">
        <v>20</v>
      </c>
      <c r="E511">
        <v>6.5</v>
      </c>
      <c r="F511">
        <v>3</v>
      </c>
      <c r="G511">
        <v>2.4900000000000002</v>
      </c>
      <c r="H511">
        <v>0.2</v>
      </c>
      <c r="I511" t="s">
        <v>22</v>
      </c>
      <c r="J511">
        <v>5</v>
      </c>
      <c r="K511">
        <v>8</v>
      </c>
      <c r="L511">
        <v>4</v>
      </c>
      <c r="M511">
        <v>0</v>
      </c>
    </row>
    <row r="512" spans="1:13" x14ac:dyDescent="0.25">
      <c r="A512">
        <v>14</v>
      </c>
      <c r="B512" t="s">
        <v>16</v>
      </c>
      <c r="C512">
        <v>5.5</v>
      </c>
      <c r="D512" t="s">
        <v>20</v>
      </c>
      <c r="E512">
        <v>7.4</v>
      </c>
      <c r="F512">
        <v>2.9</v>
      </c>
      <c r="G512">
        <v>3.54</v>
      </c>
      <c r="H512">
        <v>1.1000000000000001</v>
      </c>
      <c r="I512" t="s">
        <v>21</v>
      </c>
      <c r="J512">
        <v>8</v>
      </c>
      <c r="K512">
        <v>4</v>
      </c>
      <c r="L512">
        <v>10</v>
      </c>
      <c r="M512">
        <v>0</v>
      </c>
    </row>
    <row r="513" spans="1:13" x14ac:dyDescent="0.25">
      <c r="A513">
        <v>17</v>
      </c>
      <c r="B513" t="s">
        <v>19</v>
      </c>
      <c r="C513">
        <v>6.6</v>
      </c>
      <c r="D513" t="s">
        <v>23</v>
      </c>
      <c r="E513">
        <v>7.4</v>
      </c>
      <c r="F513">
        <v>2.2000000000000002</v>
      </c>
      <c r="G513">
        <v>2.63</v>
      </c>
      <c r="H513">
        <v>0.6</v>
      </c>
      <c r="I513" t="s">
        <v>21</v>
      </c>
      <c r="J513">
        <v>7</v>
      </c>
      <c r="K513">
        <v>4</v>
      </c>
      <c r="L513">
        <v>9</v>
      </c>
      <c r="M513">
        <v>0</v>
      </c>
    </row>
    <row r="514" spans="1:13" x14ac:dyDescent="0.25">
      <c r="A514">
        <v>19</v>
      </c>
      <c r="B514" t="s">
        <v>19</v>
      </c>
      <c r="C514">
        <v>5.2</v>
      </c>
      <c r="D514" t="s">
        <v>17</v>
      </c>
      <c r="E514">
        <v>6.6</v>
      </c>
      <c r="F514">
        <v>1.6</v>
      </c>
      <c r="G514">
        <v>2.36</v>
      </c>
      <c r="H514">
        <v>1.4</v>
      </c>
      <c r="I514" t="s">
        <v>18</v>
      </c>
      <c r="J514">
        <v>2</v>
      </c>
      <c r="K514">
        <v>6</v>
      </c>
      <c r="L514">
        <v>10</v>
      </c>
      <c r="M514">
        <v>0</v>
      </c>
    </row>
    <row r="515" spans="1:13" x14ac:dyDescent="0.25">
      <c r="A515">
        <v>17</v>
      </c>
      <c r="B515" t="s">
        <v>16</v>
      </c>
      <c r="C515">
        <v>4.7</v>
      </c>
      <c r="D515" t="s">
        <v>20</v>
      </c>
      <c r="E515">
        <v>5.0999999999999996</v>
      </c>
      <c r="F515">
        <v>2</v>
      </c>
      <c r="G515">
        <v>2.35</v>
      </c>
      <c r="H515">
        <v>1.8</v>
      </c>
      <c r="I515" t="s">
        <v>18</v>
      </c>
      <c r="J515">
        <v>8</v>
      </c>
      <c r="K515">
        <v>9</v>
      </c>
      <c r="L515">
        <v>1</v>
      </c>
      <c r="M515">
        <v>0</v>
      </c>
    </row>
    <row r="516" spans="1:13" x14ac:dyDescent="0.25">
      <c r="A516">
        <v>19</v>
      </c>
      <c r="B516" t="s">
        <v>19</v>
      </c>
      <c r="C516">
        <v>7.1</v>
      </c>
      <c r="D516" t="s">
        <v>23</v>
      </c>
      <c r="E516">
        <v>6.3</v>
      </c>
      <c r="F516">
        <v>2.2000000000000002</v>
      </c>
      <c r="G516">
        <v>3.88</v>
      </c>
      <c r="H516">
        <v>0.8</v>
      </c>
      <c r="I516" t="s">
        <v>21</v>
      </c>
      <c r="J516">
        <v>10</v>
      </c>
      <c r="K516">
        <v>4</v>
      </c>
      <c r="L516">
        <v>9</v>
      </c>
      <c r="M516">
        <v>0</v>
      </c>
    </row>
    <row r="517" spans="1:13" x14ac:dyDescent="0.25">
      <c r="A517">
        <v>19</v>
      </c>
      <c r="B517" t="s">
        <v>19</v>
      </c>
      <c r="C517">
        <v>4.2</v>
      </c>
      <c r="D517" t="s">
        <v>23</v>
      </c>
      <c r="E517">
        <v>8.1</v>
      </c>
      <c r="F517">
        <v>1.4</v>
      </c>
      <c r="G517">
        <v>2.66</v>
      </c>
      <c r="H517">
        <v>1.9</v>
      </c>
      <c r="I517" t="s">
        <v>18</v>
      </c>
      <c r="J517">
        <v>9</v>
      </c>
      <c r="K517">
        <v>4</v>
      </c>
      <c r="L517">
        <v>2</v>
      </c>
      <c r="M517">
        <v>0</v>
      </c>
    </row>
    <row r="518" spans="1:13" x14ac:dyDescent="0.25">
      <c r="A518">
        <v>17</v>
      </c>
      <c r="B518" t="s">
        <v>19</v>
      </c>
      <c r="C518">
        <v>1.3</v>
      </c>
      <c r="D518" t="s">
        <v>17</v>
      </c>
      <c r="E518">
        <v>5.0999999999999996</v>
      </c>
      <c r="F518">
        <v>2.2000000000000002</v>
      </c>
      <c r="G518">
        <v>3.44</v>
      </c>
      <c r="H518">
        <v>0.6</v>
      </c>
      <c r="I518" t="s">
        <v>21</v>
      </c>
      <c r="J518">
        <v>7</v>
      </c>
      <c r="K518">
        <v>8</v>
      </c>
      <c r="L518">
        <v>6</v>
      </c>
      <c r="M518">
        <v>0</v>
      </c>
    </row>
    <row r="519" spans="1:13" x14ac:dyDescent="0.25">
      <c r="A519">
        <v>18</v>
      </c>
      <c r="B519" t="s">
        <v>16</v>
      </c>
      <c r="C519">
        <v>2.6</v>
      </c>
      <c r="D519" t="s">
        <v>23</v>
      </c>
      <c r="E519">
        <v>7.8</v>
      </c>
      <c r="F519">
        <v>1.9</v>
      </c>
      <c r="G519">
        <v>3.15</v>
      </c>
      <c r="H519">
        <v>0.4</v>
      </c>
      <c r="I519" t="s">
        <v>22</v>
      </c>
      <c r="J519">
        <v>8</v>
      </c>
      <c r="K519">
        <v>3</v>
      </c>
      <c r="L519">
        <v>2</v>
      </c>
      <c r="M519">
        <v>0</v>
      </c>
    </row>
    <row r="520" spans="1:13" x14ac:dyDescent="0.25">
      <c r="A520">
        <v>15</v>
      </c>
      <c r="B520" t="s">
        <v>16</v>
      </c>
      <c r="C520">
        <v>6.2</v>
      </c>
      <c r="D520" t="s">
        <v>17</v>
      </c>
      <c r="E520">
        <v>8.1</v>
      </c>
      <c r="F520">
        <v>2.2999999999999998</v>
      </c>
      <c r="G520">
        <v>3.46</v>
      </c>
      <c r="H520">
        <v>1.3</v>
      </c>
      <c r="I520" t="s">
        <v>18</v>
      </c>
      <c r="J520">
        <v>5</v>
      </c>
      <c r="K520">
        <v>4</v>
      </c>
      <c r="L520">
        <v>9</v>
      </c>
      <c r="M520">
        <v>0</v>
      </c>
    </row>
    <row r="521" spans="1:13" x14ac:dyDescent="0.25">
      <c r="A521">
        <v>14</v>
      </c>
      <c r="B521" t="s">
        <v>19</v>
      </c>
      <c r="C521">
        <v>6.2</v>
      </c>
      <c r="D521" t="s">
        <v>20</v>
      </c>
      <c r="E521">
        <v>5.0999999999999996</v>
      </c>
      <c r="F521">
        <v>1.5</v>
      </c>
      <c r="G521">
        <v>3.85</v>
      </c>
      <c r="H521">
        <v>0.2</v>
      </c>
      <c r="I521" t="s">
        <v>21</v>
      </c>
      <c r="J521">
        <v>3</v>
      </c>
      <c r="K521">
        <v>4</v>
      </c>
      <c r="L521">
        <v>10</v>
      </c>
      <c r="M521">
        <v>0</v>
      </c>
    </row>
    <row r="522" spans="1:13" x14ac:dyDescent="0.25">
      <c r="A522">
        <v>18</v>
      </c>
      <c r="B522" t="s">
        <v>16</v>
      </c>
      <c r="C522">
        <v>4.8</v>
      </c>
      <c r="D522" t="s">
        <v>20</v>
      </c>
      <c r="E522">
        <v>8.5</v>
      </c>
      <c r="F522">
        <v>2.8</v>
      </c>
      <c r="G522">
        <v>3.77</v>
      </c>
      <c r="H522">
        <v>1.3</v>
      </c>
      <c r="I522" t="s">
        <v>18</v>
      </c>
      <c r="J522">
        <v>5</v>
      </c>
      <c r="K522">
        <v>4</v>
      </c>
      <c r="L522">
        <v>3</v>
      </c>
      <c r="M522">
        <v>0</v>
      </c>
    </row>
    <row r="523" spans="1:13" x14ac:dyDescent="0.25">
      <c r="A523">
        <v>18</v>
      </c>
      <c r="B523" t="s">
        <v>19</v>
      </c>
      <c r="C523">
        <v>3</v>
      </c>
      <c r="D523" t="s">
        <v>23</v>
      </c>
      <c r="E523">
        <v>4.5999999999999996</v>
      </c>
      <c r="F523">
        <v>2</v>
      </c>
      <c r="G523">
        <v>2.2400000000000002</v>
      </c>
      <c r="H523">
        <v>1.5</v>
      </c>
      <c r="I523" t="s">
        <v>22</v>
      </c>
      <c r="J523">
        <v>10</v>
      </c>
      <c r="K523">
        <v>2</v>
      </c>
      <c r="L523">
        <v>5</v>
      </c>
      <c r="M523">
        <v>0</v>
      </c>
    </row>
    <row r="524" spans="1:13" x14ac:dyDescent="0.25">
      <c r="A524">
        <v>16</v>
      </c>
      <c r="B524" t="s">
        <v>16</v>
      </c>
      <c r="C524">
        <v>4.7</v>
      </c>
      <c r="D524" t="s">
        <v>17</v>
      </c>
      <c r="E524">
        <v>8.1999999999999993</v>
      </c>
      <c r="F524">
        <v>2.7</v>
      </c>
      <c r="G524">
        <v>3.04</v>
      </c>
      <c r="H524">
        <v>0.3</v>
      </c>
      <c r="I524" t="s">
        <v>21</v>
      </c>
      <c r="J524">
        <v>1</v>
      </c>
      <c r="K524">
        <v>3</v>
      </c>
      <c r="L524">
        <v>4</v>
      </c>
      <c r="M524">
        <v>0</v>
      </c>
    </row>
    <row r="525" spans="1:13" x14ac:dyDescent="0.25">
      <c r="A525">
        <v>18</v>
      </c>
      <c r="B525" t="s">
        <v>19</v>
      </c>
      <c r="C525">
        <v>4.4000000000000004</v>
      </c>
      <c r="D525" t="s">
        <v>23</v>
      </c>
      <c r="E525">
        <v>5.0999999999999996</v>
      </c>
      <c r="F525">
        <v>1.4</v>
      </c>
      <c r="G525">
        <v>2.33</v>
      </c>
      <c r="H525">
        <v>0.6</v>
      </c>
      <c r="I525" t="s">
        <v>18</v>
      </c>
      <c r="J525">
        <v>2</v>
      </c>
      <c r="K525">
        <v>7</v>
      </c>
      <c r="L525">
        <v>4</v>
      </c>
      <c r="M525">
        <v>0</v>
      </c>
    </row>
    <row r="526" spans="1:13" x14ac:dyDescent="0.25">
      <c r="A526">
        <v>14</v>
      </c>
      <c r="B526" t="s">
        <v>19</v>
      </c>
      <c r="C526">
        <v>2.2999999999999998</v>
      </c>
      <c r="D526" t="s">
        <v>20</v>
      </c>
      <c r="E526">
        <v>7.3</v>
      </c>
      <c r="F526">
        <v>2.2999999999999998</v>
      </c>
      <c r="G526">
        <v>2.8</v>
      </c>
      <c r="H526">
        <v>1.5</v>
      </c>
      <c r="I526" t="s">
        <v>22</v>
      </c>
      <c r="J526">
        <v>4</v>
      </c>
      <c r="K526">
        <v>6</v>
      </c>
      <c r="L526">
        <v>5</v>
      </c>
      <c r="M526">
        <v>0</v>
      </c>
    </row>
    <row r="527" spans="1:13" x14ac:dyDescent="0.25">
      <c r="A527">
        <v>14</v>
      </c>
      <c r="B527" t="s">
        <v>19</v>
      </c>
      <c r="C527">
        <v>3.1</v>
      </c>
      <c r="D527" t="s">
        <v>17</v>
      </c>
      <c r="E527">
        <v>6.9</v>
      </c>
      <c r="F527">
        <v>1.9</v>
      </c>
      <c r="G527">
        <v>2.2000000000000002</v>
      </c>
      <c r="H527">
        <v>1.2</v>
      </c>
      <c r="I527" t="s">
        <v>22</v>
      </c>
      <c r="J527">
        <v>3</v>
      </c>
      <c r="K527">
        <v>4</v>
      </c>
      <c r="L527">
        <v>2</v>
      </c>
      <c r="M527">
        <v>0</v>
      </c>
    </row>
    <row r="528" spans="1:13" x14ac:dyDescent="0.25">
      <c r="A528">
        <v>18</v>
      </c>
      <c r="B528" t="s">
        <v>16</v>
      </c>
      <c r="C528">
        <v>2.9</v>
      </c>
      <c r="D528" t="s">
        <v>20</v>
      </c>
      <c r="E528">
        <v>7.5</v>
      </c>
      <c r="F528">
        <v>0.6</v>
      </c>
      <c r="G528">
        <v>2.25</v>
      </c>
      <c r="H528">
        <v>1</v>
      </c>
      <c r="I528" t="s">
        <v>21</v>
      </c>
      <c r="J528">
        <v>4</v>
      </c>
      <c r="K528">
        <v>7</v>
      </c>
      <c r="L528">
        <v>4</v>
      </c>
      <c r="M528">
        <v>0</v>
      </c>
    </row>
    <row r="529" spans="1:13" x14ac:dyDescent="0.25">
      <c r="A529">
        <v>13</v>
      </c>
      <c r="B529" t="s">
        <v>16</v>
      </c>
      <c r="C529">
        <v>1.8</v>
      </c>
      <c r="D529" t="s">
        <v>17</v>
      </c>
      <c r="E529">
        <v>4.4000000000000004</v>
      </c>
      <c r="F529">
        <v>0.6</v>
      </c>
      <c r="G529">
        <v>3.48</v>
      </c>
      <c r="H529">
        <v>1.7</v>
      </c>
      <c r="I529" t="s">
        <v>22</v>
      </c>
      <c r="J529">
        <v>3</v>
      </c>
      <c r="K529">
        <v>1</v>
      </c>
      <c r="L529">
        <v>10</v>
      </c>
      <c r="M529">
        <v>0</v>
      </c>
    </row>
    <row r="530" spans="1:13" x14ac:dyDescent="0.25">
      <c r="A530">
        <v>15</v>
      </c>
      <c r="B530" t="s">
        <v>19</v>
      </c>
      <c r="C530">
        <v>2</v>
      </c>
      <c r="D530" t="s">
        <v>17</v>
      </c>
      <c r="E530">
        <v>4.7</v>
      </c>
      <c r="F530">
        <v>1.3</v>
      </c>
      <c r="G530">
        <v>3.55</v>
      </c>
      <c r="H530">
        <v>1.3</v>
      </c>
      <c r="I530" t="s">
        <v>18</v>
      </c>
      <c r="J530">
        <v>2</v>
      </c>
      <c r="K530">
        <v>6</v>
      </c>
      <c r="L530">
        <v>5</v>
      </c>
      <c r="M530">
        <v>0</v>
      </c>
    </row>
    <row r="531" spans="1:13" x14ac:dyDescent="0.25">
      <c r="A531">
        <v>13</v>
      </c>
      <c r="B531" t="s">
        <v>19</v>
      </c>
      <c r="C531">
        <v>4.2</v>
      </c>
      <c r="D531" t="s">
        <v>17</v>
      </c>
      <c r="E531">
        <v>7.9</v>
      </c>
      <c r="F531">
        <v>2.7</v>
      </c>
      <c r="G531">
        <v>3.76</v>
      </c>
      <c r="H531">
        <v>0.1</v>
      </c>
      <c r="I531" t="s">
        <v>22</v>
      </c>
      <c r="J531">
        <v>10</v>
      </c>
      <c r="K531">
        <v>7</v>
      </c>
      <c r="L531">
        <v>2</v>
      </c>
      <c r="M531">
        <v>0</v>
      </c>
    </row>
    <row r="532" spans="1:13" x14ac:dyDescent="0.25">
      <c r="A532">
        <v>17</v>
      </c>
      <c r="B532" t="s">
        <v>19</v>
      </c>
      <c r="C532">
        <v>6.7</v>
      </c>
      <c r="D532" t="s">
        <v>23</v>
      </c>
      <c r="E532">
        <v>7.9</v>
      </c>
      <c r="F532">
        <v>1.4</v>
      </c>
      <c r="G532">
        <v>3.91</v>
      </c>
      <c r="H532">
        <v>0.4</v>
      </c>
      <c r="I532" t="s">
        <v>21</v>
      </c>
      <c r="J532">
        <v>3</v>
      </c>
      <c r="K532">
        <v>3</v>
      </c>
      <c r="L532">
        <v>1</v>
      </c>
      <c r="M532">
        <v>0</v>
      </c>
    </row>
    <row r="533" spans="1:13" x14ac:dyDescent="0.25">
      <c r="A533">
        <v>17</v>
      </c>
      <c r="B533" t="s">
        <v>19</v>
      </c>
      <c r="C533">
        <v>2.2000000000000002</v>
      </c>
      <c r="D533" t="s">
        <v>23</v>
      </c>
      <c r="E533">
        <v>7.2</v>
      </c>
      <c r="F533">
        <v>0.5</v>
      </c>
      <c r="G533">
        <v>2.38</v>
      </c>
      <c r="H533">
        <v>1.2</v>
      </c>
      <c r="I533" t="s">
        <v>22</v>
      </c>
      <c r="J533">
        <v>10</v>
      </c>
      <c r="K533">
        <v>4</v>
      </c>
      <c r="L533">
        <v>8</v>
      </c>
      <c r="M533">
        <v>0</v>
      </c>
    </row>
    <row r="534" spans="1:13" x14ac:dyDescent="0.25">
      <c r="A534">
        <v>17</v>
      </c>
      <c r="B534" t="s">
        <v>19</v>
      </c>
      <c r="C534">
        <v>1.1000000000000001</v>
      </c>
      <c r="D534" t="s">
        <v>20</v>
      </c>
      <c r="E534">
        <v>6.8</v>
      </c>
      <c r="F534">
        <v>0.6</v>
      </c>
      <c r="G534">
        <v>2.2799999999999998</v>
      </c>
      <c r="H534">
        <v>1.6</v>
      </c>
      <c r="I534" t="s">
        <v>22</v>
      </c>
      <c r="J534">
        <v>9</v>
      </c>
      <c r="K534">
        <v>3</v>
      </c>
      <c r="L534">
        <v>7</v>
      </c>
      <c r="M534">
        <v>0</v>
      </c>
    </row>
    <row r="535" spans="1:13" x14ac:dyDescent="0.25">
      <c r="A535">
        <v>16</v>
      </c>
      <c r="B535" t="s">
        <v>19</v>
      </c>
      <c r="C535">
        <v>6.4</v>
      </c>
      <c r="D535" t="s">
        <v>20</v>
      </c>
      <c r="E535">
        <v>5.9</v>
      </c>
      <c r="F535">
        <v>2.8</v>
      </c>
      <c r="G535">
        <v>3.81</v>
      </c>
      <c r="H535">
        <v>1.3</v>
      </c>
      <c r="I535" t="s">
        <v>21</v>
      </c>
      <c r="J535">
        <v>1</v>
      </c>
      <c r="K535">
        <v>3</v>
      </c>
      <c r="L535">
        <v>7</v>
      </c>
      <c r="M535">
        <v>0</v>
      </c>
    </row>
    <row r="536" spans="1:13" x14ac:dyDescent="0.25">
      <c r="A536">
        <v>19</v>
      </c>
      <c r="B536" t="s">
        <v>19</v>
      </c>
      <c r="C536">
        <v>2.8</v>
      </c>
      <c r="D536" t="s">
        <v>17</v>
      </c>
      <c r="E536">
        <v>5.9</v>
      </c>
      <c r="F536">
        <v>1.5</v>
      </c>
      <c r="G536">
        <v>2.85</v>
      </c>
      <c r="H536">
        <v>0.6</v>
      </c>
      <c r="I536" t="s">
        <v>21</v>
      </c>
      <c r="J536">
        <v>10</v>
      </c>
      <c r="K536">
        <v>9</v>
      </c>
      <c r="L536">
        <v>4</v>
      </c>
      <c r="M536">
        <v>0</v>
      </c>
    </row>
    <row r="537" spans="1:13" x14ac:dyDescent="0.25">
      <c r="A537">
        <v>13</v>
      </c>
      <c r="B537" t="s">
        <v>16</v>
      </c>
      <c r="C537">
        <v>2.2000000000000002</v>
      </c>
      <c r="D537" t="s">
        <v>23</v>
      </c>
      <c r="E537">
        <v>5.8</v>
      </c>
      <c r="F537">
        <v>2</v>
      </c>
      <c r="G537">
        <v>3.63</v>
      </c>
      <c r="H537">
        <v>1.9</v>
      </c>
      <c r="I537" t="s">
        <v>18</v>
      </c>
      <c r="J537">
        <v>4</v>
      </c>
      <c r="K537">
        <v>4</v>
      </c>
      <c r="L537">
        <v>10</v>
      </c>
      <c r="M537">
        <v>0</v>
      </c>
    </row>
    <row r="538" spans="1:13" x14ac:dyDescent="0.25">
      <c r="A538">
        <v>19</v>
      </c>
      <c r="B538" t="s">
        <v>16</v>
      </c>
      <c r="C538">
        <v>5.7</v>
      </c>
      <c r="D538" t="s">
        <v>17</v>
      </c>
      <c r="E538">
        <v>4.8</v>
      </c>
      <c r="F538">
        <v>2.2000000000000002</v>
      </c>
      <c r="G538">
        <v>3.66</v>
      </c>
      <c r="H538">
        <v>0.9</v>
      </c>
      <c r="I538" t="s">
        <v>18</v>
      </c>
      <c r="J538">
        <v>3</v>
      </c>
      <c r="K538">
        <v>7</v>
      </c>
      <c r="L538">
        <v>5</v>
      </c>
      <c r="M538">
        <v>0</v>
      </c>
    </row>
    <row r="539" spans="1:13" x14ac:dyDescent="0.25">
      <c r="A539">
        <v>15</v>
      </c>
      <c r="B539" t="s">
        <v>16</v>
      </c>
      <c r="C539">
        <v>5.3</v>
      </c>
      <c r="D539" t="s">
        <v>23</v>
      </c>
      <c r="E539">
        <v>7.3</v>
      </c>
      <c r="F539">
        <v>1.9</v>
      </c>
      <c r="G539">
        <v>2.5099999999999998</v>
      </c>
      <c r="H539">
        <v>1.4</v>
      </c>
      <c r="I539" t="s">
        <v>21</v>
      </c>
      <c r="J539">
        <v>10</v>
      </c>
      <c r="K539">
        <v>4</v>
      </c>
      <c r="L539">
        <v>2</v>
      </c>
      <c r="M539">
        <v>0</v>
      </c>
    </row>
    <row r="540" spans="1:13" x14ac:dyDescent="0.25">
      <c r="A540">
        <v>14</v>
      </c>
      <c r="B540" t="s">
        <v>16</v>
      </c>
      <c r="C540">
        <v>3.1</v>
      </c>
      <c r="D540" t="s">
        <v>20</v>
      </c>
      <c r="E540">
        <v>8.8000000000000007</v>
      </c>
      <c r="F540">
        <v>1.5</v>
      </c>
      <c r="G540">
        <v>3.91</v>
      </c>
      <c r="H540">
        <v>0.6</v>
      </c>
      <c r="I540" t="s">
        <v>22</v>
      </c>
      <c r="J540">
        <v>4</v>
      </c>
      <c r="K540">
        <v>9</v>
      </c>
      <c r="L540">
        <v>6</v>
      </c>
      <c r="M540">
        <v>0</v>
      </c>
    </row>
    <row r="541" spans="1:13" x14ac:dyDescent="0.25">
      <c r="A541">
        <v>16</v>
      </c>
      <c r="B541" t="s">
        <v>16</v>
      </c>
      <c r="C541">
        <v>1.7</v>
      </c>
      <c r="D541" t="s">
        <v>20</v>
      </c>
      <c r="E541">
        <v>4.9000000000000004</v>
      </c>
      <c r="F541">
        <v>0.6</v>
      </c>
      <c r="G541">
        <v>3.38</v>
      </c>
      <c r="H541">
        <v>1.1000000000000001</v>
      </c>
      <c r="I541" t="s">
        <v>22</v>
      </c>
      <c r="J541">
        <v>10</v>
      </c>
      <c r="K541">
        <v>4</v>
      </c>
      <c r="L541">
        <v>6</v>
      </c>
      <c r="M541">
        <v>0</v>
      </c>
    </row>
    <row r="542" spans="1:13" x14ac:dyDescent="0.25">
      <c r="A542">
        <v>19</v>
      </c>
      <c r="B542" t="s">
        <v>19</v>
      </c>
      <c r="C542">
        <v>6.7</v>
      </c>
      <c r="D542" t="s">
        <v>17</v>
      </c>
      <c r="E542">
        <v>7.3</v>
      </c>
      <c r="F542">
        <v>2.8</v>
      </c>
      <c r="G542">
        <v>2.2599999999999998</v>
      </c>
      <c r="H542">
        <v>1.4</v>
      </c>
      <c r="I542" t="s">
        <v>21</v>
      </c>
      <c r="J542">
        <v>7</v>
      </c>
      <c r="K542">
        <v>6</v>
      </c>
      <c r="L542">
        <v>8</v>
      </c>
      <c r="M542">
        <v>0</v>
      </c>
    </row>
    <row r="543" spans="1:13" x14ac:dyDescent="0.25">
      <c r="A543">
        <v>13</v>
      </c>
      <c r="B543" t="s">
        <v>19</v>
      </c>
      <c r="C543">
        <v>7.8</v>
      </c>
      <c r="D543" t="s">
        <v>17</v>
      </c>
      <c r="E543">
        <v>7.4</v>
      </c>
      <c r="F543">
        <v>1.7</v>
      </c>
      <c r="G543">
        <v>2.76</v>
      </c>
      <c r="H543">
        <v>1.1000000000000001</v>
      </c>
      <c r="I543" t="s">
        <v>18</v>
      </c>
      <c r="J543">
        <v>10</v>
      </c>
      <c r="K543">
        <v>1</v>
      </c>
      <c r="L543">
        <v>4</v>
      </c>
      <c r="M543">
        <v>0</v>
      </c>
    </row>
    <row r="544" spans="1:13" x14ac:dyDescent="0.25">
      <c r="A544">
        <v>18</v>
      </c>
      <c r="B544" t="s">
        <v>19</v>
      </c>
      <c r="C544">
        <v>2.1</v>
      </c>
      <c r="D544" t="s">
        <v>23</v>
      </c>
      <c r="E544">
        <v>6.7</v>
      </c>
      <c r="F544">
        <v>0.9</v>
      </c>
      <c r="G544">
        <v>3.73</v>
      </c>
      <c r="H544">
        <v>0.7</v>
      </c>
      <c r="I544" t="s">
        <v>18</v>
      </c>
      <c r="J544">
        <v>3</v>
      </c>
      <c r="K544">
        <v>5</v>
      </c>
      <c r="L544">
        <v>7</v>
      </c>
      <c r="M544">
        <v>0</v>
      </c>
    </row>
    <row r="545" spans="1:13" x14ac:dyDescent="0.25">
      <c r="A545">
        <v>17</v>
      </c>
      <c r="B545" t="s">
        <v>19</v>
      </c>
      <c r="C545">
        <v>5.0999999999999996</v>
      </c>
      <c r="D545" t="s">
        <v>20</v>
      </c>
      <c r="E545">
        <v>8.6</v>
      </c>
      <c r="F545">
        <v>1.9</v>
      </c>
      <c r="G545">
        <v>3.33</v>
      </c>
      <c r="H545">
        <v>1.1000000000000001</v>
      </c>
      <c r="I545" t="s">
        <v>18</v>
      </c>
      <c r="J545">
        <v>1</v>
      </c>
      <c r="K545">
        <v>7</v>
      </c>
      <c r="L545">
        <v>8</v>
      </c>
      <c r="M545">
        <v>0</v>
      </c>
    </row>
    <row r="546" spans="1:13" x14ac:dyDescent="0.25">
      <c r="A546">
        <v>18</v>
      </c>
      <c r="B546" t="s">
        <v>19</v>
      </c>
      <c r="C546">
        <v>3.6</v>
      </c>
      <c r="D546" t="s">
        <v>17</v>
      </c>
      <c r="E546">
        <v>5.4</v>
      </c>
      <c r="F546">
        <v>0.9</v>
      </c>
      <c r="G546">
        <v>3.45</v>
      </c>
      <c r="H546">
        <v>0.5</v>
      </c>
      <c r="I546" t="s">
        <v>22</v>
      </c>
      <c r="J546">
        <v>1</v>
      </c>
      <c r="K546">
        <v>10</v>
      </c>
      <c r="L546">
        <v>2</v>
      </c>
      <c r="M546">
        <v>0</v>
      </c>
    </row>
    <row r="547" spans="1:13" x14ac:dyDescent="0.25">
      <c r="A547">
        <v>18</v>
      </c>
      <c r="B547" t="s">
        <v>16</v>
      </c>
      <c r="C547">
        <v>5</v>
      </c>
      <c r="D547" t="s">
        <v>23</v>
      </c>
      <c r="E547">
        <v>7.6</v>
      </c>
      <c r="F547">
        <v>2</v>
      </c>
      <c r="G547">
        <v>3.94</v>
      </c>
      <c r="H547">
        <v>0.5</v>
      </c>
      <c r="I547" t="s">
        <v>18</v>
      </c>
      <c r="J547">
        <v>4</v>
      </c>
      <c r="K547">
        <v>3</v>
      </c>
      <c r="L547">
        <v>3</v>
      </c>
      <c r="M547">
        <v>0</v>
      </c>
    </row>
    <row r="548" spans="1:13" x14ac:dyDescent="0.25">
      <c r="A548">
        <v>17</v>
      </c>
      <c r="B548" t="s">
        <v>16</v>
      </c>
      <c r="C548">
        <v>1.7</v>
      </c>
      <c r="D548" t="s">
        <v>23</v>
      </c>
      <c r="E548">
        <v>8.6</v>
      </c>
      <c r="F548">
        <v>0.9</v>
      </c>
      <c r="G548">
        <v>2.36</v>
      </c>
      <c r="H548">
        <v>1.7</v>
      </c>
      <c r="I548" t="s">
        <v>18</v>
      </c>
      <c r="J548">
        <v>9</v>
      </c>
      <c r="K548">
        <v>1</v>
      </c>
      <c r="L548">
        <v>3</v>
      </c>
      <c r="M548">
        <v>0</v>
      </c>
    </row>
    <row r="549" spans="1:13" x14ac:dyDescent="0.25">
      <c r="A549">
        <v>17</v>
      </c>
      <c r="B549" t="s">
        <v>16</v>
      </c>
      <c r="C549">
        <v>6.8</v>
      </c>
      <c r="D549" t="s">
        <v>17</v>
      </c>
      <c r="E549">
        <v>4.7</v>
      </c>
      <c r="F549">
        <v>0.6</v>
      </c>
      <c r="G549">
        <v>3.4</v>
      </c>
      <c r="H549">
        <v>0.9</v>
      </c>
      <c r="I549" t="s">
        <v>18</v>
      </c>
      <c r="J549">
        <v>3</v>
      </c>
      <c r="K549">
        <v>9</v>
      </c>
      <c r="L549">
        <v>7</v>
      </c>
      <c r="M549">
        <v>0</v>
      </c>
    </row>
    <row r="550" spans="1:13" x14ac:dyDescent="0.25">
      <c r="A550">
        <v>14</v>
      </c>
      <c r="B550" t="s">
        <v>16</v>
      </c>
      <c r="C550">
        <v>3.8</v>
      </c>
      <c r="D550" t="s">
        <v>23</v>
      </c>
      <c r="E550">
        <v>7.5</v>
      </c>
      <c r="F550">
        <v>0.5</v>
      </c>
      <c r="G550">
        <v>2.1800000000000002</v>
      </c>
      <c r="H550">
        <v>1</v>
      </c>
      <c r="I550" t="s">
        <v>22</v>
      </c>
      <c r="J550">
        <v>5</v>
      </c>
      <c r="K550">
        <v>2</v>
      </c>
      <c r="L550">
        <v>2</v>
      </c>
      <c r="M550">
        <v>0</v>
      </c>
    </row>
    <row r="551" spans="1:13" x14ac:dyDescent="0.25">
      <c r="A551">
        <v>16</v>
      </c>
      <c r="B551" t="s">
        <v>16</v>
      </c>
      <c r="C551">
        <v>2.1</v>
      </c>
      <c r="D551" t="s">
        <v>17</v>
      </c>
      <c r="E551">
        <v>7.7</v>
      </c>
      <c r="F551">
        <v>1.1000000000000001</v>
      </c>
      <c r="G551">
        <v>2.27</v>
      </c>
      <c r="H551">
        <v>1.1000000000000001</v>
      </c>
      <c r="I551" t="s">
        <v>22</v>
      </c>
      <c r="J551">
        <v>3</v>
      </c>
      <c r="K551">
        <v>2</v>
      </c>
      <c r="L551">
        <v>4</v>
      </c>
      <c r="M551">
        <v>0</v>
      </c>
    </row>
    <row r="552" spans="1:13" x14ac:dyDescent="0.25">
      <c r="A552">
        <v>15</v>
      </c>
      <c r="B552" t="s">
        <v>19</v>
      </c>
      <c r="C552">
        <v>3.2</v>
      </c>
      <c r="D552" t="s">
        <v>17</v>
      </c>
      <c r="E552">
        <v>4</v>
      </c>
      <c r="F552">
        <v>2</v>
      </c>
      <c r="G552">
        <v>3.25</v>
      </c>
      <c r="H552">
        <v>0.7</v>
      </c>
      <c r="I552" t="s">
        <v>18</v>
      </c>
      <c r="J552">
        <v>8</v>
      </c>
      <c r="K552">
        <v>4</v>
      </c>
      <c r="L552">
        <v>8</v>
      </c>
      <c r="M552">
        <v>0</v>
      </c>
    </row>
    <row r="553" spans="1:13" x14ac:dyDescent="0.25">
      <c r="A553">
        <v>18</v>
      </c>
      <c r="B553" t="s">
        <v>16</v>
      </c>
      <c r="C553">
        <v>1.9</v>
      </c>
      <c r="D553" t="s">
        <v>17</v>
      </c>
      <c r="E553">
        <v>5.6</v>
      </c>
      <c r="F553">
        <v>2.2999999999999998</v>
      </c>
      <c r="G553">
        <v>2.8</v>
      </c>
      <c r="H553">
        <v>1.9</v>
      </c>
      <c r="I553" t="s">
        <v>22</v>
      </c>
      <c r="J553">
        <v>8</v>
      </c>
      <c r="K553">
        <v>1</v>
      </c>
      <c r="L553">
        <v>8</v>
      </c>
      <c r="M553">
        <v>0</v>
      </c>
    </row>
    <row r="554" spans="1:13" x14ac:dyDescent="0.25">
      <c r="A554">
        <v>13</v>
      </c>
      <c r="B554" t="s">
        <v>19</v>
      </c>
      <c r="C554">
        <v>3.5</v>
      </c>
      <c r="D554" t="s">
        <v>17</v>
      </c>
      <c r="E554">
        <v>6.8</v>
      </c>
      <c r="F554">
        <v>1.5</v>
      </c>
      <c r="G554">
        <v>2.35</v>
      </c>
      <c r="H554">
        <v>1.8</v>
      </c>
      <c r="I554" t="s">
        <v>22</v>
      </c>
      <c r="J554">
        <v>7</v>
      </c>
      <c r="K554">
        <v>3</v>
      </c>
      <c r="L554">
        <v>2</v>
      </c>
      <c r="M554">
        <v>0</v>
      </c>
    </row>
    <row r="555" spans="1:13" x14ac:dyDescent="0.25">
      <c r="A555">
        <v>15</v>
      </c>
      <c r="B555" t="s">
        <v>19</v>
      </c>
      <c r="C555">
        <v>4.5</v>
      </c>
      <c r="D555" t="s">
        <v>17</v>
      </c>
      <c r="E555">
        <v>7.7</v>
      </c>
      <c r="F555">
        <v>0.9</v>
      </c>
      <c r="G555">
        <v>2.61</v>
      </c>
      <c r="H555">
        <v>1.1000000000000001</v>
      </c>
      <c r="I555" t="s">
        <v>22</v>
      </c>
      <c r="J555">
        <v>9</v>
      </c>
      <c r="K555">
        <v>10</v>
      </c>
      <c r="L555">
        <v>4</v>
      </c>
      <c r="M555">
        <v>0</v>
      </c>
    </row>
    <row r="556" spans="1:13" x14ac:dyDescent="0.25">
      <c r="A556">
        <v>13</v>
      </c>
      <c r="B556" t="s">
        <v>19</v>
      </c>
      <c r="C556">
        <v>6</v>
      </c>
      <c r="D556" t="s">
        <v>20</v>
      </c>
      <c r="E556">
        <v>5</v>
      </c>
      <c r="F556">
        <v>2.5</v>
      </c>
      <c r="G556">
        <v>2.5499999999999998</v>
      </c>
      <c r="H556">
        <v>1.8</v>
      </c>
      <c r="I556" t="s">
        <v>21</v>
      </c>
      <c r="J556">
        <v>4</v>
      </c>
      <c r="K556">
        <v>9</v>
      </c>
      <c r="L556">
        <v>2</v>
      </c>
      <c r="M556">
        <v>0</v>
      </c>
    </row>
    <row r="557" spans="1:13" x14ac:dyDescent="0.25">
      <c r="A557">
        <v>13</v>
      </c>
      <c r="B557" t="s">
        <v>19</v>
      </c>
      <c r="C557">
        <v>3.6</v>
      </c>
      <c r="D557" t="s">
        <v>20</v>
      </c>
      <c r="E557">
        <v>4.8</v>
      </c>
      <c r="F557">
        <v>2.2000000000000002</v>
      </c>
      <c r="G557">
        <v>3.58</v>
      </c>
      <c r="H557">
        <v>1.2</v>
      </c>
      <c r="I557" t="s">
        <v>22</v>
      </c>
      <c r="J557">
        <v>4</v>
      </c>
      <c r="K557">
        <v>4</v>
      </c>
      <c r="L557">
        <v>7</v>
      </c>
      <c r="M557">
        <v>0</v>
      </c>
    </row>
    <row r="558" spans="1:13" x14ac:dyDescent="0.25">
      <c r="A558">
        <v>19</v>
      </c>
      <c r="B558" t="s">
        <v>16</v>
      </c>
      <c r="C558">
        <v>5.2</v>
      </c>
      <c r="D558" t="s">
        <v>20</v>
      </c>
      <c r="E558">
        <v>6.9</v>
      </c>
      <c r="F558">
        <v>2.2999999999999998</v>
      </c>
      <c r="G558">
        <v>2.09</v>
      </c>
      <c r="H558">
        <v>0.2</v>
      </c>
      <c r="I558" t="s">
        <v>21</v>
      </c>
      <c r="J558">
        <v>6</v>
      </c>
      <c r="K558">
        <v>4</v>
      </c>
      <c r="L558">
        <v>8</v>
      </c>
      <c r="M558">
        <v>0</v>
      </c>
    </row>
    <row r="559" spans="1:13" x14ac:dyDescent="0.25">
      <c r="A559">
        <v>13</v>
      </c>
      <c r="B559" t="s">
        <v>16</v>
      </c>
      <c r="C559">
        <v>2.7</v>
      </c>
      <c r="D559" t="s">
        <v>23</v>
      </c>
      <c r="E559">
        <v>6.9</v>
      </c>
      <c r="F559">
        <v>1.4</v>
      </c>
      <c r="G559">
        <v>2.87</v>
      </c>
      <c r="H559">
        <v>1.5</v>
      </c>
      <c r="I559" t="s">
        <v>18</v>
      </c>
      <c r="J559">
        <v>2</v>
      </c>
      <c r="K559">
        <v>6</v>
      </c>
      <c r="L559">
        <v>3</v>
      </c>
      <c r="M559">
        <v>0</v>
      </c>
    </row>
    <row r="560" spans="1:13" x14ac:dyDescent="0.25">
      <c r="A560">
        <v>16</v>
      </c>
      <c r="B560" t="s">
        <v>19</v>
      </c>
      <c r="C560">
        <v>2.8</v>
      </c>
      <c r="D560" t="s">
        <v>20</v>
      </c>
      <c r="E560">
        <v>7.1</v>
      </c>
      <c r="F560">
        <v>1.4</v>
      </c>
      <c r="G560">
        <v>3.85</v>
      </c>
      <c r="H560">
        <v>0.4</v>
      </c>
      <c r="I560" t="s">
        <v>21</v>
      </c>
      <c r="J560">
        <v>7</v>
      </c>
      <c r="K560">
        <v>9</v>
      </c>
      <c r="L560">
        <v>8</v>
      </c>
      <c r="M560">
        <v>0</v>
      </c>
    </row>
    <row r="561" spans="1:13" x14ac:dyDescent="0.25">
      <c r="A561">
        <v>14</v>
      </c>
      <c r="B561" t="s">
        <v>16</v>
      </c>
      <c r="C561">
        <v>5.6</v>
      </c>
      <c r="D561" t="s">
        <v>17</v>
      </c>
      <c r="E561">
        <v>7</v>
      </c>
      <c r="F561">
        <v>1.9</v>
      </c>
      <c r="G561">
        <v>2.58</v>
      </c>
      <c r="H561">
        <v>0.4</v>
      </c>
      <c r="I561" t="s">
        <v>18</v>
      </c>
      <c r="J561">
        <v>5</v>
      </c>
      <c r="K561">
        <v>7</v>
      </c>
      <c r="L561">
        <v>3</v>
      </c>
      <c r="M561">
        <v>0</v>
      </c>
    </row>
    <row r="562" spans="1:13" x14ac:dyDescent="0.25">
      <c r="A562">
        <v>16</v>
      </c>
      <c r="B562" t="s">
        <v>16</v>
      </c>
      <c r="C562">
        <v>2.7</v>
      </c>
      <c r="D562" t="s">
        <v>23</v>
      </c>
      <c r="E562">
        <v>7.2</v>
      </c>
      <c r="F562">
        <v>0.6</v>
      </c>
      <c r="G562">
        <v>3.98</v>
      </c>
      <c r="H562">
        <v>1.7</v>
      </c>
      <c r="I562" t="s">
        <v>18</v>
      </c>
      <c r="J562">
        <v>6</v>
      </c>
      <c r="K562">
        <v>1</v>
      </c>
      <c r="L562">
        <v>5</v>
      </c>
      <c r="M562">
        <v>0</v>
      </c>
    </row>
    <row r="563" spans="1:13" x14ac:dyDescent="0.25">
      <c r="A563">
        <v>14</v>
      </c>
      <c r="B563" t="s">
        <v>16</v>
      </c>
      <c r="C563">
        <v>4.2</v>
      </c>
      <c r="D563" t="s">
        <v>23</v>
      </c>
      <c r="E563">
        <v>7</v>
      </c>
      <c r="F563">
        <v>1.1000000000000001</v>
      </c>
      <c r="G563">
        <v>2.12</v>
      </c>
      <c r="H563">
        <v>0.9</v>
      </c>
      <c r="I563" t="s">
        <v>21</v>
      </c>
      <c r="J563">
        <v>4</v>
      </c>
      <c r="K563">
        <v>8</v>
      </c>
      <c r="L563">
        <v>1</v>
      </c>
      <c r="M563">
        <v>0</v>
      </c>
    </row>
    <row r="564" spans="1:13" x14ac:dyDescent="0.25">
      <c r="A564">
        <v>18</v>
      </c>
      <c r="B564" t="s">
        <v>19</v>
      </c>
      <c r="C564">
        <v>5.0999999999999996</v>
      </c>
      <c r="D564" t="s">
        <v>20</v>
      </c>
      <c r="E564">
        <v>8.1999999999999993</v>
      </c>
      <c r="F564">
        <v>2.8</v>
      </c>
      <c r="G564">
        <v>2.1800000000000002</v>
      </c>
      <c r="H564">
        <v>0.5</v>
      </c>
      <c r="I564" t="s">
        <v>21</v>
      </c>
      <c r="J564">
        <v>8</v>
      </c>
      <c r="K564">
        <v>8</v>
      </c>
      <c r="L564">
        <v>8</v>
      </c>
      <c r="M564">
        <v>0</v>
      </c>
    </row>
    <row r="565" spans="1:13" x14ac:dyDescent="0.25">
      <c r="A565">
        <v>15</v>
      </c>
      <c r="B565" t="s">
        <v>19</v>
      </c>
      <c r="C565">
        <v>5.7</v>
      </c>
      <c r="D565" t="s">
        <v>17</v>
      </c>
      <c r="E565">
        <v>6.1</v>
      </c>
      <c r="F565">
        <v>0.7</v>
      </c>
      <c r="G565">
        <v>3.08</v>
      </c>
      <c r="H565">
        <v>0.6</v>
      </c>
      <c r="I565" t="s">
        <v>22</v>
      </c>
      <c r="J565">
        <v>5</v>
      </c>
      <c r="K565">
        <v>9</v>
      </c>
      <c r="L565">
        <v>7</v>
      </c>
      <c r="M565">
        <v>0</v>
      </c>
    </row>
    <row r="566" spans="1:13" x14ac:dyDescent="0.25">
      <c r="A566">
        <v>13</v>
      </c>
      <c r="B566" t="s">
        <v>19</v>
      </c>
      <c r="C566">
        <v>1.5</v>
      </c>
      <c r="D566" t="s">
        <v>23</v>
      </c>
      <c r="E566">
        <v>7.9</v>
      </c>
      <c r="F566">
        <v>1.8</v>
      </c>
      <c r="G566">
        <v>2.85</v>
      </c>
      <c r="H566">
        <v>1.1000000000000001</v>
      </c>
      <c r="I566" t="s">
        <v>22</v>
      </c>
      <c r="J566">
        <v>5</v>
      </c>
      <c r="K566">
        <v>7</v>
      </c>
      <c r="L566">
        <v>1</v>
      </c>
      <c r="M566">
        <v>0</v>
      </c>
    </row>
    <row r="567" spans="1:13" x14ac:dyDescent="0.25">
      <c r="A567">
        <v>15</v>
      </c>
      <c r="B567" t="s">
        <v>19</v>
      </c>
      <c r="C567">
        <v>6.9</v>
      </c>
      <c r="D567" t="s">
        <v>20</v>
      </c>
      <c r="E567">
        <v>8.3000000000000007</v>
      </c>
      <c r="F567">
        <v>2.4</v>
      </c>
      <c r="G567">
        <v>3.34</v>
      </c>
      <c r="H567">
        <v>1.2</v>
      </c>
      <c r="I567" t="s">
        <v>21</v>
      </c>
      <c r="J567">
        <v>2</v>
      </c>
      <c r="K567">
        <v>4</v>
      </c>
      <c r="L567">
        <v>9</v>
      </c>
      <c r="M567">
        <v>0</v>
      </c>
    </row>
    <row r="568" spans="1:13" x14ac:dyDescent="0.25">
      <c r="A568">
        <v>14</v>
      </c>
      <c r="B568" t="s">
        <v>16</v>
      </c>
      <c r="C568">
        <v>4.7</v>
      </c>
      <c r="D568" t="s">
        <v>20</v>
      </c>
      <c r="E568">
        <v>7.9</v>
      </c>
      <c r="F568">
        <v>2.9</v>
      </c>
      <c r="G568">
        <v>2.54</v>
      </c>
      <c r="H568">
        <v>0.7</v>
      </c>
      <c r="I568" t="s">
        <v>21</v>
      </c>
      <c r="J568">
        <v>5</v>
      </c>
      <c r="K568">
        <v>8</v>
      </c>
      <c r="L568">
        <v>7</v>
      </c>
      <c r="M568">
        <v>0</v>
      </c>
    </row>
    <row r="569" spans="1:13" x14ac:dyDescent="0.25">
      <c r="A569">
        <v>15</v>
      </c>
      <c r="B569" t="s">
        <v>19</v>
      </c>
      <c r="C569">
        <v>2.7</v>
      </c>
      <c r="D569" t="s">
        <v>23</v>
      </c>
      <c r="E569">
        <v>8.5</v>
      </c>
      <c r="F569">
        <v>0.8</v>
      </c>
      <c r="G569">
        <v>2.91</v>
      </c>
      <c r="H569">
        <v>1.3</v>
      </c>
      <c r="I569" t="s">
        <v>18</v>
      </c>
      <c r="J569">
        <v>6</v>
      </c>
      <c r="K569">
        <v>3</v>
      </c>
      <c r="L569">
        <v>1</v>
      </c>
      <c r="M569">
        <v>0</v>
      </c>
    </row>
    <row r="570" spans="1:13" x14ac:dyDescent="0.25">
      <c r="A570">
        <v>13</v>
      </c>
      <c r="B570" t="s">
        <v>19</v>
      </c>
      <c r="C570">
        <v>6.1</v>
      </c>
      <c r="D570" t="s">
        <v>23</v>
      </c>
      <c r="E570">
        <v>6.4</v>
      </c>
      <c r="F570">
        <v>2.8</v>
      </c>
      <c r="G570">
        <v>2.5099999999999998</v>
      </c>
      <c r="H570">
        <v>1.9</v>
      </c>
      <c r="I570" t="s">
        <v>18</v>
      </c>
      <c r="J570">
        <v>6</v>
      </c>
      <c r="K570">
        <v>1</v>
      </c>
      <c r="L570">
        <v>9</v>
      </c>
      <c r="M570">
        <v>0</v>
      </c>
    </row>
    <row r="571" spans="1:13" x14ac:dyDescent="0.25">
      <c r="A571">
        <v>17</v>
      </c>
      <c r="B571" t="s">
        <v>19</v>
      </c>
      <c r="C571">
        <v>5</v>
      </c>
      <c r="D571" t="s">
        <v>20</v>
      </c>
      <c r="E571">
        <v>7.3</v>
      </c>
      <c r="F571">
        <v>1.9</v>
      </c>
      <c r="G571">
        <v>3.83</v>
      </c>
      <c r="H571">
        <v>0.4</v>
      </c>
      <c r="I571" t="s">
        <v>21</v>
      </c>
      <c r="J571">
        <v>8</v>
      </c>
      <c r="K571">
        <v>9</v>
      </c>
      <c r="L571">
        <v>9</v>
      </c>
      <c r="M571">
        <v>0</v>
      </c>
    </row>
    <row r="572" spans="1:13" x14ac:dyDescent="0.25">
      <c r="A572">
        <v>17</v>
      </c>
      <c r="B572" t="s">
        <v>19</v>
      </c>
      <c r="C572">
        <v>5.3</v>
      </c>
      <c r="D572" t="s">
        <v>23</v>
      </c>
      <c r="E572">
        <v>6.8</v>
      </c>
      <c r="F572">
        <v>1.9</v>
      </c>
      <c r="G572">
        <v>3.39</v>
      </c>
      <c r="H572">
        <v>1.6</v>
      </c>
      <c r="I572" t="s">
        <v>18</v>
      </c>
      <c r="J572">
        <v>10</v>
      </c>
      <c r="K572">
        <v>6</v>
      </c>
      <c r="L572">
        <v>8</v>
      </c>
      <c r="M572">
        <v>0</v>
      </c>
    </row>
    <row r="573" spans="1:13" x14ac:dyDescent="0.25">
      <c r="A573">
        <v>19</v>
      </c>
      <c r="B573" t="s">
        <v>16</v>
      </c>
      <c r="C573">
        <v>7.2</v>
      </c>
      <c r="D573" t="s">
        <v>20</v>
      </c>
      <c r="E573">
        <v>6.6</v>
      </c>
      <c r="F573">
        <v>2.9</v>
      </c>
      <c r="G573">
        <v>2.74</v>
      </c>
      <c r="H573">
        <v>0.3</v>
      </c>
      <c r="I573" t="s">
        <v>22</v>
      </c>
      <c r="J573">
        <v>1</v>
      </c>
      <c r="K573">
        <v>10</v>
      </c>
      <c r="L573">
        <v>9</v>
      </c>
      <c r="M573">
        <v>0</v>
      </c>
    </row>
    <row r="574" spans="1:13" x14ac:dyDescent="0.25">
      <c r="A574">
        <v>15</v>
      </c>
      <c r="B574" t="s">
        <v>16</v>
      </c>
      <c r="C574">
        <v>2.2999999999999998</v>
      </c>
      <c r="D574" t="s">
        <v>23</v>
      </c>
      <c r="E574">
        <v>5.7</v>
      </c>
      <c r="F574">
        <v>2.8</v>
      </c>
      <c r="G574">
        <v>2.79</v>
      </c>
      <c r="H574">
        <v>1.9</v>
      </c>
      <c r="I574" t="s">
        <v>22</v>
      </c>
      <c r="J574">
        <v>4</v>
      </c>
      <c r="K574">
        <v>1</v>
      </c>
      <c r="L574">
        <v>4</v>
      </c>
      <c r="M574">
        <v>0</v>
      </c>
    </row>
    <row r="575" spans="1:13" x14ac:dyDescent="0.25">
      <c r="A575">
        <v>17</v>
      </c>
      <c r="B575" t="s">
        <v>19</v>
      </c>
      <c r="C575">
        <v>7.3</v>
      </c>
      <c r="D575" t="s">
        <v>23</v>
      </c>
      <c r="E575">
        <v>7.8</v>
      </c>
      <c r="F575">
        <v>1.1000000000000001</v>
      </c>
      <c r="G575">
        <v>2.0299999999999998</v>
      </c>
      <c r="H575">
        <v>1.1000000000000001</v>
      </c>
      <c r="I575" t="s">
        <v>18</v>
      </c>
      <c r="J575">
        <v>3</v>
      </c>
      <c r="K575">
        <v>10</v>
      </c>
      <c r="L575">
        <v>6</v>
      </c>
      <c r="M575">
        <v>0</v>
      </c>
    </row>
    <row r="576" spans="1:13" x14ac:dyDescent="0.25">
      <c r="A576">
        <v>16</v>
      </c>
      <c r="B576" t="s">
        <v>19</v>
      </c>
      <c r="C576">
        <v>1.5</v>
      </c>
      <c r="D576" t="s">
        <v>17</v>
      </c>
      <c r="E576">
        <v>8</v>
      </c>
      <c r="F576">
        <v>0.7</v>
      </c>
      <c r="G576">
        <v>2.1800000000000002</v>
      </c>
      <c r="H576">
        <v>0.6</v>
      </c>
      <c r="I576" t="s">
        <v>22</v>
      </c>
      <c r="J576">
        <v>4</v>
      </c>
      <c r="K576">
        <v>7</v>
      </c>
      <c r="L576">
        <v>5</v>
      </c>
      <c r="M576">
        <v>0</v>
      </c>
    </row>
    <row r="577" spans="1:13" x14ac:dyDescent="0.25">
      <c r="A577">
        <v>18</v>
      </c>
      <c r="B577" t="s">
        <v>19</v>
      </c>
      <c r="C577">
        <v>2.2000000000000002</v>
      </c>
      <c r="D577" t="s">
        <v>17</v>
      </c>
      <c r="E577">
        <v>6.5</v>
      </c>
      <c r="F577">
        <v>1.9</v>
      </c>
      <c r="G577">
        <v>3.79</v>
      </c>
      <c r="H577">
        <v>0.2</v>
      </c>
      <c r="I577" t="s">
        <v>18</v>
      </c>
      <c r="J577">
        <v>1</v>
      </c>
      <c r="K577">
        <v>6</v>
      </c>
      <c r="L577">
        <v>2</v>
      </c>
      <c r="M577">
        <v>0</v>
      </c>
    </row>
    <row r="578" spans="1:13" x14ac:dyDescent="0.25">
      <c r="A578">
        <v>13</v>
      </c>
      <c r="B578" t="s">
        <v>19</v>
      </c>
      <c r="C578">
        <v>5.5</v>
      </c>
      <c r="D578" t="s">
        <v>23</v>
      </c>
      <c r="E578">
        <v>6.7</v>
      </c>
      <c r="F578">
        <v>1.6</v>
      </c>
      <c r="G578">
        <v>3.09</v>
      </c>
      <c r="H578">
        <v>1.7</v>
      </c>
      <c r="I578" t="s">
        <v>21</v>
      </c>
      <c r="J578">
        <v>10</v>
      </c>
      <c r="K578">
        <v>1</v>
      </c>
      <c r="L578">
        <v>6</v>
      </c>
      <c r="M578">
        <v>0</v>
      </c>
    </row>
    <row r="579" spans="1:13" x14ac:dyDescent="0.25">
      <c r="A579">
        <v>19</v>
      </c>
      <c r="B579" t="s">
        <v>16</v>
      </c>
      <c r="C579">
        <v>2.1</v>
      </c>
      <c r="D579" t="s">
        <v>20</v>
      </c>
      <c r="E579">
        <v>5.2</v>
      </c>
      <c r="F579">
        <v>2.5</v>
      </c>
      <c r="G579">
        <v>3.1</v>
      </c>
      <c r="H579">
        <v>0.3</v>
      </c>
      <c r="I579" t="s">
        <v>18</v>
      </c>
      <c r="J579">
        <v>9</v>
      </c>
      <c r="K579">
        <v>9</v>
      </c>
      <c r="L579">
        <v>3</v>
      </c>
      <c r="M579">
        <v>0</v>
      </c>
    </row>
    <row r="580" spans="1:13" x14ac:dyDescent="0.25">
      <c r="A580">
        <v>15</v>
      </c>
      <c r="B580" t="s">
        <v>19</v>
      </c>
      <c r="C580">
        <v>4.5</v>
      </c>
      <c r="D580" t="s">
        <v>23</v>
      </c>
      <c r="E580">
        <v>5.4</v>
      </c>
      <c r="F580">
        <v>1.2</v>
      </c>
      <c r="G580">
        <v>3.76</v>
      </c>
      <c r="H580">
        <v>1.7</v>
      </c>
      <c r="I580" t="s">
        <v>21</v>
      </c>
      <c r="J580">
        <v>1</v>
      </c>
      <c r="K580">
        <v>8</v>
      </c>
      <c r="L580">
        <v>7</v>
      </c>
      <c r="M580">
        <v>0</v>
      </c>
    </row>
    <row r="581" spans="1:13" x14ac:dyDescent="0.25">
      <c r="A581">
        <v>13</v>
      </c>
      <c r="B581" t="s">
        <v>16</v>
      </c>
      <c r="C581">
        <v>3.9</v>
      </c>
      <c r="D581" t="s">
        <v>23</v>
      </c>
      <c r="E581">
        <v>5.8</v>
      </c>
      <c r="F581">
        <v>0.7</v>
      </c>
      <c r="G581">
        <v>2.77</v>
      </c>
      <c r="H581">
        <v>1.3</v>
      </c>
      <c r="I581" t="s">
        <v>22</v>
      </c>
      <c r="J581">
        <v>10</v>
      </c>
      <c r="K581">
        <v>3</v>
      </c>
      <c r="L581">
        <v>1</v>
      </c>
      <c r="M581">
        <v>0</v>
      </c>
    </row>
    <row r="582" spans="1:13" x14ac:dyDescent="0.25">
      <c r="A582">
        <v>14</v>
      </c>
      <c r="B582" t="s">
        <v>16</v>
      </c>
      <c r="C582">
        <v>5.8</v>
      </c>
      <c r="D582" t="s">
        <v>17</v>
      </c>
      <c r="E582">
        <v>5.0999999999999996</v>
      </c>
      <c r="F582">
        <v>2.6</v>
      </c>
      <c r="G582">
        <v>2.06</v>
      </c>
      <c r="H582">
        <v>1.5</v>
      </c>
      <c r="I582" t="s">
        <v>22</v>
      </c>
      <c r="J582">
        <v>7</v>
      </c>
      <c r="K582">
        <v>5</v>
      </c>
      <c r="L582">
        <v>2</v>
      </c>
      <c r="M582">
        <v>0</v>
      </c>
    </row>
    <row r="583" spans="1:13" x14ac:dyDescent="0.25">
      <c r="A583">
        <v>13</v>
      </c>
      <c r="B583" t="s">
        <v>19</v>
      </c>
      <c r="C583">
        <v>7.2</v>
      </c>
      <c r="D583" t="s">
        <v>23</v>
      </c>
      <c r="E583">
        <v>4.2</v>
      </c>
      <c r="F583">
        <v>2.5</v>
      </c>
      <c r="G583">
        <v>2.65</v>
      </c>
      <c r="H583">
        <v>1.6</v>
      </c>
      <c r="I583" t="s">
        <v>18</v>
      </c>
      <c r="J583">
        <v>10</v>
      </c>
      <c r="K583">
        <v>9</v>
      </c>
      <c r="L583">
        <v>3</v>
      </c>
      <c r="M583">
        <v>1</v>
      </c>
    </row>
    <row r="584" spans="1:13" x14ac:dyDescent="0.25">
      <c r="A584">
        <v>17</v>
      </c>
      <c r="B584" t="s">
        <v>19</v>
      </c>
      <c r="C584">
        <v>2.9</v>
      </c>
      <c r="D584" t="s">
        <v>23</v>
      </c>
      <c r="E584">
        <v>7.5</v>
      </c>
      <c r="F584">
        <v>1.4</v>
      </c>
      <c r="G584">
        <v>3.42</v>
      </c>
      <c r="H584">
        <v>1.7</v>
      </c>
      <c r="I584" t="s">
        <v>18</v>
      </c>
      <c r="J584">
        <v>5</v>
      </c>
      <c r="K584">
        <v>6</v>
      </c>
      <c r="L584">
        <v>3</v>
      </c>
      <c r="M584">
        <v>0</v>
      </c>
    </row>
    <row r="585" spans="1:13" x14ac:dyDescent="0.25">
      <c r="A585">
        <v>17</v>
      </c>
      <c r="B585" t="s">
        <v>16</v>
      </c>
      <c r="C585">
        <v>6.2</v>
      </c>
      <c r="D585" t="s">
        <v>17</v>
      </c>
      <c r="E585">
        <v>7.4</v>
      </c>
      <c r="F585">
        <v>0.6</v>
      </c>
      <c r="G585">
        <v>3.38</v>
      </c>
      <c r="H585">
        <v>1.5</v>
      </c>
      <c r="I585" t="s">
        <v>18</v>
      </c>
      <c r="J585">
        <v>4</v>
      </c>
      <c r="K585">
        <v>7</v>
      </c>
      <c r="L585">
        <v>9</v>
      </c>
      <c r="M585">
        <v>0</v>
      </c>
    </row>
    <row r="586" spans="1:13" x14ac:dyDescent="0.25">
      <c r="A586">
        <v>18</v>
      </c>
      <c r="B586" t="s">
        <v>19</v>
      </c>
      <c r="C586">
        <v>1.1000000000000001</v>
      </c>
      <c r="D586" t="s">
        <v>23</v>
      </c>
      <c r="E586">
        <v>4.9000000000000004</v>
      </c>
      <c r="F586">
        <v>2.6</v>
      </c>
      <c r="G586">
        <v>2.4300000000000002</v>
      </c>
      <c r="H586">
        <v>1.3</v>
      </c>
      <c r="I586" t="s">
        <v>21</v>
      </c>
      <c r="J586">
        <v>9</v>
      </c>
      <c r="K586">
        <v>7</v>
      </c>
      <c r="L586">
        <v>6</v>
      </c>
      <c r="M586">
        <v>0</v>
      </c>
    </row>
    <row r="587" spans="1:13" x14ac:dyDescent="0.25">
      <c r="A587">
        <v>19</v>
      </c>
      <c r="B587" t="s">
        <v>16</v>
      </c>
      <c r="C587">
        <v>5.2</v>
      </c>
      <c r="D587" t="s">
        <v>17</v>
      </c>
      <c r="E587">
        <v>4.3</v>
      </c>
      <c r="F587">
        <v>1.3</v>
      </c>
      <c r="G587">
        <v>2.29</v>
      </c>
      <c r="H587">
        <v>1.3</v>
      </c>
      <c r="I587" t="s">
        <v>22</v>
      </c>
      <c r="J587">
        <v>10</v>
      </c>
      <c r="K587">
        <v>8</v>
      </c>
      <c r="L587">
        <v>10</v>
      </c>
      <c r="M587">
        <v>1</v>
      </c>
    </row>
    <row r="588" spans="1:13" x14ac:dyDescent="0.25">
      <c r="A588">
        <v>15</v>
      </c>
      <c r="B588" t="s">
        <v>19</v>
      </c>
      <c r="C588">
        <v>5</v>
      </c>
      <c r="D588" t="s">
        <v>17</v>
      </c>
      <c r="E588">
        <v>7.6</v>
      </c>
      <c r="F588">
        <v>1.8</v>
      </c>
      <c r="G588">
        <v>2.52</v>
      </c>
      <c r="H588">
        <v>1.4</v>
      </c>
      <c r="I588" t="s">
        <v>21</v>
      </c>
      <c r="J588">
        <v>1</v>
      </c>
      <c r="K588">
        <v>4</v>
      </c>
      <c r="L588">
        <v>3</v>
      </c>
      <c r="M588">
        <v>0</v>
      </c>
    </row>
    <row r="589" spans="1:13" x14ac:dyDescent="0.25">
      <c r="A589">
        <v>13</v>
      </c>
      <c r="B589" t="s">
        <v>19</v>
      </c>
      <c r="C589">
        <v>2.2999999999999998</v>
      </c>
      <c r="D589" t="s">
        <v>20</v>
      </c>
      <c r="E589">
        <v>8.6999999999999993</v>
      </c>
      <c r="F589">
        <v>1.2</v>
      </c>
      <c r="G589">
        <v>3.25</v>
      </c>
      <c r="H589">
        <v>1.5</v>
      </c>
      <c r="I589" t="s">
        <v>21</v>
      </c>
      <c r="J589">
        <v>9</v>
      </c>
      <c r="K589">
        <v>9</v>
      </c>
      <c r="L589">
        <v>1</v>
      </c>
      <c r="M589">
        <v>0</v>
      </c>
    </row>
    <row r="590" spans="1:13" x14ac:dyDescent="0.25">
      <c r="A590">
        <v>15</v>
      </c>
      <c r="B590" t="s">
        <v>19</v>
      </c>
      <c r="C590">
        <v>5.2</v>
      </c>
      <c r="D590" t="s">
        <v>20</v>
      </c>
      <c r="E590">
        <v>5.6</v>
      </c>
      <c r="F590">
        <v>1.5</v>
      </c>
      <c r="G590">
        <v>3.13</v>
      </c>
      <c r="H590">
        <v>0.1</v>
      </c>
      <c r="I590" t="s">
        <v>18</v>
      </c>
      <c r="J590">
        <v>7</v>
      </c>
      <c r="K590">
        <v>9</v>
      </c>
      <c r="L590">
        <v>4</v>
      </c>
      <c r="M590">
        <v>1</v>
      </c>
    </row>
    <row r="591" spans="1:13" x14ac:dyDescent="0.25">
      <c r="A591">
        <v>13</v>
      </c>
      <c r="B591" t="s">
        <v>19</v>
      </c>
      <c r="C591">
        <v>3.5</v>
      </c>
      <c r="D591" t="s">
        <v>23</v>
      </c>
      <c r="E591">
        <v>8.6999999999999993</v>
      </c>
      <c r="F591">
        <v>1.4</v>
      </c>
      <c r="G591">
        <v>3.5</v>
      </c>
      <c r="H591">
        <v>1.3</v>
      </c>
      <c r="I591" t="s">
        <v>21</v>
      </c>
      <c r="J591">
        <v>9</v>
      </c>
      <c r="K591">
        <v>4</v>
      </c>
      <c r="L591">
        <v>5</v>
      </c>
      <c r="M591">
        <v>0</v>
      </c>
    </row>
    <row r="592" spans="1:13" x14ac:dyDescent="0.25">
      <c r="A592">
        <v>16</v>
      </c>
      <c r="B592" t="s">
        <v>19</v>
      </c>
      <c r="C592">
        <v>3.5</v>
      </c>
      <c r="D592" t="s">
        <v>23</v>
      </c>
      <c r="E592">
        <v>4.2</v>
      </c>
      <c r="F592">
        <v>1.5</v>
      </c>
      <c r="G592">
        <v>3.98</v>
      </c>
      <c r="H592">
        <v>0.4</v>
      </c>
      <c r="I592" t="s">
        <v>22</v>
      </c>
      <c r="J592">
        <v>1</v>
      </c>
      <c r="K592">
        <v>7</v>
      </c>
      <c r="L592">
        <v>2</v>
      </c>
      <c r="M592">
        <v>0</v>
      </c>
    </row>
    <row r="593" spans="1:13" x14ac:dyDescent="0.25">
      <c r="A593">
        <v>19</v>
      </c>
      <c r="B593" t="s">
        <v>16</v>
      </c>
      <c r="C593">
        <v>7.7</v>
      </c>
      <c r="D593" t="s">
        <v>17</v>
      </c>
      <c r="E593">
        <v>4.2</v>
      </c>
      <c r="F593">
        <v>2.6</v>
      </c>
      <c r="G593">
        <v>2.2000000000000002</v>
      </c>
      <c r="H593">
        <v>1.8</v>
      </c>
      <c r="I593" t="s">
        <v>18</v>
      </c>
      <c r="J593">
        <v>8</v>
      </c>
      <c r="K593">
        <v>9</v>
      </c>
      <c r="L593">
        <v>4</v>
      </c>
      <c r="M593">
        <v>1</v>
      </c>
    </row>
    <row r="594" spans="1:13" x14ac:dyDescent="0.25">
      <c r="A594">
        <v>18</v>
      </c>
      <c r="B594" t="s">
        <v>19</v>
      </c>
      <c r="C594">
        <v>2</v>
      </c>
      <c r="D594" t="s">
        <v>23</v>
      </c>
      <c r="E594">
        <v>8.6</v>
      </c>
      <c r="F594">
        <v>2.2000000000000002</v>
      </c>
      <c r="G594">
        <v>3.53</v>
      </c>
      <c r="H594">
        <v>1.9</v>
      </c>
      <c r="I594" t="s">
        <v>18</v>
      </c>
      <c r="J594">
        <v>2</v>
      </c>
      <c r="K594">
        <v>5</v>
      </c>
      <c r="L594">
        <v>8</v>
      </c>
      <c r="M594">
        <v>0</v>
      </c>
    </row>
    <row r="595" spans="1:13" x14ac:dyDescent="0.25">
      <c r="A595">
        <v>13</v>
      </c>
      <c r="B595" t="s">
        <v>19</v>
      </c>
      <c r="C595">
        <v>5.0999999999999996</v>
      </c>
      <c r="D595" t="s">
        <v>20</v>
      </c>
      <c r="E595">
        <v>4.5</v>
      </c>
      <c r="F595">
        <v>2.7</v>
      </c>
      <c r="G595">
        <v>2.54</v>
      </c>
      <c r="H595">
        <v>1.4</v>
      </c>
      <c r="I595" t="s">
        <v>21</v>
      </c>
      <c r="J595">
        <v>2</v>
      </c>
      <c r="K595">
        <v>3</v>
      </c>
      <c r="L595">
        <v>10</v>
      </c>
      <c r="M595">
        <v>0</v>
      </c>
    </row>
    <row r="596" spans="1:13" x14ac:dyDescent="0.25">
      <c r="A596">
        <v>16</v>
      </c>
      <c r="B596" t="s">
        <v>16</v>
      </c>
      <c r="C596">
        <v>2</v>
      </c>
      <c r="D596" t="s">
        <v>17</v>
      </c>
      <c r="E596">
        <v>7.9</v>
      </c>
      <c r="F596">
        <v>2.4</v>
      </c>
      <c r="G596">
        <v>2.81</v>
      </c>
      <c r="H596">
        <v>1.9</v>
      </c>
      <c r="I596" t="s">
        <v>18</v>
      </c>
      <c r="J596">
        <v>10</v>
      </c>
      <c r="K596">
        <v>6</v>
      </c>
      <c r="L596">
        <v>6</v>
      </c>
      <c r="M596">
        <v>0</v>
      </c>
    </row>
    <row r="597" spans="1:13" x14ac:dyDescent="0.25">
      <c r="A597">
        <v>15</v>
      </c>
      <c r="B597" t="s">
        <v>16</v>
      </c>
      <c r="C597">
        <v>4.7</v>
      </c>
      <c r="D597" t="s">
        <v>17</v>
      </c>
      <c r="E597">
        <v>8.4</v>
      </c>
      <c r="F597">
        <v>1.9</v>
      </c>
      <c r="G597">
        <v>3.9</v>
      </c>
      <c r="H597">
        <v>1</v>
      </c>
      <c r="I597" t="s">
        <v>21</v>
      </c>
      <c r="J597">
        <v>4</v>
      </c>
      <c r="K597">
        <v>10</v>
      </c>
      <c r="L597">
        <v>6</v>
      </c>
      <c r="M597">
        <v>0</v>
      </c>
    </row>
    <row r="598" spans="1:13" x14ac:dyDescent="0.25">
      <c r="A598">
        <v>17</v>
      </c>
      <c r="B598" t="s">
        <v>19</v>
      </c>
      <c r="C598">
        <v>6.9</v>
      </c>
      <c r="D598" t="s">
        <v>20</v>
      </c>
      <c r="E598">
        <v>6.1</v>
      </c>
      <c r="F598">
        <v>2.4</v>
      </c>
      <c r="G598">
        <v>3.77</v>
      </c>
      <c r="H598">
        <v>1.1000000000000001</v>
      </c>
      <c r="I598" t="s">
        <v>22</v>
      </c>
      <c r="J598">
        <v>9</v>
      </c>
      <c r="K598">
        <v>4</v>
      </c>
      <c r="L598">
        <v>9</v>
      </c>
      <c r="M598">
        <v>0</v>
      </c>
    </row>
    <row r="599" spans="1:13" x14ac:dyDescent="0.25">
      <c r="A599">
        <v>18</v>
      </c>
      <c r="B599" t="s">
        <v>16</v>
      </c>
      <c r="C599">
        <v>5.9</v>
      </c>
      <c r="D599" t="s">
        <v>17</v>
      </c>
      <c r="E599">
        <v>4.4000000000000004</v>
      </c>
      <c r="F599">
        <v>2.7</v>
      </c>
      <c r="G599">
        <v>2.09</v>
      </c>
      <c r="H599">
        <v>1.8</v>
      </c>
      <c r="I599" t="s">
        <v>21</v>
      </c>
      <c r="J599">
        <v>1</v>
      </c>
      <c r="K599">
        <v>6</v>
      </c>
      <c r="L599">
        <v>6</v>
      </c>
      <c r="M599">
        <v>0</v>
      </c>
    </row>
    <row r="600" spans="1:13" x14ac:dyDescent="0.25">
      <c r="A600">
        <v>19</v>
      </c>
      <c r="B600" t="s">
        <v>16</v>
      </c>
      <c r="C600">
        <v>2.7</v>
      </c>
      <c r="D600" t="s">
        <v>17</v>
      </c>
      <c r="E600">
        <v>6.3</v>
      </c>
      <c r="F600">
        <v>1.3</v>
      </c>
      <c r="G600">
        <v>3.91</v>
      </c>
      <c r="H600">
        <v>1.2</v>
      </c>
      <c r="I600" t="s">
        <v>21</v>
      </c>
      <c r="J600">
        <v>7</v>
      </c>
      <c r="K600">
        <v>5</v>
      </c>
      <c r="L600">
        <v>7</v>
      </c>
      <c r="M600">
        <v>0</v>
      </c>
    </row>
    <row r="601" spans="1:13" x14ac:dyDescent="0.25">
      <c r="A601">
        <v>16</v>
      </c>
      <c r="B601" t="s">
        <v>16</v>
      </c>
      <c r="C601">
        <v>7.9</v>
      </c>
      <c r="D601" t="s">
        <v>20</v>
      </c>
      <c r="E601">
        <v>8</v>
      </c>
      <c r="F601">
        <v>1.6</v>
      </c>
      <c r="G601">
        <v>3.47</v>
      </c>
      <c r="H601">
        <v>1.5</v>
      </c>
      <c r="I601" t="s">
        <v>21</v>
      </c>
      <c r="J601">
        <v>3</v>
      </c>
      <c r="K601">
        <v>5</v>
      </c>
      <c r="L601">
        <v>6</v>
      </c>
      <c r="M601">
        <v>0</v>
      </c>
    </row>
    <row r="602" spans="1:13" x14ac:dyDescent="0.25">
      <c r="A602">
        <v>16</v>
      </c>
      <c r="B602" t="s">
        <v>19</v>
      </c>
      <c r="C602">
        <v>7.4</v>
      </c>
      <c r="D602" t="s">
        <v>20</v>
      </c>
      <c r="E602">
        <v>5.5</v>
      </c>
      <c r="F602">
        <v>1.8</v>
      </c>
      <c r="G602">
        <v>2.13</v>
      </c>
      <c r="H602">
        <v>0.3</v>
      </c>
      <c r="I602" t="s">
        <v>21</v>
      </c>
      <c r="J602">
        <v>7</v>
      </c>
      <c r="K602">
        <v>9</v>
      </c>
      <c r="L602">
        <v>9</v>
      </c>
      <c r="M602">
        <v>1</v>
      </c>
    </row>
    <row r="603" spans="1:13" x14ac:dyDescent="0.25">
      <c r="A603">
        <v>17</v>
      </c>
      <c r="B603" t="s">
        <v>19</v>
      </c>
      <c r="C603">
        <v>2.2999999999999998</v>
      </c>
      <c r="D603" t="s">
        <v>17</v>
      </c>
      <c r="E603">
        <v>4.9000000000000004</v>
      </c>
      <c r="F603">
        <v>1.7</v>
      </c>
      <c r="G603">
        <v>2.0699999999999998</v>
      </c>
      <c r="H603">
        <v>0.3</v>
      </c>
      <c r="I603" t="s">
        <v>22</v>
      </c>
      <c r="J603">
        <v>3</v>
      </c>
      <c r="K603">
        <v>7</v>
      </c>
      <c r="L603">
        <v>7</v>
      </c>
      <c r="M603">
        <v>0</v>
      </c>
    </row>
    <row r="604" spans="1:13" x14ac:dyDescent="0.25">
      <c r="A604">
        <v>13</v>
      </c>
      <c r="B604" t="s">
        <v>16</v>
      </c>
      <c r="C604">
        <v>7.1</v>
      </c>
      <c r="D604" t="s">
        <v>23</v>
      </c>
      <c r="E604">
        <v>5.7</v>
      </c>
      <c r="F604">
        <v>2.1</v>
      </c>
      <c r="G604">
        <v>3.52</v>
      </c>
      <c r="H604">
        <v>1.7</v>
      </c>
      <c r="I604" t="s">
        <v>18</v>
      </c>
      <c r="J604">
        <v>1</v>
      </c>
      <c r="K604">
        <v>1</v>
      </c>
      <c r="L604">
        <v>3</v>
      </c>
      <c r="M604">
        <v>0</v>
      </c>
    </row>
    <row r="605" spans="1:13" x14ac:dyDescent="0.25">
      <c r="A605">
        <v>16</v>
      </c>
      <c r="B605" t="s">
        <v>16</v>
      </c>
      <c r="C605">
        <v>6.9</v>
      </c>
      <c r="D605" t="s">
        <v>17</v>
      </c>
      <c r="E605">
        <v>6.8</v>
      </c>
      <c r="F605">
        <v>1.1000000000000001</v>
      </c>
      <c r="G605">
        <v>3.33</v>
      </c>
      <c r="H605">
        <v>1</v>
      </c>
      <c r="I605" t="s">
        <v>22</v>
      </c>
      <c r="J605">
        <v>7</v>
      </c>
      <c r="K605">
        <v>9</v>
      </c>
      <c r="L605">
        <v>4</v>
      </c>
      <c r="M605">
        <v>0</v>
      </c>
    </row>
    <row r="606" spans="1:13" x14ac:dyDescent="0.25">
      <c r="A606">
        <v>16</v>
      </c>
      <c r="B606" t="s">
        <v>19</v>
      </c>
      <c r="C606">
        <v>5.6</v>
      </c>
      <c r="D606" t="s">
        <v>20</v>
      </c>
      <c r="E606">
        <v>7.9</v>
      </c>
      <c r="F606">
        <v>2</v>
      </c>
      <c r="G606">
        <v>3.91</v>
      </c>
      <c r="H606">
        <v>0.6</v>
      </c>
      <c r="I606" t="s">
        <v>22</v>
      </c>
      <c r="J606">
        <v>7</v>
      </c>
      <c r="K606">
        <v>3</v>
      </c>
      <c r="L606">
        <v>10</v>
      </c>
      <c r="M606">
        <v>0</v>
      </c>
    </row>
    <row r="607" spans="1:13" x14ac:dyDescent="0.25">
      <c r="A607">
        <v>16</v>
      </c>
      <c r="B607" t="s">
        <v>19</v>
      </c>
      <c r="C607">
        <v>5.2</v>
      </c>
      <c r="D607" t="s">
        <v>20</v>
      </c>
      <c r="E607">
        <v>8.1</v>
      </c>
      <c r="F607">
        <v>2.1</v>
      </c>
      <c r="G607">
        <v>2.67</v>
      </c>
      <c r="H607">
        <v>1.7</v>
      </c>
      <c r="I607" t="s">
        <v>22</v>
      </c>
      <c r="J607">
        <v>9</v>
      </c>
      <c r="K607">
        <v>10</v>
      </c>
      <c r="L607">
        <v>10</v>
      </c>
      <c r="M607">
        <v>0</v>
      </c>
    </row>
    <row r="608" spans="1:13" x14ac:dyDescent="0.25">
      <c r="A608">
        <v>17</v>
      </c>
      <c r="B608" t="s">
        <v>16</v>
      </c>
      <c r="C608">
        <v>4.5</v>
      </c>
      <c r="D608" t="s">
        <v>23</v>
      </c>
      <c r="E608">
        <v>4.9000000000000004</v>
      </c>
      <c r="F608">
        <v>0.5</v>
      </c>
      <c r="G608">
        <v>3.44</v>
      </c>
      <c r="H608">
        <v>1.2</v>
      </c>
      <c r="I608" t="s">
        <v>22</v>
      </c>
      <c r="J608">
        <v>5</v>
      </c>
      <c r="K608">
        <v>3</v>
      </c>
      <c r="L608">
        <v>1</v>
      </c>
      <c r="M608">
        <v>0</v>
      </c>
    </row>
    <row r="609" spans="1:13" x14ac:dyDescent="0.25">
      <c r="A609">
        <v>14</v>
      </c>
      <c r="B609" t="s">
        <v>16</v>
      </c>
      <c r="C609">
        <v>3.6</v>
      </c>
      <c r="D609" t="s">
        <v>20</v>
      </c>
      <c r="E609">
        <v>4</v>
      </c>
      <c r="F609">
        <v>1.4</v>
      </c>
      <c r="G609">
        <v>3.83</v>
      </c>
      <c r="H609">
        <v>0.5</v>
      </c>
      <c r="I609" t="s">
        <v>22</v>
      </c>
      <c r="J609">
        <v>1</v>
      </c>
      <c r="K609">
        <v>5</v>
      </c>
      <c r="L609">
        <v>2</v>
      </c>
      <c r="M609">
        <v>0</v>
      </c>
    </row>
    <row r="610" spans="1:13" x14ac:dyDescent="0.25">
      <c r="A610">
        <v>19</v>
      </c>
      <c r="B610" t="s">
        <v>16</v>
      </c>
      <c r="C610">
        <v>7.2</v>
      </c>
      <c r="D610" t="s">
        <v>17</v>
      </c>
      <c r="E610">
        <v>5</v>
      </c>
      <c r="F610">
        <v>2.2000000000000002</v>
      </c>
      <c r="G610">
        <v>2.5</v>
      </c>
      <c r="H610">
        <v>0.7</v>
      </c>
      <c r="I610" t="s">
        <v>21</v>
      </c>
      <c r="J610">
        <v>6</v>
      </c>
      <c r="K610">
        <v>9</v>
      </c>
      <c r="L610">
        <v>2</v>
      </c>
      <c r="M610">
        <v>0</v>
      </c>
    </row>
    <row r="611" spans="1:13" x14ac:dyDescent="0.25">
      <c r="A611">
        <v>17</v>
      </c>
      <c r="B611" t="s">
        <v>16</v>
      </c>
      <c r="C611">
        <v>6.4</v>
      </c>
      <c r="D611" t="s">
        <v>20</v>
      </c>
      <c r="E611">
        <v>8.6</v>
      </c>
      <c r="F611">
        <v>2.2999999999999998</v>
      </c>
      <c r="G611">
        <v>2.57</v>
      </c>
      <c r="H611">
        <v>1.3</v>
      </c>
      <c r="I611" t="s">
        <v>18</v>
      </c>
      <c r="J611">
        <v>9</v>
      </c>
      <c r="K611">
        <v>10</v>
      </c>
      <c r="L611">
        <v>5</v>
      </c>
      <c r="M611">
        <v>0</v>
      </c>
    </row>
    <row r="612" spans="1:13" x14ac:dyDescent="0.25">
      <c r="A612">
        <v>15</v>
      </c>
      <c r="B612" t="s">
        <v>16</v>
      </c>
      <c r="C612">
        <v>7.1</v>
      </c>
      <c r="D612" t="s">
        <v>23</v>
      </c>
      <c r="E612">
        <v>6.5</v>
      </c>
      <c r="F612">
        <v>0.7</v>
      </c>
      <c r="G612">
        <v>3.94</v>
      </c>
      <c r="H612">
        <v>0.2</v>
      </c>
      <c r="I612" t="s">
        <v>22</v>
      </c>
      <c r="J612">
        <v>4</v>
      </c>
      <c r="K612">
        <v>7</v>
      </c>
      <c r="L612">
        <v>1</v>
      </c>
      <c r="M612">
        <v>0</v>
      </c>
    </row>
    <row r="613" spans="1:13" x14ac:dyDescent="0.25">
      <c r="A613">
        <v>18</v>
      </c>
      <c r="B613" t="s">
        <v>16</v>
      </c>
      <c r="C613">
        <v>1.2</v>
      </c>
      <c r="D613" t="s">
        <v>23</v>
      </c>
      <c r="E613">
        <v>4.0999999999999996</v>
      </c>
      <c r="F613">
        <v>1.1000000000000001</v>
      </c>
      <c r="G613">
        <v>3.04</v>
      </c>
      <c r="H613">
        <v>1.6</v>
      </c>
      <c r="I613" t="s">
        <v>18</v>
      </c>
      <c r="J613">
        <v>1</v>
      </c>
      <c r="K613">
        <v>3</v>
      </c>
      <c r="L613">
        <v>6</v>
      </c>
      <c r="M613">
        <v>0</v>
      </c>
    </row>
    <row r="614" spans="1:13" x14ac:dyDescent="0.25">
      <c r="A614">
        <v>19</v>
      </c>
      <c r="B614" t="s">
        <v>16</v>
      </c>
      <c r="C614">
        <v>6.6</v>
      </c>
      <c r="D614" t="s">
        <v>20</v>
      </c>
      <c r="E614">
        <v>8.8000000000000007</v>
      </c>
      <c r="F614">
        <v>0.9</v>
      </c>
      <c r="G614">
        <v>3.84</v>
      </c>
      <c r="H614">
        <v>0.3</v>
      </c>
      <c r="I614" t="s">
        <v>21</v>
      </c>
      <c r="J614">
        <v>10</v>
      </c>
      <c r="K614">
        <v>10</v>
      </c>
      <c r="L614">
        <v>6</v>
      </c>
      <c r="M614">
        <v>0</v>
      </c>
    </row>
    <row r="615" spans="1:13" x14ac:dyDescent="0.25">
      <c r="A615">
        <v>19</v>
      </c>
      <c r="B615" t="s">
        <v>19</v>
      </c>
      <c r="C615">
        <v>6.5</v>
      </c>
      <c r="D615" t="s">
        <v>20</v>
      </c>
      <c r="E615">
        <v>6.4</v>
      </c>
      <c r="F615">
        <v>1.1000000000000001</v>
      </c>
      <c r="G615">
        <v>3.71</v>
      </c>
      <c r="H615">
        <v>1.2</v>
      </c>
      <c r="I615" t="s">
        <v>18</v>
      </c>
      <c r="J615">
        <v>8</v>
      </c>
      <c r="K615">
        <v>9</v>
      </c>
      <c r="L615">
        <v>8</v>
      </c>
      <c r="M615">
        <v>0</v>
      </c>
    </row>
    <row r="616" spans="1:13" x14ac:dyDescent="0.25">
      <c r="A616">
        <v>16</v>
      </c>
      <c r="B616" t="s">
        <v>16</v>
      </c>
      <c r="C616">
        <v>2</v>
      </c>
      <c r="D616" t="s">
        <v>20</v>
      </c>
      <c r="E616">
        <v>4.4000000000000004</v>
      </c>
      <c r="F616">
        <v>0.7</v>
      </c>
      <c r="G616">
        <v>2.68</v>
      </c>
      <c r="H616">
        <v>0.8</v>
      </c>
      <c r="I616" t="s">
        <v>22</v>
      </c>
      <c r="J616">
        <v>1</v>
      </c>
      <c r="K616">
        <v>4</v>
      </c>
      <c r="L616">
        <v>10</v>
      </c>
      <c r="M616">
        <v>0</v>
      </c>
    </row>
    <row r="617" spans="1:13" x14ac:dyDescent="0.25">
      <c r="A617">
        <v>13</v>
      </c>
      <c r="B617" t="s">
        <v>16</v>
      </c>
      <c r="C617">
        <v>2.5</v>
      </c>
      <c r="D617" t="s">
        <v>17</v>
      </c>
      <c r="E617">
        <v>5.3</v>
      </c>
      <c r="F617">
        <v>0.8</v>
      </c>
      <c r="G617">
        <v>3.12</v>
      </c>
      <c r="H617">
        <v>0.4</v>
      </c>
      <c r="I617" t="s">
        <v>21</v>
      </c>
      <c r="J617">
        <v>3</v>
      </c>
      <c r="K617">
        <v>5</v>
      </c>
      <c r="L617">
        <v>3</v>
      </c>
      <c r="M617">
        <v>0</v>
      </c>
    </row>
    <row r="618" spans="1:13" x14ac:dyDescent="0.25">
      <c r="A618">
        <v>19</v>
      </c>
      <c r="B618" t="s">
        <v>16</v>
      </c>
      <c r="C618">
        <v>2.1</v>
      </c>
      <c r="D618" t="s">
        <v>17</v>
      </c>
      <c r="E618">
        <v>8.8000000000000007</v>
      </c>
      <c r="F618">
        <v>2.2999999999999998</v>
      </c>
      <c r="G618">
        <v>2.2200000000000002</v>
      </c>
      <c r="H618">
        <v>1.2</v>
      </c>
      <c r="I618" t="s">
        <v>21</v>
      </c>
      <c r="J618">
        <v>5</v>
      </c>
      <c r="K618">
        <v>5</v>
      </c>
      <c r="L618">
        <v>3</v>
      </c>
      <c r="M618">
        <v>0</v>
      </c>
    </row>
    <row r="619" spans="1:13" x14ac:dyDescent="0.25">
      <c r="A619">
        <v>16</v>
      </c>
      <c r="B619" t="s">
        <v>19</v>
      </c>
      <c r="C619">
        <v>7.1</v>
      </c>
      <c r="D619" t="s">
        <v>20</v>
      </c>
      <c r="E619">
        <v>8.8000000000000007</v>
      </c>
      <c r="F619">
        <v>1.8</v>
      </c>
      <c r="G619">
        <v>3.99</v>
      </c>
      <c r="H619">
        <v>0.8</v>
      </c>
      <c r="I619" t="s">
        <v>18</v>
      </c>
      <c r="J619">
        <v>6</v>
      </c>
      <c r="K619">
        <v>10</v>
      </c>
      <c r="L619">
        <v>8</v>
      </c>
      <c r="M619">
        <v>0</v>
      </c>
    </row>
    <row r="620" spans="1:13" x14ac:dyDescent="0.25">
      <c r="A620">
        <v>19</v>
      </c>
      <c r="B620" t="s">
        <v>19</v>
      </c>
      <c r="C620">
        <v>6.8</v>
      </c>
      <c r="D620" t="s">
        <v>23</v>
      </c>
      <c r="E620">
        <v>4.4000000000000004</v>
      </c>
      <c r="F620">
        <v>2.1</v>
      </c>
      <c r="G620">
        <v>3.69</v>
      </c>
      <c r="H620">
        <v>0.4</v>
      </c>
      <c r="I620" t="s">
        <v>21</v>
      </c>
      <c r="J620">
        <v>3</v>
      </c>
      <c r="K620">
        <v>2</v>
      </c>
      <c r="L620">
        <v>8</v>
      </c>
      <c r="M620">
        <v>0</v>
      </c>
    </row>
    <row r="621" spans="1:13" x14ac:dyDescent="0.25">
      <c r="A621">
        <v>13</v>
      </c>
      <c r="B621" t="s">
        <v>16</v>
      </c>
      <c r="C621">
        <v>5.2</v>
      </c>
      <c r="D621" t="s">
        <v>23</v>
      </c>
      <c r="E621">
        <v>5.4</v>
      </c>
      <c r="F621">
        <v>0.8</v>
      </c>
      <c r="G621">
        <v>2.39</v>
      </c>
      <c r="H621">
        <v>2</v>
      </c>
      <c r="I621" t="s">
        <v>18</v>
      </c>
      <c r="J621">
        <v>8</v>
      </c>
      <c r="K621">
        <v>3</v>
      </c>
      <c r="L621">
        <v>10</v>
      </c>
      <c r="M621">
        <v>0</v>
      </c>
    </row>
    <row r="622" spans="1:13" x14ac:dyDescent="0.25">
      <c r="A622">
        <v>19</v>
      </c>
      <c r="B622" t="s">
        <v>16</v>
      </c>
      <c r="C622">
        <v>7</v>
      </c>
      <c r="D622" t="s">
        <v>20</v>
      </c>
      <c r="E622">
        <v>4.5</v>
      </c>
      <c r="F622">
        <v>2.2999999999999998</v>
      </c>
      <c r="G622">
        <v>3.26</v>
      </c>
      <c r="H622">
        <v>1.7</v>
      </c>
      <c r="I622" t="s">
        <v>21</v>
      </c>
      <c r="J622">
        <v>9</v>
      </c>
      <c r="K622">
        <v>10</v>
      </c>
      <c r="L622">
        <v>3</v>
      </c>
      <c r="M622">
        <v>1</v>
      </c>
    </row>
    <row r="623" spans="1:13" x14ac:dyDescent="0.25">
      <c r="A623">
        <v>19</v>
      </c>
      <c r="B623" t="s">
        <v>16</v>
      </c>
      <c r="C623">
        <v>6.8</v>
      </c>
      <c r="D623" t="s">
        <v>20</v>
      </c>
      <c r="E623">
        <v>8.4</v>
      </c>
      <c r="F623">
        <v>2</v>
      </c>
      <c r="G623">
        <v>2.6</v>
      </c>
      <c r="H623">
        <v>1.5</v>
      </c>
      <c r="I623" t="s">
        <v>18</v>
      </c>
      <c r="J623">
        <v>7</v>
      </c>
      <c r="K623">
        <v>2</v>
      </c>
      <c r="L623">
        <v>2</v>
      </c>
      <c r="M623">
        <v>0</v>
      </c>
    </row>
    <row r="624" spans="1:13" x14ac:dyDescent="0.25">
      <c r="A624">
        <v>16</v>
      </c>
      <c r="B624" t="s">
        <v>19</v>
      </c>
      <c r="C624">
        <v>3.8</v>
      </c>
      <c r="D624" t="s">
        <v>20</v>
      </c>
      <c r="E624">
        <v>5.3</v>
      </c>
      <c r="F624">
        <v>1.5</v>
      </c>
      <c r="G624">
        <v>2.04</v>
      </c>
      <c r="H624">
        <v>1.5</v>
      </c>
      <c r="I624" t="s">
        <v>21</v>
      </c>
      <c r="J624">
        <v>5</v>
      </c>
      <c r="K624">
        <v>10</v>
      </c>
      <c r="L624">
        <v>5</v>
      </c>
      <c r="M624">
        <v>0</v>
      </c>
    </row>
    <row r="625" spans="1:13" x14ac:dyDescent="0.25">
      <c r="A625">
        <v>14</v>
      </c>
      <c r="B625" t="s">
        <v>16</v>
      </c>
      <c r="C625">
        <v>2.9</v>
      </c>
      <c r="D625" t="s">
        <v>17</v>
      </c>
      <c r="E625">
        <v>7.2</v>
      </c>
      <c r="F625">
        <v>2</v>
      </c>
      <c r="G625">
        <v>3.96</v>
      </c>
      <c r="H625">
        <v>1.5</v>
      </c>
      <c r="I625" t="s">
        <v>22</v>
      </c>
      <c r="J625">
        <v>9</v>
      </c>
      <c r="K625">
        <v>10</v>
      </c>
      <c r="L625">
        <v>4</v>
      </c>
      <c r="M625">
        <v>0</v>
      </c>
    </row>
    <row r="626" spans="1:13" x14ac:dyDescent="0.25">
      <c r="A626">
        <v>16</v>
      </c>
      <c r="B626" t="s">
        <v>16</v>
      </c>
      <c r="C626">
        <v>3.6</v>
      </c>
      <c r="D626" t="s">
        <v>17</v>
      </c>
      <c r="E626">
        <v>6.6</v>
      </c>
      <c r="F626">
        <v>0.7</v>
      </c>
      <c r="G626">
        <v>2.25</v>
      </c>
      <c r="H626">
        <v>1.9</v>
      </c>
      <c r="I626" t="s">
        <v>18</v>
      </c>
      <c r="J626">
        <v>4</v>
      </c>
      <c r="K626">
        <v>1</v>
      </c>
      <c r="L626">
        <v>8</v>
      </c>
      <c r="M626">
        <v>0</v>
      </c>
    </row>
    <row r="627" spans="1:13" x14ac:dyDescent="0.25">
      <c r="A627">
        <v>13</v>
      </c>
      <c r="B627" t="s">
        <v>16</v>
      </c>
      <c r="C627">
        <v>4</v>
      </c>
      <c r="D627" t="s">
        <v>23</v>
      </c>
      <c r="E627">
        <v>8.3000000000000007</v>
      </c>
      <c r="F627">
        <v>0.6</v>
      </c>
      <c r="G627">
        <v>3.71</v>
      </c>
      <c r="H627">
        <v>0.1</v>
      </c>
      <c r="I627" t="s">
        <v>18</v>
      </c>
      <c r="J627">
        <v>2</v>
      </c>
      <c r="K627">
        <v>6</v>
      </c>
      <c r="L627">
        <v>1</v>
      </c>
      <c r="M627">
        <v>0</v>
      </c>
    </row>
    <row r="628" spans="1:13" x14ac:dyDescent="0.25">
      <c r="A628">
        <v>17</v>
      </c>
      <c r="B628" t="s">
        <v>19</v>
      </c>
      <c r="C628">
        <v>7.5</v>
      </c>
      <c r="D628" t="s">
        <v>23</v>
      </c>
      <c r="E628">
        <v>4.7</v>
      </c>
      <c r="F628">
        <v>2.1</v>
      </c>
      <c r="G628">
        <v>2.5499999999999998</v>
      </c>
      <c r="H628">
        <v>0.1</v>
      </c>
      <c r="I628" t="s">
        <v>21</v>
      </c>
      <c r="J628">
        <v>3</v>
      </c>
      <c r="K628">
        <v>9</v>
      </c>
      <c r="L628">
        <v>1</v>
      </c>
      <c r="M628">
        <v>0</v>
      </c>
    </row>
    <row r="629" spans="1:13" x14ac:dyDescent="0.25">
      <c r="A629">
        <v>16</v>
      </c>
      <c r="B629" t="s">
        <v>19</v>
      </c>
      <c r="C629">
        <v>6</v>
      </c>
      <c r="D629" t="s">
        <v>23</v>
      </c>
      <c r="E629">
        <v>8.6999999999999993</v>
      </c>
      <c r="F629">
        <v>1.5</v>
      </c>
      <c r="G629">
        <v>3.76</v>
      </c>
      <c r="H629">
        <v>0.1</v>
      </c>
      <c r="I629" t="s">
        <v>22</v>
      </c>
      <c r="J629">
        <v>2</v>
      </c>
      <c r="K629">
        <v>5</v>
      </c>
      <c r="L629">
        <v>4</v>
      </c>
      <c r="M629">
        <v>0</v>
      </c>
    </row>
    <row r="630" spans="1:13" x14ac:dyDescent="0.25">
      <c r="A630">
        <v>16</v>
      </c>
      <c r="B630" t="s">
        <v>19</v>
      </c>
      <c r="C630">
        <v>3.6</v>
      </c>
      <c r="D630" t="s">
        <v>17</v>
      </c>
      <c r="E630">
        <v>6.1</v>
      </c>
      <c r="F630">
        <v>2.8</v>
      </c>
      <c r="G630">
        <v>3.8</v>
      </c>
      <c r="H630">
        <v>0.1</v>
      </c>
      <c r="I630" t="s">
        <v>21</v>
      </c>
      <c r="J630">
        <v>2</v>
      </c>
      <c r="K630">
        <v>1</v>
      </c>
      <c r="L630">
        <v>7</v>
      </c>
      <c r="M630">
        <v>0</v>
      </c>
    </row>
    <row r="631" spans="1:13" x14ac:dyDescent="0.25">
      <c r="A631">
        <v>19</v>
      </c>
      <c r="B631" t="s">
        <v>16</v>
      </c>
      <c r="C631">
        <v>4.7</v>
      </c>
      <c r="D631" t="s">
        <v>23</v>
      </c>
      <c r="E631">
        <v>8.1999999999999993</v>
      </c>
      <c r="F631">
        <v>1.2</v>
      </c>
      <c r="G631">
        <v>2.83</v>
      </c>
      <c r="H631">
        <v>1.2</v>
      </c>
      <c r="I631" t="s">
        <v>21</v>
      </c>
      <c r="J631">
        <v>5</v>
      </c>
      <c r="K631">
        <v>9</v>
      </c>
      <c r="L631">
        <v>9</v>
      </c>
      <c r="M631">
        <v>0</v>
      </c>
    </row>
    <row r="632" spans="1:13" x14ac:dyDescent="0.25">
      <c r="A632">
        <v>13</v>
      </c>
      <c r="B632" t="s">
        <v>16</v>
      </c>
      <c r="C632">
        <v>2</v>
      </c>
      <c r="D632" t="s">
        <v>17</v>
      </c>
      <c r="E632">
        <v>6.6</v>
      </c>
      <c r="F632">
        <v>0.9</v>
      </c>
      <c r="G632">
        <v>3.34</v>
      </c>
      <c r="H632">
        <v>1.5</v>
      </c>
      <c r="I632" t="s">
        <v>21</v>
      </c>
      <c r="J632">
        <v>5</v>
      </c>
      <c r="K632">
        <v>9</v>
      </c>
      <c r="L632">
        <v>4</v>
      </c>
      <c r="M632">
        <v>0</v>
      </c>
    </row>
    <row r="633" spans="1:13" x14ac:dyDescent="0.25">
      <c r="A633">
        <v>13</v>
      </c>
      <c r="B633" t="s">
        <v>16</v>
      </c>
      <c r="C633">
        <v>7.8</v>
      </c>
      <c r="D633" t="s">
        <v>20</v>
      </c>
      <c r="E633">
        <v>7.2</v>
      </c>
      <c r="F633">
        <v>1.3</v>
      </c>
      <c r="G633">
        <v>3.31</v>
      </c>
      <c r="H633">
        <v>0.8</v>
      </c>
      <c r="I633" t="s">
        <v>21</v>
      </c>
      <c r="J633">
        <v>9</v>
      </c>
      <c r="K633">
        <v>2</v>
      </c>
      <c r="L633">
        <v>4</v>
      </c>
      <c r="M633">
        <v>0</v>
      </c>
    </row>
    <row r="634" spans="1:13" x14ac:dyDescent="0.25">
      <c r="A634">
        <v>19</v>
      </c>
      <c r="B634" t="s">
        <v>16</v>
      </c>
      <c r="C634">
        <v>5.9</v>
      </c>
      <c r="D634" t="s">
        <v>20</v>
      </c>
      <c r="E634">
        <v>7.4</v>
      </c>
      <c r="F634">
        <v>0.7</v>
      </c>
      <c r="G634">
        <v>3.27</v>
      </c>
      <c r="H634">
        <v>1.7</v>
      </c>
      <c r="I634" t="s">
        <v>21</v>
      </c>
      <c r="J634">
        <v>1</v>
      </c>
      <c r="K634">
        <v>9</v>
      </c>
      <c r="L634">
        <v>9</v>
      </c>
      <c r="M634">
        <v>0</v>
      </c>
    </row>
    <row r="635" spans="1:13" x14ac:dyDescent="0.25">
      <c r="A635">
        <v>19</v>
      </c>
      <c r="B635" t="s">
        <v>16</v>
      </c>
      <c r="C635">
        <v>7.7</v>
      </c>
      <c r="D635" t="s">
        <v>20</v>
      </c>
      <c r="E635">
        <v>8.4</v>
      </c>
      <c r="F635">
        <v>2.8</v>
      </c>
      <c r="G635">
        <v>3.43</v>
      </c>
      <c r="H635">
        <v>0.2</v>
      </c>
      <c r="I635" t="s">
        <v>22</v>
      </c>
      <c r="J635">
        <v>7</v>
      </c>
      <c r="K635">
        <v>6</v>
      </c>
      <c r="L635">
        <v>6</v>
      </c>
      <c r="M635">
        <v>0</v>
      </c>
    </row>
    <row r="636" spans="1:13" x14ac:dyDescent="0.25">
      <c r="A636">
        <v>13</v>
      </c>
      <c r="B636" t="s">
        <v>16</v>
      </c>
      <c r="C636">
        <v>2.2000000000000002</v>
      </c>
      <c r="D636" t="s">
        <v>20</v>
      </c>
      <c r="E636">
        <v>5.4</v>
      </c>
      <c r="F636">
        <v>1.2</v>
      </c>
      <c r="G636">
        <v>2.33</v>
      </c>
      <c r="H636">
        <v>0.8</v>
      </c>
      <c r="I636" t="s">
        <v>22</v>
      </c>
      <c r="J636">
        <v>10</v>
      </c>
      <c r="K636">
        <v>3</v>
      </c>
      <c r="L636">
        <v>4</v>
      </c>
      <c r="M636">
        <v>0</v>
      </c>
    </row>
    <row r="637" spans="1:13" x14ac:dyDescent="0.25">
      <c r="A637">
        <v>18</v>
      </c>
      <c r="B637" t="s">
        <v>19</v>
      </c>
      <c r="C637">
        <v>7.7</v>
      </c>
      <c r="D637" t="s">
        <v>20</v>
      </c>
      <c r="E637">
        <v>7.6</v>
      </c>
      <c r="F637">
        <v>2.9</v>
      </c>
      <c r="G637">
        <v>3.81</v>
      </c>
      <c r="H637">
        <v>0.5</v>
      </c>
      <c r="I637" t="s">
        <v>21</v>
      </c>
      <c r="J637">
        <v>10</v>
      </c>
      <c r="K637">
        <v>3</v>
      </c>
      <c r="L637">
        <v>6</v>
      </c>
      <c r="M637">
        <v>0</v>
      </c>
    </row>
    <row r="638" spans="1:13" x14ac:dyDescent="0.25">
      <c r="A638">
        <v>18</v>
      </c>
      <c r="B638" t="s">
        <v>16</v>
      </c>
      <c r="C638">
        <v>3.2</v>
      </c>
      <c r="D638" t="s">
        <v>17</v>
      </c>
      <c r="E638">
        <v>6</v>
      </c>
      <c r="F638">
        <v>1.5</v>
      </c>
      <c r="G638">
        <v>3.36</v>
      </c>
      <c r="H638">
        <v>1.5</v>
      </c>
      <c r="I638" t="s">
        <v>21</v>
      </c>
      <c r="J638">
        <v>9</v>
      </c>
      <c r="K638">
        <v>7</v>
      </c>
      <c r="L638">
        <v>10</v>
      </c>
      <c r="M638">
        <v>0</v>
      </c>
    </row>
    <row r="639" spans="1:13" x14ac:dyDescent="0.25">
      <c r="A639">
        <v>16</v>
      </c>
      <c r="B639" t="s">
        <v>16</v>
      </c>
      <c r="C639">
        <v>2</v>
      </c>
      <c r="D639" t="s">
        <v>20</v>
      </c>
      <c r="E639">
        <v>7.8</v>
      </c>
      <c r="F639">
        <v>0.5</v>
      </c>
      <c r="G639">
        <v>2.81</v>
      </c>
      <c r="H639">
        <v>1.4</v>
      </c>
      <c r="I639" t="s">
        <v>21</v>
      </c>
      <c r="J639">
        <v>10</v>
      </c>
      <c r="K639">
        <v>2</v>
      </c>
      <c r="L639">
        <v>4</v>
      </c>
      <c r="M639">
        <v>0</v>
      </c>
    </row>
    <row r="640" spans="1:13" x14ac:dyDescent="0.25">
      <c r="A640">
        <v>15</v>
      </c>
      <c r="B640" t="s">
        <v>19</v>
      </c>
      <c r="C640">
        <v>6.2</v>
      </c>
      <c r="D640" t="s">
        <v>23</v>
      </c>
      <c r="E640">
        <v>5.2</v>
      </c>
      <c r="F640">
        <v>1</v>
      </c>
      <c r="G640">
        <v>3.94</v>
      </c>
      <c r="H640">
        <v>1.4</v>
      </c>
      <c r="I640" t="s">
        <v>18</v>
      </c>
      <c r="J640">
        <v>5</v>
      </c>
      <c r="K640">
        <v>2</v>
      </c>
      <c r="L640">
        <v>7</v>
      </c>
      <c r="M640">
        <v>0</v>
      </c>
    </row>
    <row r="641" spans="1:13" x14ac:dyDescent="0.25">
      <c r="A641">
        <v>19</v>
      </c>
      <c r="B641" t="s">
        <v>19</v>
      </c>
      <c r="C641">
        <v>2.4</v>
      </c>
      <c r="D641" t="s">
        <v>17</v>
      </c>
      <c r="E641">
        <v>8.6999999999999993</v>
      </c>
      <c r="F641">
        <v>1.6</v>
      </c>
      <c r="G641">
        <v>2.4</v>
      </c>
      <c r="H641">
        <v>0.1</v>
      </c>
      <c r="I641" t="s">
        <v>22</v>
      </c>
      <c r="J641">
        <v>2</v>
      </c>
      <c r="K641">
        <v>9</v>
      </c>
      <c r="L641">
        <v>7</v>
      </c>
      <c r="M641">
        <v>0</v>
      </c>
    </row>
    <row r="642" spans="1:13" x14ac:dyDescent="0.25">
      <c r="A642">
        <v>15</v>
      </c>
      <c r="B642" t="s">
        <v>16</v>
      </c>
      <c r="C642">
        <v>3.4</v>
      </c>
      <c r="D642" t="s">
        <v>23</v>
      </c>
      <c r="E642">
        <v>8</v>
      </c>
      <c r="F642">
        <v>1</v>
      </c>
      <c r="G642">
        <v>2.31</v>
      </c>
      <c r="H642">
        <v>1</v>
      </c>
      <c r="I642" t="s">
        <v>21</v>
      </c>
      <c r="J642">
        <v>4</v>
      </c>
      <c r="K642">
        <v>7</v>
      </c>
      <c r="L642">
        <v>6</v>
      </c>
      <c r="M642">
        <v>0</v>
      </c>
    </row>
    <row r="643" spans="1:13" x14ac:dyDescent="0.25">
      <c r="A643">
        <v>19</v>
      </c>
      <c r="B643" t="s">
        <v>16</v>
      </c>
      <c r="C643">
        <v>6</v>
      </c>
      <c r="D643" t="s">
        <v>17</v>
      </c>
      <c r="E643">
        <v>4.2</v>
      </c>
      <c r="F643">
        <v>0.9</v>
      </c>
      <c r="G643">
        <v>2.41</v>
      </c>
      <c r="H643">
        <v>0.8</v>
      </c>
      <c r="I643" t="s">
        <v>22</v>
      </c>
      <c r="J643">
        <v>7</v>
      </c>
      <c r="K643">
        <v>9</v>
      </c>
      <c r="L643">
        <v>9</v>
      </c>
      <c r="M643">
        <v>1</v>
      </c>
    </row>
    <row r="644" spans="1:13" x14ac:dyDescent="0.25">
      <c r="A644">
        <v>16</v>
      </c>
      <c r="B644" t="s">
        <v>19</v>
      </c>
      <c r="C644">
        <v>5.3</v>
      </c>
      <c r="D644" t="s">
        <v>23</v>
      </c>
      <c r="E644">
        <v>5.6</v>
      </c>
      <c r="F644">
        <v>2.5</v>
      </c>
      <c r="G644">
        <v>2.73</v>
      </c>
      <c r="H644">
        <v>1.3</v>
      </c>
      <c r="I644" t="s">
        <v>22</v>
      </c>
      <c r="J644">
        <v>7</v>
      </c>
      <c r="K644">
        <v>10</v>
      </c>
      <c r="L644">
        <v>4</v>
      </c>
      <c r="M644">
        <v>1</v>
      </c>
    </row>
    <row r="645" spans="1:13" x14ac:dyDescent="0.25">
      <c r="A645">
        <v>17</v>
      </c>
      <c r="B645" t="s">
        <v>19</v>
      </c>
      <c r="C645">
        <v>5.5</v>
      </c>
      <c r="D645" t="s">
        <v>17</v>
      </c>
      <c r="E645">
        <v>6.3</v>
      </c>
      <c r="F645">
        <v>0.8</v>
      </c>
      <c r="G645">
        <v>2.59</v>
      </c>
      <c r="H645">
        <v>1.6</v>
      </c>
      <c r="I645" t="s">
        <v>21</v>
      </c>
      <c r="J645">
        <v>6</v>
      </c>
      <c r="K645">
        <v>8</v>
      </c>
      <c r="L645">
        <v>7</v>
      </c>
      <c r="M645">
        <v>0</v>
      </c>
    </row>
    <row r="646" spans="1:13" x14ac:dyDescent="0.25">
      <c r="A646">
        <v>17</v>
      </c>
      <c r="B646" t="s">
        <v>16</v>
      </c>
      <c r="C646">
        <v>3.6</v>
      </c>
      <c r="D646" t="s">
        <v>23</v>
      </c>
      <c r="E646">
        <v>6.1</v>
      </c>
      <c r="F646">
        <v>2.8</v>
      </c>
      <c r="G646">
        <v>2.39</v>
      </c>
      <c r="H646">
        <v>0.6</v>
      </c>
      <c r="I646" t="s">
        <v>18</v>
      </c>
      <c r="J646">
        <v>6</v>
      </c>
      <c r="K646">
        <v>8</v>
      </c>
      <c r="L646">
        <v>5</v>
      </c>
      <c r="M646">
        <v>0</v>
      </c>
    </row>
    <row r="647" spans="1:13" x14ac:dyDescent="0.25">
      <c r="A647">
        <v>17</v>
      </c>
      <c r="B647" t="s">
        <v>19</v>
      </c>
      <c r="C647">
        <v>3.7</v>
      </c>
      <c r="D647" t="s">
        <v>17</v>
      </c>
      <c r="E647">
        <v>6.3</v>
      </c>
      <c r="F647">
        <v>1.3</v>
      </c>
      <c r="G647">
        <v>2.7</v>
      </c>
      <c r="H647">
        <v>1.1000000000000001</v>
      </c>
      <c r="I647" t="s">
        <v>22</v>
      </c>
      <c r="J647">
        <v>2</v>
      </c>
      <c r="K647">
        <v>6</v>
      </c>
      <c r="L647">
        <v>9</v>
      </c>
      <c r="M647">
        <v>0</v>
      </c>
    </row>
    <row r="648" spans="1:13" x14ac:dyDescent="0.25">
      <c r="A648">
        <v>16</v>
      </c>
      <c r="B648" t="s">
        <v>19</v>
      </c>
      <c r="C648">
        <v>7.4</v>
      </c>
      <c r="D648" t="s">
        <v>17</v>
      </c>
      <c r="E648">
        <v>7.4</v>
      </c>
      <c r="F648">
        <v>0.9</v>
      </c>
      <c r="G648">
        <v>3.7</v>
      </c>
      <c r="H648">
        <v>1.3</v>
      </c>
      <c r="I648" t="s">
        <v>22</v>
      </c>
      <c r="J648">
        <v>10</v>
      </c>
      <c r="K648">
        <v>6</v>
      </c>
      <c r="L648">
        <v>2</v>
      </c>
      <c r="M648">
        <v>0</v>
      </c>
    </row>
    <row r="649" spans="1:13" x14ac:dyDescent="0.25">
      <c r="A649">
        <v>13</v>
      </c>
      <c r="B649" t="s">
        <v>16</v>
      </c>
      <c r="C649">
        <v>5.3</v>
      </c>
      <c r="D649" t="s">
        <v>17</v>
      </c>
      <c r="E649">
        <v>6</v>
      </c>
      <c r="F649">
        <v>1</v>
      </c>
      <c r="G649">
        <v>2.92</v>
      </c>
      <c r="H649">
        <v>0.7</v>
      </c>
      <c r="I649" t="s">
        <v>21</v>
      </c>
      <c r="J649">
        <v>3</v>
      </c>
      <c r="K649">
        <v>8</v>
      </c>
      <c r="L649">
        <v>5</v>
      </c>
      <c r="M649">
        <v>0</v>
      </c>
    </row>
    <row r="650" spans="1:13" x14ac:dyDescent="0.25">
      <c r="A650">
        <v>18</v>
      </c>
      <c r="B650" t="s">
        <v>19</v>
      </c>
      <c r="C650">
        <v>4.8</v>
      </c>
      <c r="D650" t="s">
        <v>17</v>
      </c>
      <c r="E650">
        <v>5.5</v>
      </c>
      <c r="F650">
        <v>1.8</v>
      </c>
      <c r="G650">
        <v>2.9</v>
      </c>
      <c r="H650">
        <v>0.6</v>
      </c>
      <c r="I650" t="s">
        <v>18</v>
      </c>
      <c r="J650">
        <v>6</v>
      </c>
      <c r="K650">
        <v>2</v>
      </c>
      <c r="L650">
        <v>5</v>
      </c>
      <c r="M650">
        <v>0</v>
      </c>
    </row>
    <row r="651" spans="1:13" x14ac:dyDescent="0.25">
      <c r="A651">
        <v>13</v>
      </c>
      <c r="B651" t="s">
        <v>16</v>
      </c>
      <c r="C651">
        <v>3.4</v>
      </c>
      <c r="D651" t="s">
        <v>20</v>
      </c>
      <c r="E651">
        <v>4.5</v>
      </c>
      <c r="F651">
        <v>0.5</v>
      </c>
      <c r="G651">
        <v>3.71</v>
      </c>
      <c r="H651">
        <v>1</v>
      </c>
      <c r="I651" t="s">
        <v>22</v>
      </c>
      <c r="J651">
        <v>1</v>
      </c>
      <c r="K651">
        <v>10</v>
      </c>
      <c r="L651">
        <v>1</v>
      </c>
      <c r="M651">
        <v>0</v>
      </c>
    </row>
    <row r="652" spans="1:13" x14ac:dyDescent="0.25">
      <c r="A652">
        <v>17</v>
      </c>
      <c r="B652" t="s">
        <v>19</v>
      </c>
      <c r="C652">
        <v>7</v>
      </c>
      <c r="D652" t="s">
        <v>20</v>
      </c>
      <c r="E652">
        <v>8.9</v>
      </c>
      <c r="F652">
        <v>0.6</v>
      </c>
      <c r="G652">
        <v>3.67</v>
      </c>
      <c r="H652">
        <v>0.2</v>
      </c>
      <c r="I652" t="s">
        <v>22</v>
      </c>
      <c r="J652">
        <v>9</v>
      </c>
      <c r="K652">
        <v>2</v>
      </c>
      <c r="L652">
        <v>4</v>
      </c>
      <c r="M652">
        <v>0</v>
      </c>
    </row>
    <row r="653" spans="1:13" x14ac:dyDescent="0.25">
      <c r="A653">
        <v>15</v>
      </c>
      <c r="B653" t="s">
        <v>16</v>
      </c>
      <c r="C653">
        <v>5.4</v>
      </c>
      <c r="D653" t="s">
        <v>17</v>
      </c>
      <c r="E653">
        <v>7.2</v>
      </c>
      <c r="F653">
        <v>1.2</v>
      </c>
      <c r="G653">
        <v>3.32</v>
      </c>
      <c r="H653">
        <v>1.3</v>
      </c>
      <c r="I653" t="s">
        <v>21</v>
      </c>
      <c r="J653">
        <v>7</v>
      </c>
      <c r="K653">
        <v>8</v>
      </c>
      <c r="L653">
        <v>1</v>
      </c>
      <c r="M653">
        <v>0</v>
      </c>
    </row>
    <row r="654" spans="1:13" x14ac:dyDescent="0.25">
      <c r="A654">
        <v>17</v>
      </c>
      <c r="B654" t="s">
        <v>16</v>
      </c>
      <c r="C654">
        <v>5.3</v>
      </c>
      <c r="D654" t="s">
        <v>17</v>
      </c>
      <c r="E654">
        <v>6.4</v>
      </c>
      <c r="F654">
        <v>2.9</v>
      </c>
      <c r="G654">
        <v>2.42</v>
      </c>
      <c r="H654">
        <v>1.1000000000000001</v>
      </c>
      <c r="I654" t="s">
        <v>18</v>
      </c>
      <c r="J654">
        <v>3</v>
      </c>
      <c r="K654">
        <v>8</v>
      </c>
      <c r="L654">
        <v>3</v>
      </c>
      <c r="M654">
        <v>0</v>
      </c>
    </row>
    <row r="655" spans="1:13" x14ac:dyDescent="0.25">
      <c r="A655">
        <v>14</v>
      </c>
      <c r="B655" t="s">
        <v>16</v>
      </c>
      <c r="C655">
        <v>1.8</v>
      </c>
      <c r="D655" t="s">
        <v>23</v>
      </c>
      <c r="E655">
        <v>5.0999999999999996</v>
      </c>
      <c r="F655">
        <v>2.7</v>
      </c>
      <c r="G655">
        <v>3.47</v>
      </c>
      <c r="H655">
        <v>0.2</v>
      </c>
      <c r="I655" t="s">
        <v>18</v>
      </c>
      <c r="J655">
        <v>8</v>
      </c>
      <c r="K655">
        <v>4</v>
      </c>
      <c r="L655">
        <v>6</v>
      </c>
      <c r="M655">
        <v>0</v>
      </c>
    </row>
    <row r="656" spans="1:13" x14ac:dyDescent="0.25">
      <c r="A656">
        <v>15</v>
      </c>
      <c r="B656" t="s">
        <v>16</v>
      </c>
      <c r="C656">
        <v>4.5</v>
      </c>
      <c r="D656" t="s">
        <v>20</v>
      </c>
      <c r="E656">
        <v>6.2</v>
      </c>
      <c r="F656">
        <v>2.8</v>
      </c>
      <c r="G656">
        <v>2.74</v>
      </c>
      <c r="H656">
        <v>0.1</v>
      </c>
      <c r="I656" t="s">
        <v>21</v>
      </c>
      <c r="J656">
        <v>2</v>
      </c>
      <c r="K656">
        <v>3</v>
      </c>
      <c r="L656">
        <v>5</v>
      </c>
      <c r="M656">
        <v>0</v>
      </c>
    </row>
    <row r="657" spans="1:13" x14ac:dyDescent="0.25">
      <c r="A657">
        <v>17</v>
      </c>
      <c r="B657" t="s">
        <v>19</v>
      </c>
      <c r="C657">
        <v>5.4</v>
      </c>
      <c r="D657" t="s">
        <v>20</v>
      </c>
      <c r="E657">
        <v>7.1</v>
      </c>
      <c r="F657">
        <v>2.5</v>
      </c>
      <c r="G657">
        <v>2.68</v>
      </c>
      <c r="H657">
        <v>1.6</v>
      </c>
      <c r="I657" t="s">
        <v>18</v>
      </c>
      <c r="J657">
        <v>3</v>
      </c>
      <c r="K657">
        <v>5</v>
      </c>
      <c r="L657">
        <v>7</v>
      </c>
      <c r="M657">
        <v>0</v>
      </c>
    </row>
    <row r="658" spans="1:13" x14ac:dyDescent="0.25">
      <c r="A658">
        <v>13</v>
      </c>
      <c r="B658" t="s">
        <v>16</v>
      </c>
      <c r="C658">
        <v>3.6</v>
      </c>
      <c r="D658" t="s">
        <v>17</v>
      </c>
      <c r="E658">
        <v>8.6</v>
      </c>
      <c r="F658">
        <v>0.7</v>
      </c>
      <c r="G658">
        <v>2.42</v>
      </c>
      <c r="H658">
        <v>0.2</v>
      </c>
      <c r="I658" t="s">
        <v>22</v>
      </c>
      <c r="J658">
        <v>2</v>
      </c>
      <c r="K658">
        <v>6</v>
      </c>
      <c r="L658">
        <v>8</v>
      </c>
      <c r="M658">
        <v>0</v>
      </c>
    </row>
    <row r="659" spans="1:13" x14ac:dyDescent="0.25">
      <c r="A659">
        <v>14</v>
      </c>
      <c r="B659" t="s">
        <v>19</v>
      </c>
      <c r="C659">
        <v>5.7</v>
      </c>
      <c r="D659" t="s">
        <v>17</v>
      </c>
      <c r="E659">
        <v>8.9</v>
      </c>
      <c r="F659">
        <v>0.7</v>
      </c>
      <c r="G659">
        <v>2.17</v>
      </c>
      <c r="H659">
        <v>1.3</v>
      </c>
      <c r="I659" t="s">
        <v>21</v>
      </c>
      <c r="J659">
        <v>10</v>
      </c>
      <c r="K659">
        <v>4</v>
      </c>
      <c r="L659">
        <v>3</v>
      </c>
      <c r="M659">
        <v>0</v>
      </c>
    </row>
    <row r="660" spans="1:13" x14ac:dyDescent="0.25">
      <c r="A660">
        <v>15</v>
      </c>
      <c r="B660" t="s">
        <v>19</v>
      </c>
      <c r="C660">
        <v>5.5</v>
      </c>
      <c r="D660" t="s">
        <v>23</v>
      </c>
      <c r="E660">
        <v>7.3</v>
      </c>
      <c r="F660">
        <v>2.5</v>
      </c>
      <c r="G660">
        <v>3.67</v>
      </c>
      <c r="H660">
        <v>0.5</v>
      </c>
      <c r="I660" t="s">
        <v>18</v>
      </c>
      <c r="J660">
        <v>4</v>
      </c>
      <c r="K660">
        <v>3</v>
      </c>
      <c r="L660">
        <v>6</v>
      </c>
      <c r="M660">
        <v>0</v>
      </c>
    </row>
    <row r="661" spans="1:13" x14ac:dyDescent="0.25">
      <c r="A661">
        <v>14</v>
      </c>
      <c r="B661" t="s">
        <v>19</v>
      </c>
      <c r="C661">
        <v>5.3</v>
      </c>
      <c r="D661" t="s">
        <v>23</v>
      </c>
      <c r="E661">
        <v>4.7</v>
      </c>
      <c r="F661">
        <v>1.1000000000000001</v>
      </c>
      <c r="G661">
        <v>3.68</v>
      </c>
      <c r="H661">
        <v>1.8</v>
      </c>
      <c r="I661" t="s">
        <v>21</v>
      </c>
      <c r="J661">
        <v>10</v>
      </c>
      <c r="K661">
        <v>8</v>
      </c>
      <c r="L661">
        <v>10</v>
      </c>
      <c r="M661">
        <v>1</v>
      </c>
    </row>
    <row r="662" spans="1:13" x14ac:dyDescent="0.25">
      <c r="A662">
        <v>15</v>
      </c>
      <c r="B662" t="s">
        <v>16</v>
      </c>
      <c r="C662">
        <v>2.7</v>
      </c>
      <c r="D662" t="s">
        <v>17</v>
      </c>
      <c r="E662">
        <v>5.4</v>
      </c>
      <c r="F662">
        <v>1.6</v>
      </c>
      <c r="G662">
        <v>2.34</v>
      </c>
      <c r="H662">
        <v>0.3</v>
      </c>
      <c r="I662" t="s">
        <v>21</v>
      </c>
      <c r="J662">
        <v>2</v>
      </c>
      <c r="K662">
        <v>6</v>
      </c>
      <c r="L662">
        <v>8</v>
      </c>
      <c r="M662">
        <v>0</v>
      </c>
    </row>
    <row r="663" spans="1:13" x14ac:dyDescent="0.25">
      <c r="A663">
        <v>14</v>
      </c>
      <c r="B663" t="s">
        <v>16</v>
      </c>
      <c r="C663">
        <v>6.4</v>
      </c>
      <c r="D663" t="s">
        <v>17</v>
      </c>
      <c r="E663">
        <v>5.6</v>
      </c>
      <c r="F663">
        <v>0.8</v>
      </c>
      <c r="G663">
        <v>4</v>
      </c>
      <c r="H663">
        <v>1.9</v>
      </c>
      <c r="I663" t="s">
        <v>22</v>
      </c>
      <c r="J663">
        <v>5</v>
      </c>
      <c r="K663">
        <v>1</v>
      </c>
      <c r="L663">
        <v>3</v>
      </c>
      <c r="M663">
        <v>0</v>
      </c>
    </row>
    <row r="664" spans="1:13" x14ac:dyDescent="0.25">
      <c r="A664">
        <v>16</v>
      </c>
      <c r="B664" t="s">
        <v>16</v>
      </c>
      <c r="C664">
        <v>5</v>
      </c>
      <c r="D664" t="s">
        <v>20</v>
      </c>
      <c r="E664">
        <v>6.3</v>
      </c>
      <c r="F664">
        <v>3</v>
      </c>
      <c r="G664">
        <v>3.72</v>
      </c>
      <c r="H664">
        <v>1.6</v>
      </c>
      <c r="I664" t="s">
        <v>22</v>
      </c>
      <c r="J664">
        <v>5</v>
      </c>
      <c r="K664">
        <v>10</v>
      </c>
      <c r="L664">
        <v>3</v>
      </c>
      <c r="M664">
        <v>0</v>
      </c>
    </row>
    <row r="665" spans="1:13" x14ac:dyDescent="0.25">
      <c r="A665">
        <v>13</v>
      </c>
      <c r="B665" t="s">
        <v>19</v>
      </c>
      <c r="C665">
        <v>2.5</v>
      </c>
      <c r="D665" t="s">
        <v>17</v>
      </c>
      <c r="E665">
        <v>4.5999999999999996</v>
      </c>
      <c r="F665">
        <v>1.6</v>
      </c>
      <c r="G665">
        <v>3.22</v>
      </c>
      <c r="H665">
        <v>0.9</v>
      </c>
      <c r="I665" t="s">
        <v>22</v>
      </c>
      <c r="J665">
        <v>6</v>
      </c>
      <c r="K665">
        <v>4</v>
      </c>
      <c r="L665">
        <v>3</v>
      </c>
      <c r="M665">
        <v>0</v>
      </c>
    </row>
    <row r="666" spans="1:13" x14ac:dyDescent="0.25">
      <c r="A666">
        <v>18</v>
      </c>
      <c r="B666" t="s">
        <v>16</v>
      </c>
      <c r="C666">
        <v>2.2000000000000002</v>
      </c>
      <c r="D666" t="s">
        <v>23</v>
      </c>
      <c r="E666">
        <v>4.5</v>
      </c>
      <c r="F666">
        <v>2</v>
      </c>
      <c r="G666">
        <v>2.4900000000000002</v>
      </c>
      <c r="H666">
        <v>0.8</v>
      </c>
      <c r="I666" t="s">
        <v>21</v>
      </c>
      <c r="J666">
        <v>1</v>
      </c>
      <c r="K666">
        <v>7</v>
      </c>
      <c r="L666">
        <v>6</v>
      </c>
      <c r="M666">
        <v>0</v>
      </c>
    </row>
    <row r="667" spans="1:13" x14ac:dyDescent="0.25">
      <c r="A667">
        <v>16</v>
      </c>
      <c r="B667" t="s">
        <v>16</v>
      </c>
      <c r="C667">
        <v>4.0999999999999996</v>
      </c>
      <c r="D667" t="s">
        <v>23</v>
      </c>
      <c r="E667">
        <v>5.5</v>
      </c>
      <c r="F667">
        <v>1.9</v>
      </c>
      <c r="G667">
        <v>2.65</v>
      </c>
      <c r="H667">
        <v>1.5</v>
      </c>
      <c r="I667" t="s">
        <v>18</v>
      </c>
      <c r="J667">
        <v>5</v>
      </c>
      <c r="K667">
        <v>7</v>
      </c>
      <c r="L667">
        <v>9</v>
      </c>
      <c r="M667">
        <v>0</v>
      </c>
    </row>
    <row r="668" spans="1:13" x14ac:dyDescent="0.25">
      <c r="A668">
        <v>16</v>
      </c>
      <c r="B668" t="s">
        <v>19</v>
      </c>
      <c r="C668">
        <v>2.8</v>
      </c>
      <c r="D668" t="s">
        <v>20</v>
      </c>
      <c r="E668">
        <v>7.4</v>
      </c>
      <c r="F668">
        <v>2</v>
      </c>
      <c r="G668">
        <v>3.4</v>
      </c>
      <c r="H668">
        <v>1.6</v>
      </c>
      <c r="I668" t="s">
        <v>18</v>
      </c>
      <c r="J668">
        <v>4</v>
      </c>
      <c r="K668">
        <v>1</v>
      </c>
      <c r="L668">
        <v>1</v>
      </c>
      <c r="M668">
        <v>0</v>
      </c>
    </row>
    <row r="669" spans="1:13" x14ac:dyDescent="0.25">
      <c r="A669">
        <v>17</v>
      </c>
      <c r="B669" t="s">
        <v>19</v>
      </c>
      <c r="C669">
        <v>1.1000000000000001</v>
      </c>
      <c r="D669" t="s">
        <v>20</v>
      </c>
      <c r="E669">
        <v>8.1999999999999993</v>
      </c>
      <c r="F669">
        <v>2.7</v>
      </c>
      <c r="G669">
        <v>2.84</v>
      </c>
      <c r="H669">
        <v>0.2</v>
      </c>
      <c r="I669" t="s">
        <v>21</v>
      </c>
      <c r="J669">
        <v>2</v>
      </c>
      <c r="K669">
        <v>4</v>
      </c>
      <c r="L669">
        <v>1</v>
      </c>
      <c r="M669">
        <v>0</v>
      </c>
    </row>
    <row r="670" spans="1:13" x14ac:dyDescent="0.25">
      <c r="A670">
        <v>13</v>
      </c>
      <c r="B670" t="s">
        <v>16</v>
      </c>
      <c r="C670">
        <v>7</v>
      </c>
      <c r="D670" t="s">
        <v>23</v>
      </c>
      <c r="E670">
        <v>5.7</v>
      </c>
      <c r="F670">
        <v>1.6</v>
      </c>
      <c r="G670">
        <v>3.45</v>
      </c>
      <c r="H670">
        <v>1.2</v>
      </c>
      <c r="I670" t="s">
        <v>22</v>
      </c>
      <c r="J670">
        <v>7</v>
      </c>
      <c r="K670">
        <v>1</v>
      </c>
      <c r="L670">
        <v>10</v>
      </c>
      <c r="M670">
        <v>0</v>
      </c>
    </row>
    <row r="671" spans="1:13" x14ac:dyDescent="0.25">
      <c r="A671">
        <v>18</v>
      </c>
      <c r="B671" t="s">
        <v>16</v>
      </c>
      <c r="C671">
        <v>2.6</v>
      </c>
      <c r="D671" t="s">
        <v>20</v>
      </c>
      <c r="E671">
        <v>7.9</v>
      </c>
      <c r="F671">
        <v>2.2999999999999998</v>
      </c>
      <c r="G671">
        <v>2.4300000000000002</v>
      </c>
      <c r="H671">
        <v>0.1</v>
      </c>
      <c r="I671" t="s">
        <v>21</v>
      </c>
      <c r="J671">
        <v>5</v>
      </c>
      <c r="K671">
        <v>1</v>
      </c>
      <c r="L671">
        <v>6</v>
      </c>
      <c r="M671">
        <v>0</v>
      </c>
    </row>
    <row r="672" spans="1:13" x14ac:dyDescent="0.25">
      <c r="A672">
        <v>13</v>
      </c>
      <c r="B672" t="s">
        <v>19</v>
      </c>
      <c r="C672">
        <v>2.6</v>
      </c>
      <c r="D672" t="s">
        <v>20</v>
      </c>
      <c r="E672">
        <v>6.1</v>
      </c>
      <c r="F672">
        <v>1.4</v>
      </c>
      <c r="G672">
        <v>2.11</v>
      </c>
      <c r="H672">
        <v>0.4</v>
      </c>
      <c r="I672" t="s">
        <v>21</v>
      </c>
      <c r="J672">
        <v>7</v>
      </c>
      <c r="K672">
        <v>5</v>
      </c>
      <c r="L672">
        <v>10</v>
      </c>
      <c r="M672">
        <v>0</v>
      </c>
    </row>
    <row r="673" spans="1:13" x14ac:dyDescent="0.25">
      <c r="A673">
        <v>14</v>
      </c>
      <c r="B673" t="s">
        <v>16</v>
      </c>
      <c r="C673">
        <v>3.4</v>
      </c>
      <c r="D673" t="s">
        <v>17</v>
      </c>
      <c r="E673">
        <v>4.5999999999999996</v>
      </c>
      <c r="F673">
        <v>2</v>
      </c>
      <c r="G673">
        <v>2.27</v>
      </c>
      <c r="H673">
        <v>1.9</v>
      </c>
      <c r="I673" t="s">
        <v>21</v>
      </c>
      <c r="J673">
        <v>7</v>
      </c>
      <c r="K673">
        <v>10</v>
      </c>
      <c r="L673">
        <v>6</v>
      </c>
      <c r="M673">
        <v>0</v>
      </c>
    </row>
    <row r="674" spans="1:13" x14ac:dyDescent="0.25">
      <c r="A674">
        <v>14</v>
      </c>
      <c r="B674" t="s">
        <v>16</v>
      </c>
      <c r="C674">
        <v>7.9</v>
      </c>
      <c r="D674" t="s">
        <v>17</v>
      </c>
      <c r="E674">
        <v>5.7</v>
      </c>
      <c r="F674">
        <v>1.6</v>
      </c>
      <c r="G674">
        <v>3.67</v>
      </c>
      <c r="H674">
        <v>0.6</v>
      </c>
      <c r="I674" t="s">
        <v>22</v>
      </c>
      <c r="J674">
        <v>4</v>
      </c>
      <c r="K674">
        <v>3</v>
      </c>
      <c r="L674">
        <v>4</v>
      </c>
      <c r="M674">
        <v>0</v>
      </c>
    </row>
    <row r="675" spans="1:13" x14ac:dyDescent="0.25">
      <c r="A675">
        <v>13</v>
      </c>
      <c r="B675" t="s">
        <v>16</v>
      </c>
      <c r="C675">
        <v>5.0999999999999996</v>
      </c>
      <c r="D675" t="s">
        <v>20</v>
      </c>
      <c r="E675">
        <v>5.3</v>
      </c>
      <c r="F675">
        <v>2.6</v>
      </c>
      <c r="G675">
        <v>2.95</v>
      </c>
      <c r="H675">
        <v>1.2</v>
      </c>
      <c r="I675" t="s">
        <v>22</v>
      </c>
      <c r="J675">
        <v>2</v>
      </c>
      <c r="K675">
        <v>6</v>
      </c>
      <c r="L675">
        <v>10</v>
      </c>
      <c r="M675">
        <v>0</v>
      </c>
    </row>
    <row r="676" spans="1:13" x14ac:dyDescent="0.25">
      <c r="A676">
        <v>13</v>
      </c>
      <c r="B676" t="s">
        <v>19</v>
      </c>
      <c r="C676">
        <v>2.8</v>
      </c>
      <c r="D676" t="s">
        <v>23</v>
      </c>
      <c r="E676">
        <v>6.4</v>
      </c>
      <c r="F676">
        <v>1.4</v>
      </c>
      <c r="G676">
        <v>2.38</v>
      </c>
      <c r="H676">
        <v>1.4</v>
      </c>
      <c r="I676" t="s">
        <v>22</v>
      </c>
      <c r="J676">
        <v>4</v>
      </c>
      <c r="K676">
        <v>8</v>
      </c>
      <c r="L676">
        <v>10</v>
      </c>
      <c r="M676">
        <v>0</v>
      </c>
    </row>
    <row r="677" spans="1:13" x14ac:dyDescent="0.25">
      <c r="A677">
        <v>19</v>
      </c>
      <c r="B677" t="s">
        <v>19</v>
      </c>
      <c r="C677">
        <v>3.4</v>
      </c>
      <c r="D677" t="s">
        <v>20</v>
      </c>
      <c r="E677">
        <v>4.3</v>
      </c>
      <c r="F677">
        <v>0.7</v>
      </c>
      <c r="G677">
        <v>2.17</v>
      </c>
      <c r="H677">
        <v>0.7</v>
      </c>
      <c r="I677" t="s">
        <v>21</v>
      </c>
      <c r="J677">
        <v>3</v>
      </c>
      <c r="K677">
        <v>1</v>
      </c>
      <c r="L677">
        <v>4</v>
      </c>
      <c r="M677">
        <v>0</v>
      </c>
    </row>
    <row r="678" spans="1:13" x14ac:dyDescent="0.25">
      <c r="A678">
        <v>18</v>
      </c>
      <c r="B678" t="s">
        <v>16</v>
      </c>
      <c r="C678">
        <v>6.3</v>
      </c>
      <c r="D678" t="s">
        <v>23</v>
      </c>
      <c r="E678">
        <v>6.9</v>
      </c>
      <c r="F678">
        <v>1</v>
      </c>
      <c r="G678">
        <v>3.22</v>
      </c>
      <c r="H678">
        <v>0.8</v>
      </c>
      <c r="I678" t="s">
        <v>22</v>
      </c>
      <c r="J678">
        <v>4</v>
      </c>
      <c r="K678">
        <v>6</v>
      </c>
      <c r="L678">
        <v>1</v>
      </c>
      <c r="M678">
        <v>0</v>
      </c>
    </row>
    <row r="679" spans="1:13" x14ac:dyDescent="0.25">
      <c r="A679">
        <v>17</v>
      </c>
      <c r="B679" t="s">
        <v>19</v>
      </c>
      <c r="C679">
        <v>1.1000000000000001</v>
      </c>
      <c r="D679" t="s">
        <v>20</v>
      </c>
      <c r="E679">
        <v>4.5999999999999996</v>
      </c>
      <c r="F679">
        <v>2.5</v>
      </c>
      <c r="G679">
        <v>3.93</v>
      </c>
      <c r="H679">
        <v>0.3</v>
      </c>
      <c r="I679" t="s">
        <v>21</v>
      </c>
      <c r="J679">
        <v>10</v>
      </c>
      <c r="K679">
        <v>6</v>
      </c>
      <c r="L679">
        <v>2</v>
      </c>
      <c r="M679">
        <v>0</v>
      </c>
    </row>
    <row r="680" spans="1:13" x14ac:dyDescent="0.25">
      <c r="A680">
        <v>19</v>
      </c>
      <c r="B680" t="s">
        <v>16</v>
      </c>
      <c r="C680">
        <v>3.8</v>
      </c>
      <c r="D680" t="s">
        <v>17</v>
      </c>
      <c r="E680">
        <v>7.1</v>
      </c>
      <c r="F680">
        <v>2.5</v>
      </c>
      <c r="G680">
        <v>3.81</v>
      </c>
      <c r="H680">
        <v>0.9</v>
      </c>
      <c r="I680" t="s">
        <v>18</v>
      </c>
      <c r="J680">
        <v>6</v>
      </c>
      <c r="K680">
        <v>9</v>
      </c>
      <c r="L680">
        <v>4</v>
      </c>
      <c r="M680">
        <v>0</v>
      </c>
    </row>
    <row r="681" spans="1:13" x14ac:dyDescent="0.25">
      <c r="A681">
        <v>13</v>
      </c>
      <c r="B681" t="s">
        <v>16</v>
      </c>
      <c r="C681">
        <v>2.1</v>
      </c>
      <c r="D681" t="s">
        <v>17</v>
      </c>
      <c r="E681">
        <v>4.0999999999999996</v>
      </c>
      <c r="F681">
        <v>1.6</v>
      </c>
      <c r="G681">
        <v>2.12</v>
      </c>
      <c r="H681">
        <v>1.8</v>
      </c>
      <c r="I681" t="s">
        <v>21</v>
      </c>
      <c r="J681">
        <v>10</v>
      </c>
      <c r="K681">
        <v>9</v>
      </c>
      <c r="L681">
        <v>6</v>
      </c>
      <c r="M681">
        <v>0</v>
      </c>
    </row>
    <row r="682" spans="1:13" x14ac:dyDescent="0.25">
      <c r="A682">
        <v>17</v>
      </c>
      <c r="B682" t="s">
        <v>19</v>
      </c>
      <c r="C682">
        <v>6.2</v>
      </c>
      <c r="D682" t="s">
        <v>23</v>
      </c>
      <c r="E682">
        <v>6.1</v>
      </c>
      <c r="F682">
        <v>2.4</v>
      </c>
      <c r="G682">
        <v>3.05</v>
      </c>
      <c r="H682">
        <v>1.8</v>
      </c>
      <c r="I682" t="s">
        <v>21</v>
      </c>
      <c r="J682">
        <v>3</v>
      </c>
      <c r="K682">
        <v>6</v>
      </c>
      <c r="L682">
        <v>8</v>
      </c>
      <c r="M682">
        <v>0</v>
      </c>
    </row>
    <row r="683" spans="1:13" x14ac:dyDescent="0.25">
      <c r="A683">
        <v>19</v>
      </c>
      <c r="B683" t="s">
        <v>16</v>
      </c>
      <c r="C683">
        <v>6.8</v>
      </c>
      <c r="D683" t="s">
        <v>17</v>
      </c>
      <c r="E683">
        <v>8.4</v>
      </c>
      <c r="F683">
        <v>2.1</v>
      </c>
      <c r="G683">
        <v>3.15</v>
      </c>
      <c r="H683">
        <v>2</v>
      </c>
      <c r="I683" t="s">
        <v>22</v>
      </c>
      <c r="J683">
        <v>4</v>
      </c>
      <c r="K683">
        <v>10</v>
      </c>
      <c r="L683">
        <v>1</v>
      </c>
      <c r="M683">
        <v>0</v>
      </c>
    </row>
    <row r="684" spans="1:13" x14ac:dyDescent="0.25">
      <c r="A684">
        <v>14</v>
      </c>
      <c r="B684" t="s">
        <v>16</v>
      </c>
      <c r="C684">
        <v>5.2</v>
      </c>
      <c r="D684" t="s">
        <v>17</v>
      </c>
      <c r="E684">
        <v>5.5</v>
      </c>
      <c r="F684">
        <v>1.6</v>
      </c>
      <c r="G684">
        <v>3.08</v>
      </c>
      <c r="H684">
        <v>0.5</v>
      </c>
      <c r="I684" t="s">
        <v>22</v>
      </c>
      <c r="J684">
        <v>3</v>
      </c>
      <c r="K684">
        <v>8</v>
      </c>
      <c r="L684">
        <v>1</v>
      </c>
      <c r="M684">
        <v>0</v>
      </c>
    </row>
    <row r="685" spans="1:13" x14ac:dyDescent="0.25">
      <c r="A685">
        <v>15</v>
      </c>
      <c r="B685" t="s">
        <v>16</v>
      </c>
      <c r="C685">
        <v>3.7</v>
      </c>
      <c r="D685" t="s">
        <v>23</v>
      </c>
      <c r="E685">
        <v>4</v>
      </c>
      <c r="F685">
        <v>0.9</v>
      </c>
      <c r="G685">
        <v>3</v>
      </c>
      <c r="H685">
        <v>1.4</v>
      </c>
      <c r="I685" t="s">
        <v>22</v>
      </c>
      <c r="J685">
        <v>1</v>
      </c>
      <c r="K685">
        <v>8</v>
      </c>
      <c r="L685">
        <v>10</v>
      </c>
      <c r="M685">
        <v>0</v>
      </c>
    </row>
    <row r="686" spans="1:13" x14ac:dyDescent="0.25">
      <c r="A686">
        <v>19</v>
      </c>
      <c r="B686" t="s">
        <v>16</v>
      </c>
      <c r="C686">
        <v>2.4</v>
      </c>
      <c r="D686" t="s">
        <v>23</v>
      </c>
      <c r="E686">
        <v>7.5</v>
      </c>
      <c r="F686">
        <v>1.8</v>
      </c>
      <c r="G686">
        <v>2.35</v>
      </c>
      <c r="H686">
        <v>1.4</v>
      </c>
      <c r="I686" t="s">
        <v>18</v>
      </c>
      <c r="J686">
        <v>3</v>
      </c>
      <c r="K686">
        <v>8</v>
      </c>
      <c r="L686">
        <v>6</v>
      </c>
      <c r="M686">
        <v>0</v>
      </c>
    </row>
    <row r="687" spans="1:13" x14ac:dyDescent="0.25">
      <c r="A687">
        <v>13</v>
      </c>
      <c r="B687" t="s">
        <v>16</v>
      </c>
      <c r="C687">
        <v>2.1</v>
      </c>
      <c r="D687" t="s">
        <v>20</v>
      </c>
      <c r="E687">
        <v>5.8</v>
      </c>
      <c r="F687">
        <v>2.7</v>
      </c>
      <c r="G687">
        <v>3.83</v>
      </c>
      <c r="H687">
        <v>1.9</v>
      </c>
      <c r="I687" t="s">
        <v>18</v>
      </c>
      <c r="J687">
        <v>4</v>
      </c>
      <c r="K687">
        <v>6</v>
      </c>
      <c r="L687">
        <v>6</v>
      </c>
      <c r="M687">
        <v>0</v>
      </c>
    </row>
    <row r="688" spans="1:13" x14ac:dyDescent="0.25">
      <c r="A688">
        <v>17</v>
      </c>
      <c r="B688" t="s">
        <v>19</v>
      </c>
      <c r="C688">
        <v>2.6</v>
      </c>
      <c r="D688" t="s">
        <v>20</v>
      </c>
      <c r="E688">
        <v>4.2</v>
      </c>
      <c r="F688">
        <v>0.7</v>
      </c>
      <c r="G688">
        <v>3.02</v>
      </c>
      <c r="H688">
        <v>1.6</v>
      </c>
      <c r="I688" t="s">
        <v>18</v>
      </c>
      <c r="J688">
        <v>7</v>
      </c>
      <c r="K688">
        <v>4</v>
      </c>
      <c r="L688">
        <v>7</v>
      </c>
      <c r="M688">
        <v>0</v>
      </c>
    </row>
    <row r="689" spans="1:13" x14ac:dyDescent="0.25">
      <c r="A689">
        <v>19</v>
      </c>
      <c r="B689" t="s">
        <v>16</v>
      </c>
      <c r="C689">
        <v>6.5</v>
      </c>
      <c r="D689" t="s">
        <v>17</v>
      </c>
      <c r="E689">
        <v>6</v>
      </c>
      <c r="F689">
        <v>1.5</v>
      </c>
      <c r="G689">
        <v>2.12</v>
      </c>
      <c r="H689">
        <v>1.7</v>
      </c>
      <c r="I689" t="s">
        <v>22</v>
      </c>
      <c r="J689">
        <v>8</v>
      </c>
      <c r="K689">
        <v>5</v>
      </c>
      <c r="L689">
        <v>7</v>
      </c>
      <c r="M689">
        <v>0</v>
      </c>
    </row>
    <row r="690" spans="1:13" x14ac:dyDescent="0.25">
      <c r="A690">
        <v>16</v>
      </c>
      <c r="B690" t="s">
        <v>19</v>
      </c>
      <c r="C690">
        <v>3.4</v>
      </c>
      <c r="D690" t="s">
        <v>17</v>
      </c>
      <c r="E690">
        <v>5.3</v>
      </c>
      <c r="F690">
        <v>1.8</v>
      </c>
      <c r="G690">
        <v>3.33</v>
      </c>
      <c r="H690">
        <v>0.3</v>
      </c>
      <c r="I690" t="s">
        <v>18</v>
      </c>
      <c r="J690">
        <v>9</v>
      </c>
      <c r="K690">
        <v>2</v>
      </c>
      <c r="L690">
        <v>4</v>
      </c>
      <c r="M690">
        <v>0</v>
      </c>
    </row>
    <row r="691" spans="1:13" x14ac:dyDescent="0.25">
      <c r="A691">
        <v>16</v>
      </c>
      <c r="B691" t="s">
        <v>16</v>
      </c>
      <c r="C691">
        <v>1.7</v>
      </c>
      <c r="D691" t="s">
        <v>23</v>
      </c>
      <c r="E691">
        <v>4.3</v>
      </c>
      <c r="F691">
        <v>1.4</v>
      </c>
      <c r="G691">
        <v>3.27</v>
      </c>
      <c r="H691">
        <v>1.2</v>
      </c>
      <c r="I691" t="s">
        <v>22</v>
      </c>
      <c r="J691">
        <v>10</v>
      </c>
      <c r="K691">
        <v>4</v>
      </c>
      <c r="L691">
        <v>10</v>
      </c>
      <c r="M691">
        <v>0</v>
      </c>
    </row>
    <row r="692" spans="1:13" x14ac:dyDescent="0.25">
      <c r="A692">
        <v>13</v>
      </c>
      <c r="B692" t="s">
        <v>16</v>
      </c>
      <c r="C692">
        <v>5.6</v>
      </c>
      <c r="D692" t="s">
        <v>23</v>
      </c>
      <c r="E692">
        <v>4.4000000000000004</v>
      </c>
      <c r="F692">
        <v>2.9</v>
      </c>
      <c r="G692">
        <v>3.19</v>
      </c>
      <c r="H692">
        <v>0.9</v>
      </c>
      <c r="I692" t="s">
        <v>22</v>
      </c>
      <c r="J692">
        <v>6</v>
      </c>
      <c r="K692">
        <v>3</v>
      </c>
      <c r="L692">
        <v>4</v>
      </c>
      <c r="M692">
        <v>0</v>
      </c>
    </row>
    <row r="693" spans="1:13" x14ac:dyDescent="0.25">
      <c r="A693">
        <v>15</v>
      </c>
      <c r="B693" t="s">
        <v>19</v>
      </c>
      <c r="C693">
        <v>8</v>
      </c>
      <c r="D693" t="s">
        <v>23</v>
      </c>
      <c r="E693">
        <v>5.7</v>
      </c>
      <c r="F693">
        <v>1.3</v>
      </c>
      <c r="G693">
        <v>3.54</v>
      </c>
      <c r="H693">
        <v>0.1</v>
      </c>
      <c r="I693" t="s">
        <v>21</v>
      </c>
      <c r="J693">
        <v>9</v>
      </c>
      <c r="K693">
        <v>7</v>
      </c>
      <c r="L693">
        <v>5</v>
      </c>
      <c r="M693">
        <v>1</v>
      </c>
    </row>
    <row r="694" spans="1:13" x14ac:dyDescent="0.25">
      <c r="A694">
        <v>15</v>
      </c>
      <c r="B694" t="s">
        <v>19</v>
      </c>
      <c r="C694">
        <v>5.7</v>
      </c>
      <c r="D694" t="s">
        <v>17</v>
      </c>
      <c r="E694">
        <v>8.4</v>
      </c>
      <c r="F694">
        <v>1.3</v>
      </c>
      <c r="G694">
        <v>2.48</v>
      </c>
      <c r="H694">
        <v>0.9</v>
      </c>
      <c r="I694" t="s">
        <v>21</v>
      </c>
      <c r="J694">
        <v>5</v>
      </c>
      <c r="K694">
        <v>2</v>
      </c>
      <c r="L694">
        <v>4</v>
      </c>
      <c r="M694">
        <v>0</v>
      </c>
    </row>
    <row r="695" spans="1:13" x14ac:dyDescent="0.25">
      <c r="A695">
        <v>16</v>
      </c>
      <c r="B695" t="s">
        <v>19</v>
      </c>
      <c r="C695">
        <v>4</v>
      </c>
      <c r="D695" t="s">
        <v>20</v>
      </c>
      <c r="E695">
        <v>5.4</v>
      </c>
      <c r="F695">
        <v>2.7</v>
      </c>
      <c r="G695">
        <v>2.88</v>
      </c>
      <c r="H695">
        <v>1.2</v>
      </c>
      <c r="I695" t="s">
        <v>22</v>
      </c>
      <c r="J695">
        <v>4</v>
      </c>
      <c r="K695">
        <v>10</v>
      </c>
      <c r="L695">
        <v>1</v>
      </c>
      <c r="M695">
        <v>0</v>
      </c>
    </row>
    <row r="696" spans="1:13" x14ac:dyDescent="0.25">
      <c r="A696">
        <v>13</v>
      </c>
      <c r="B696" t="s">
        <v>19</v>
      </c>
      <c r="C696">
        <v>3.5</v>
      </c>
      <c r="D696" t="s">
        <v>17</v>
      </c>
      <c r="E696">
        <v>5.3</v>
      </c>
      <c r="F696">
        <v>1.7</v>
      </c>
      <c r="G696">
        <v>2.2000000000000002</v>
      </c>
      <c r="H696">
        <v>0.8</v>
      </c>
      <c r="I696" t="s">
        <v>21</v>
      </c>
      <c r="J696">
        <v>6</v>
      </c>
      <c r="K696">
        <v>10</v>
      </c>
      <c r="L696">
        <v>8</v>
      </c>
      <c r="M696">
        <v>0</v>
      </c>
    </row>
    <row r="697" spans="1:13" x14ac:dyDescent="0.25">
      <c r="A697">
        <v>15</v>
      </c>
      <c r="B697" t="s">
        <v>19</v>
      </c>
      <c r="C697">
        <v>4.2</v>
      </c>
      <c r="D697" t="s">
        <v>20</v>
      </c>
      <c r="E697">
        <v>5.5</v>
      </c>
      <c r="F697">
        <v>1.3</v>
      </c>
      <c r="G697">
        <v>3.49</v>
      </c>
      <c r="H697">
        <v>0.5</v>
      </c>
      <c r="I697" t="s">
        <v>18</v>
      </c>
      <c r="J697">
        <v>2</v>
      </c>
      <c r="K697">
        <v>5</v>
      </c>
      <c r="L697">
        <v>2</v>
      </c>
      <c r="M697">
        <v>0</v>
      </c>
    </row>
    <row r="698" spans="1:13" x14ac:dyDescent="0.25">
      <c r="A698">
        <v>19</v>
      </c>
      <c r="B698" t="s">
        <v>19</v>
      </c>
      <c r="C698">
        <v>3.9</v>
      </c>
      <c r="D698" t="s">
        <v>20</v>
      </c>
      <c r="E698">
        <v>7.4</v>
      </c>
      <c r="F698">
        <v>2.5</v>
      </c>
      <c r="G698">
        <v>3.74</v>
      </c>
      <c r="H698">
        <v>0.3</v>
      </c>
      <c r="I698" t="s">
        <v>22</v>
      </c>
      <c r="J698">
        <v>5</v>
      </c>
      <c r="K698">
        <v>8</v>
      </c>
      <c r="L698">
        <v>3</v>
      </c>
      <c r="M698">
        <v>0</v>
      </c>
    </row>
    <row r="699" spans="1:13" x14ac:dyDescent="0.25">
      <c r="A699">
        <v>17</v>
      </c>
      <c r="B699" t="s">
        <v>19</v>
      </c>
      <c r="C699">
        <v>6.7</v>
      </c>
      <c r="D699" t="s">
        <v>17</v>
      </c>
      <c r="E699">
        <v>4.3</v>
      </c>
      <c r="F699">
        <v>0.6</v>
      </c>
      <c r="G699">
        <v>3.76</v>
      </c>
      <c r="H699">
        <v>0</v>
      </c>
      <c r="I699" t="s">
        <v>18</v>
      </c>
      <c r="J699">
        <v>2</v>
      </c>
      <c r="K699">
        <v>1</v>
      </c>
      <c r="L699">
        <v>7</v>
      </c>
      <c r="M699">
        <v>0</v>
      </c>
    </row>
    <row r="700" spans="1:13" x14ac:dyDescent="0.25">
      <c r="A700">
        <v>15</v>
      </c>
      <c r="B700" t="s">
        <v>16</v>
      </c>
      <c r="C700">
        <v>6.7</v>
      </c>
      <c r="D700" t="s">
        <v>23</v>
      </c>
      <c r="E700">
        <v>4.3</v>
      </c>
      <c r="F700">
        <v>1.8</v>
      </c>
      <c r="G700">
        <v>3.69</v>
      </c>
      <c r="H700">
        <v>0.7</v>
      </c>
      <c r="I700" t="s">
        <v>21</v>
      </c>
      <c r="J700">
        <v>2</v>
      </c>
      <c r="K700">
        <v>8</v>
      </c>
      <c r="L700">
        <v>7</v>
      </c>
      <c r="M700">
        <v>0</v>
      </c>
    </row>
    <row r="701" spans="1:13" x14ac:dyDescent="0.25">
      <c r="A701">
        <v>14</v>
      </c>
      <c r="B701" t="s">
        <v>19</v>
      </c>
      <c r="C701">
        <v>3.4</v>
      </c>
      <c r="D701" t="s">
        <v>17</v>
      </c>
      <c r="E701">
        <v>5.6</v>
      </c>
      <c r="F701">
        <v>1.7</v>
      </c>
      <c r="G701">
        <v>3.38</v>
      </c>
      <c r="H701">
        <v>0.3</v>
      </c>
      <c r="I701" t="s">
        <v>21</v>
      </c>
      <c r="J701">
        <v>9</v>
      </c>
      <c r="K701">
        <v>3</v>
      </c>
      <c r="L701">
        <v>1</v>
      </c>
      <c r="M701">
        <v>0</v>
      </c>
    </row>
    <row r="702" spans="1:13" x14ac:dyDescent="0.25">
      <c r="A702">
        <v>16</v>
      </c>
      <c r="B702" t="s">
        <v>16</v>
      </c>
      <c r="C702">
        <v>5</v>
      </c>
      <c r="D702" t="s">
        <v>20</v>
      </c>
      <c r="E702">
        <v>4.3</v>
      </c>
      <c r="F702">
        <v>0.7</v>
      </c>
      <c r="G702">
        <v>3.68</v>
      </c>
      <c r="H702">
        <v>1.2</v>
      </c>
      <c r="I702" t="s">
        <v>18</v>
      </c>
      <c r="J702">
        <v>6</v>
      </c>
      <c r="K702">
        <v>2</v>
      </c>
      <c r="L702">
        <v>4</v>
      </c>
      <c r="M702">
        <v>0</v>
      </c>
    </row>
    <row r="703" spans="1:13" x14ac:dyDescent="0.25">
      <c r="A703">
        <v>18</v>
      </c>
      <c r="B703" t="s">
        <v>19</v>
      </c>
      <c r="C703">
        <v>3.8</v>
      </c>
      <c r="D703" t="s">
        <v>17</v>
      </c>
      <c r="E703">
        <v>5.9</v>
      </c>
      <c r="F703">
        <v>1</v>
      </c>
      <c r="G703">
        <v>2.2200000000000002</v>
      </c>
      <c r="H703">
        <v>0.6</v>
      </c>
      <c r="I703" t="s">
        <v>18</v>
      </c>
      <c r="J703">
        <v>9</v>
      </c>
      <c r="K703">
        <v>10</v>
      </c>
      <c r="L703">
        <v>9</v>
      </c>
      <c r="M703">
        <v>0</v>
      </c>
    </row>
    <row r="704" spans="1:13" x14ac:dyDescent="0.25">
      <c r="A704">
        <v>15</v>
      </c>
      <c r="B704" t="s">
        <v>19</v>
      </c>
      <c r="C704">
        <v>7.3</v>
      </c>
      <c r="D704" t="s">
        <v>20</v>
      </c>
      <c r="E704">
        <v>7.3</v>
      </c>
      <c r="F704">
        <v>2.8</v>
      </c>
      <c r="G704">
        <v>2.46</v>
      </c>
      <c r="H704">
        <v>0.3</v>
      </c>
      <c r="I704" t="s">
        <v>18</v>
      </c>
      <c r="J704">
        <v>2</v>
      </c>
      <c r="K704">
        <v>7</v>
      </c>
      <c r="L704">
        <v>5</v>
      </c>
      <c r="M704">
        <v>0</v>
      </c>
    </row>
    <row r="705" spans="1:13" x14ac:dyDescent="0.25">
      <c r="A705">
        <v>18</v>
      </c>
      <c r="B705" t="s">
        <v>19</v>
      </c>
      <c r="C705">
        <v>7.2</v>
      </c>
      <c r="D705" t="s">
        <v>20</v>
      </c>
      <c r="E705">
        <v>5</v>
      </c>
      <c r="F705">
        <v>1.4</v>
      </c>
      <c r="G705">
        <v>3.65</v>
      </c>
      <c r="H705">
        <v>1.1000000000000001</v>
      </c>
      <c r="I705" t="s">
        <v>18</v>
      </c>
      <c r="J705">
        <v>8</v>
      </c>
      <c r="K705">
        <v>8</v>
      </c>
      <c r="L705">
        <v>4</v>
      </c>
      <c r="M705">
        <v>1</v>
      </c>
    </row>
    <row r="706" spans="1:13" x14ac:dyDescent="0.25">
      <c r="A706">
        <v>15</v>
      </c>
      <c r="B706" t="s">
        <v>19</v>
      </c>
      <c r="C706">
        <v>3.1</v>
      </c>
      <c r="D706" t="s">
        <v>23</v>
      </c>
      <c r="E706">
        <v>4.2</v>
      </c>
      <c r="F706">
        <v>2.1</v>
      </c>
      <c r="G706">
        <v>3.21</v>
      </c>
      <c r="H706">
        <v>1.1000000000000001</v>
      </c>
      <c r="I706" t="s">
        <v>22</v>
      </c>
      <c r="J706">
        <v>8</v>
      </c>
      <c r="K706">
        <v>2</v>
      </c>
      <c r="L706">
        <v>10</v>
      </c>
      <c r="M706">
        <v>0</v>
      </c>
    </row>
    <row r="707" spans="1:13" x14ac:dyDescent="0.25">
      <c r="A707">
        <v>15</v>
      </c>
      <c r="B707" t="s">
        <v>19</v>
      </c>
      <c r="C707">
        <v>8</v>
      </c>
      <c r="D707" t="s">
        <v>17</v>
      </c>
      <c r="E707">
        <v>4.4000000000000004</v>
      </c>
      <c r="F707">
        <v>0.7</v>
      </c>
      <c r="G707">
        <v>2.62</v>
      </c>
      <c r="H707">
        <v>1.6</v>
      </c>
      <c r="I707" t="s">
        <v>21</v>
      </c>
      <c r="J707">
        <v>6</v>
      </c>
      <c r="K707">
        <v>7</v>
      </c>
      <c r="L707">
        <v>2</v>
      </c>
      <c r="M707">
        <v>0</v>
      </c>
    </row>
    <row r="708" spans="1:13" x14ac:dyDescent="0.25">
      <c r="A708">
        <v>15</v>
      </c>
      <c r="B708" t="s">
        <v>16</v>
      </c>
      <c r="C708">
        <v>4.3</v>
      </c>
      <c r="D708" t="s">
        <v>17</v>
      </c>
      <c r="E708">
        <v>7.5</v>
      </c>
      <c r="F708">
        <v>1.1000000000000001</v>
      </c>
      <c r="G708">
        <v>2.06</v>
      </c>
      <c r="H708">
        <v>1.8</v>
      </c>
      <c r="I708" t="s">
        <v>22</v>
      </c>
      <c r="J708">
        <v>5</v>
      </c>
      <c r="K708">
        <v>7</v>
      </c>
      <c r="L708">
        <v>2</v>
      </c>
      <c r="M708">
        <v>0</v>
      </c>
    </row>
    <row r="709" spans="1:13" x14ac:dyDescent="0.25">
      <c r="A709">
        <v>14</v>
      </c>
      <c r="B709" t="s">
        <v>19</v>
      </c>
      <c r="C709">
        <v>4</v>
      </c>
      <c r="D709" t="s">
        <v>20</v>
      </c>
      <c r="E709">
        <v>5.0999999999999996</v>
      </c>
      <c r="F709">
        <v>1.1000000000000001</v>
      </c>
      <c r="G709">
        <v>3.98</v>
      </c>
      <c r="H709">
        <v>1.3</v>
      </c>
      <c r="I709" t="s">
        <v>22</v>
      </c>
      <c r="J709">
        <v>5</v>
      </c>
      <c r="K709">
        <v>4</v>
      </c>
      <c r="L709">
        <v>9</v>
      </c>
      <c r="M709">
        <v>0</v>
      </c>
    </row>
    <row r="710" spans="1:13" x14ac:dyDescent="0.25">
      <c r="A710">
        <v>15</v>
      </c>
      <c r="B710" t="s">
        <v>16</v>
      </c>
      <c r="C710">
        <v>6.9</v>
      </c>
      <c r="D710" t="s">
        <v>20</v>
      </c>
      <c r="E710">
        <v>5.6</v>
      </c>
      <c r="F710">
        <v>1.4</v>
      </c>
      <c r="G710">
        <v>2.09</v>
      </c>
      <c r="H710">
        <v>0.7</v>
      </c>
      <c r="I710" t="s">
        <v>18</v>
      </c>
      <c r="J710">
        <v>9</v>
      </c>
      <c r="K710">
        <v>5</v>
      </c>
      <c r="L710">
        <v>9</v>
      </c>
      <c r="M710">
        <v>0</v>
      </c>
    </row>
    <row r="711" spans="1:13" x14ac:dyDescent="0.25">
      <c r="A711">
        <v>13</v>
      </c>
      <c r="B711" t="s">
        <v>16</v>
      </c>
      <c r="C711">
        <v>7</v>
      </c>
      <c r="D711" t="s">
        <v>20</v>
      </c>
      <c r="E711">
        <v>4.4000000000000004</v>
      </c>
      <c r="F711">
        <v>0.9</v>
      </c>
      <c r="G711">
        <v>3.67</v>
      </c>
      <c r="H711">
        <v>0.4</v>
      </c>
      <c r="I711" t="s">
        <v>18</v>
      </c>
      <c r="J711">
        <v>5</v>
      </c>
      <c r="K711">
        <v>3</v>
      </c>
      <c r="L711">
        <v>6</v>
      </c>
      <c r="M711">
        <v>0</v>
      </c>
    </row>
    <row r="712" spans="1:13" x14ac:dyDescent="0.25">
      <c r="A712">
        <v>13</v>
      </c>
      <c r="B712" t="s">
        <v>16</v>
      </c>
      <c r="C712">
        <v>6.2</v>
      </c>
      <c r="D712" t="s">
        <v>17</v>
      </c>
      <c r="E712">
        <v>8.6</v>
      </c>
      <c r="F712">
        <v>1.8</v>
      </c>
      <c r="G712">
        <v>2.19</v>
      </c>
      <c r="H712">
        <v>0.7</v>
      </c>
      <c r="I712" t="s">
        <v>21</v>
      </c>
      <c r="J712">
        <v>8</v>
      </c>
      <c r="K712">
        <v>4</v>
      </c>
      <c r="L712">
        <v>7</v>
      </c>
      <c r="M712">
        <v>0</v>
      </c>
    </row>
    <row r="713" spans="1:13" x14ac:dyDescent="0.25">
      <c r="A713">
        <v>15</v>
      </c>
      <c r="B713" t="s">
        <v>16</v>
      </c>
      <c r="C713">
        <v>7.7</v>
      </c>
      <c r="D713" t="s">
        <v>17</v>
      </c>
      <c r="E713">
        <v>8</v>
      </c>
      <c r="F713">
        <v>1.3</v>
      </c>
      <c r="G713">
        <v>3.78</v>
      </c>
      <c r="H713">
        <v>1.1000000000000001</v>
      </c>
      <c r="I713" t="s">
        <v>22</v>
      </c>
      <c r="J713">
        <v>1</v>
      </c>
      <c r="K713">
        <v>6</v>
      </c>
      <c r="L713">
        <v>5</v>
      </c>
      <c r="M713">
        <v>0</v>
      </c>
    </row>
    <row r="714" spans="1:13" x14ac:dyDescent="0.25">
      <c r="A714">
        <v>19</v>
      </c>
      <c r="B714" t="s">
        <v>19</v>
      </c>
      <c r="C714">
        <v>5.0999999999999996</v>
      </c>
      <c r="D714" t="s">
        <v>23</v>
      </c>
      <c r="E714">
        <v>6.3</v>
      </c>
      <c r="F714">
        <v>2.2999999999999998</v>
      </c>
      <c r="G714">
        <v>2.5499999999999998</v>
      </c>
      <c r="H714">
        <v>2</v>
      </c>
      <c r="I714" t="s">
        <v>22</v>
      </c>
      <c r="J714">
        <v>6</v>
      </c>
      <c r="K714">
        <v>9</v>
      </c>
      <c r="L714">
        <v>7</v>
      </c>
      <c r="M714">
        <v>0</v>
      </c>
    </row>
    <row r="715" spans="1:13" x14ac:dyDescent="0.25">
      <c r="A715">
        <v>15</v>
      </c>
      <c r="B715" t="s">
        <v>16</v>
      </c>
      <c r="C715">
        <v>1</v>
      </c>
      <c r="D715" t="s">
        <v>20</v>
      </c>
      <c r="E715">
        <v>8.5</v>
      </c>
      <c r="F715">
        <v>2</v>
      </c>
      <c r="G715">
        <v>3.77</v>
      </c>
      <c r="H715">
        <v>1.9</v>
      </c>
      <c r="I715" t="s">
        <v>21</v>
      </c>
      <c r="J715">
        <v>4</v>
      </c>
      <c r="K715">
        <v>1</v>
      </c>
      <c r="L715">
        <v>7</v>
      </c>
      <c r="M715">
        <v>0</v>
      </c>
    </row>
    <row r="716" spans="1:13" x14ac:dyDescent="0.25">
      <c r="A716">
        <v>15</v>
      </c>
      <c r="B716" t="s">
        <v>19</v>
      </c>
      <c r="C716">
        <v>1.1000000000000001</v>
      </c>
      <c r="D716" t="s">
        <v>17</v>
      </c>
      <c r="E716">
        <v>4.5999999999999996</v>
      </c>
      <c r="F716">
        <v>1.8</v>
      </c>
      <c r="G716">
        <v>2.35</v>
      </c>
      <c r="H716">
        <v>1.1000000000000001</v>
      </c>
      <c r="I716" t="s">
        <v>22</v>
      </c>
      <c r="J716">
        <v>10</v>
      </c>
      <c r="K716">
        <v>6</v>
      </c>
      <c r="L716">
        <v>6</v>
      </c>
      <c r="M716">
        <v>0</v>
      </c>
    </row>
    <row r="717" spans="1:13" x14ac:dyDescent="0.25">
      <c r="A717">
        <v>13</v>
      </c>
      <c r="B717" t="s">
        <v>19</v>
      </c>
      <c r="C717">
        <v>7</v>
      </c>
      <c r="D717" t="s">
        <v>17</v>
      </c>
      <c r="E717">
        <v>4.9000000000000004</v>
      </c>
      <c r="F717">
        <v>1.2</v>
      </c>
      <c r="G717">
        <v>3.61</v>
      </c>
      <c r="H717">
        <v>0.2</v>
      </c>
      <c r="I717" t="s">
        <v>22</v>
      </c>
      <c r="J717">
        <v>2</v>
      </c>
      <c r="K717">
        <v>3</v>
      </c>
      <c r="L717">
        <v>5</v>
      </c>
      <c r="M717">
        <v>0</v>
      </c>
    </row>
    <row r="718" spans="1:13" x14ac:dyDescent="0.25">
      <c r="A718">
        <v>15</v>
      </c>
      <c r="B718" t="s">
        <v>19</v>
      </c>
      <c r="C718">
        <v>2.7</v>
      </c>
      <c r="D718" t="s">
        <v>23</v>
      </c>
      <c r="E718">
        <v>7.8</v>
      </c>
      <c r="F718">
        <v>1.8</v>
      </c>
      <c r="G718">
        <v>3.9</v>
      </c>
      <c r="H718">
        <v>1.4</v>
      </c>
      <c r="I718" t="s">
        <v>18</v>
      </c>
      <c r="J718">
        <v>5</v>
      </c>
      <c r="K718">
        <v>8</v>
      </c>
      <c r="L718">
        <v>9</v>
      </c>
      <c r="M718">
        <v>0</v>
      </c>
    </row>
    <row r="719" spans="1:13" x14ac:dyDescent="0.25">
      <c r="A719">
        <v>18</v>
      </c>
      <c r="B719" t="s">
        <v>16</v>
      </c>
      <c r="C719">
        <v>2.5</v>
      </c>
      <c r="D719" t="s">
        <v>17</v>
      </c>
      <c r="E719">
        <v>4.2</v>
      </c>
      <c r="F719">
        <v>1.4</v>
      </c>
      <c r="G719">
        <v>3.9</v>
      </c>
      <c r="H719">
        <v>0.7</v>
      </c>
      <c r="I719" t="s">
        <v>21</v>
      </c>
      <c r="J719">
        <v>5</v>
      </c>
      <c r="K719">
        <v>2</v>
      </c>
      <c r="L719">
        <v>3</v>
      </c>
      <c r="M719">
        <v>0</v>
      </c>
    </row>
    <row r="720" spans="1:13" x14ac:dyDescent="0.25">
      <c r="A720">
        <v>18</v>
      </c>
      <c r="B720" t="s">
        <v>19</v>
      </c>
      <c r="C720">
        <v>2.2999999999999998</v>
      </c>
      <c r="D720" t="s">
        <v>20</v>
      </c>
      <c r="E720">
        <v>4.3</v>
      </c>
      <c r="F720">
        <v>0.9</v>
      </c>
      <c r="G720">
        <v>3.27</v>
      </c>
      <c r="H720">
        <v>0.1</v>
      </c>
      <c r="I720" t="s">
        <v>21</v>
      </c>
      <c r="J720">
        <v>5</v>
      </c>
      <c r="K720">
        <v>9</v>
      </c>
      <c r="L720">
        <v>10</v>
      </c>
      <c r="M720">
        <v>0</v>
      </c>
    </row>
    <row r="721" spans="1:13" x14ac:dyDescent="0.25">
      <c r="A721">
        <v>17</v>
      </c>
      <c r="B721" t="s">
        <v>19</v>
      </c>
      <c r="C721">
        <v>2.7</v>
      </c>
      <c r="D721" t="s">
        <v>20</v>
      </c>
      <c r="E721">
        <v>6.6</v>
      </c>
      <c r="F721">
        <v>1.6</v>
      </c>
      <c r="G721">
        <v>3.36</v>
      </c>
      <c r="H721">
        <v>1.6</v>
      </c>
      <c r="I721" t="s">
        <v>21</v>
      </c>
      <c r="J721">
        <v>3</v>
      </c>
      <c r="K721">
        <v>1</v>
      </c>
      <c r="L721">
        <v>2</v>
      </c>
      <c r="M721">
        <v>0</v>
      </c>
    </row>
    <row r="722" spans="1:13" x14ac:dyDescent="0.25">
      <c r="A722">
        <v>14</v>
      </c>
      <c r="B722" t="s">
        <v>16</v>
      </c>
      <c r="C722">
        <v>3.2</v>
      </c>
      <c r="D722" t="s">
        <v>17</v>
      </c>
      <c r="E722">
        <v>5.4</v>
      </c>
      <c r="F722">
        <v>2.6</v>
      </c>
      <c r="G722">
        <v>3.18</v>
      </c>
      <c r="H722">
        <v>0.9</v>
      </c>
      <c r="I722" t="s">
        <v>18</v>
      </c>
      <c r="J722">
        <v>9</v>
      </c>
      <c r="K722">
        <v>1</v>
      </c>
      <c r="L722">
        <v>7</v>
      </c>
      <c r="M722">
        <v>0</v>
      </c>
    </row>
    <row r="723" spans="1:13" x14ac:dyDescent="0.25">
      <c r="A723">
        <v>18</v>
      </c>
      <c r="B723" t="s">
        <v>19</v>
      </c>
      <c r="C723">
        <v>3.8</v>
      </c>
      <c r="D723" t="s">
        <v>23</v>
      </c>
      <c r="E723">
        <v>5.3</v>
      </c>
      <c r="F723">
        <v>2.2999999999999998</v>
      </c>
      <c r="G723">
        <v>3.42</v>
      </c>
      <c r="H723">
        <v>0.4</v>
      </c>
      <c r="I723" t="s">
        <v>18</v>
      </c>
      <c r="J723">
        <v>4</v>
      </c>
      <c r="K723">
        <v>8</v>
      </c>
      <c r="L723">
        <v>2</v>
      </c>
      <c r="M723">
        <v>0</v>
      </c>
    </row>
    <row r="724" spans="1:13" x14ac:dyDescent="0.25">
      <c r="A724">
        <v>14</v>
      </c>
      <c r="B724" t="s">
        <v>19</v>
      </c>
      <c r="C724">
        <v>4.0999999999999996</v>
      </c>
      <c r="D724" t="s">
        <v>20</v>
      </c>
      <c r="E724">
        <v>5.4</v>
      </c>
      <c r="F724">
        <v>2.4</v>
      </c>
      <c r="G724">
        <v>2.71</v>
      </c>
      <c r="H724">
        <v>1.3</v>
      </c>
      <c r="I724" t="s">
        <v>18</v>
      </c>
      <c r="J724">
        <v>9</v>
      </c>
      <c r="K724">
        <v>5</v>
      </c>
      <c r="L724">
        <v>10</v>
      </c>
      <c r="M724">
        <v>0</v>
      </c>
    </row>
    <row r="725" spans="1:13" x14ac:dyDescent="0.25">
      <c r="A725">
        <v>13</v>
      </c>
      <c r="B725" t="s">
        <v>19</v>
      </c>
      <c r="C725">
        <v>2.2999999999999998</v>
      </c>
      <c r="D725" t="s">
        <v>20</v>
      </c>
      <c r="E725">
        <v>6.6</v>
      </c>
      <c r="F725">
        <v>1.4</v>
      </c>
      <c r="G725">
        <v>3.74</v>
      </c>
      <c r="H725">
        <v>1.5</v>
      </c>
      <c r="I725" t="s">
        <v>22</v>
      </c>
      <c r="J725">
        <v>6</v>
      </c>
      <c r="K725">
        <v>10</v>
      </c>
      <c r="L725">
        <v>1</v>
      </c>
      <c r="M725">
        <v>0</v>
      </c>
    </row>
    <row r="726" spans="1:13" x14ac:dyDescent="0.25">
      <c r="A726">
        <v>15</v>
      </c>
      <c r="B726" t="s">
        <v>16</v>
      </c>
      <c r="C726">
        <v>8</v>
      </c>
      <c r="D726" t="s">
        <v>17</v>
      </c>
      <c r="E726">
        <v>4.7</v>
      </c>
      <c r="F726">
        <v>0.6</v>
      </c>
      <c r="G726">
        <v>3.01</v>
      </c>
      <c r="H726">
        <v>1.8</v>
      </c>
      <c r="I726" t="s">
        <v>22</v>
      </c>
      <c r="J726">
        <v>2</v>
      </c>
      <c r="K726">
        <v>9</v>
      </c>
      <c r="L726">
        <v>10</v>
      </c>
      <c r="M726">
        <v>0</v>
      </c>
    </row>
    <row r="727" spans="1:13" x14ac:dyDescent="0.25">
      <c r="A727">
        <v>15</v>
      </c>
      <c r="B727" t="s">
        <v>19</v>
      </c>
      <c r="C727">
        <v>2.9</v>
      </c>
      <c r="D727" t="s">
        <v>20</v>
      </c>
      <c r="E727">
        <v>6.4</v>
      </c>
      <c r="F727">
        <v>0.7</v>
      </c>
      <c r="G727">
        <v>3.41</v>
      </c>
      <c r="H727">
        <v>1.6</v>
      </c>
      <c r="I727" t="s">
        <v>18</v>
      </c>
      <c r="J727">
        <v>3</v>
      </c>
      <c r="K727">
        <v>10</v>
      </c>
      <c r="L727">
        <v>7</v>
      </c>
      <c r="M727">
        <v>0</v>
      </c>
    </row>
    <row r="728" spans="1:13" x14ac:dyDescent="0.25">
      <c r="A728">
        <v>19</v>
      </c>
      <c r="B728" t="s">
        <v>19</v>
      </c>
      <c r="C728">
        <v>4.4000000000000004</v>
      </c>
      <c r="D728" t="s">
        <v>23</v>
      </c>
      <c r="E728">
        <v>5</v>
      </c>
      <c r="F728">
        <v>2.8</v>
      </c>
      <c r="G728">
        <v>2.69</v>
      </c>
      <c r="H728">
        <v>0.4</v>
      </c>
      <c r="I728" t="s">
        <v>21</v>
      </c>
      <c r="J728">
        <v>3</v>
      </c>
      <c r="K728">
        <v>8</v>
      </c>
      <c r="L728">
        <v>8</v>
      </c>
      <c r="M728">
        <v>0</v>
      </c>
    </row>
    <row r="729" spans="1:13" x14ac:dyDescent="0.25">
      <c r="A729">
        <v>18</v>
      </c>
      <c r="B729" t="s">
        <v>19</v>
      </c>
      <c r="C729">
        <v>3.1</v>
      </c>
      <c r="D729" t="s">
        <v>23</v>
      </c>
      <c r="E729">
        <v>6.8</v>
      </c>
      <c r="F729">
        <v>2</v>
      </c>
      <c r="G729">
        <v>3.77</v>
      </c>
      <c r="H729">
        <v>1.4</v>
      </c>
      <c r="I729" t="s">
        <v>18</v>
      </c>
      <c r="J729">
        <v>1</v>
      </c>
      <c r="K729">
        <v>3</v>
      </c>
      <c r="L729">
        <v>4</v>
      </c>
      <c r="M729">
        <v>0</v>
      </c>
    </row>
    <row r="730" spans="1:13" x14ac:dyDescent="0.25">
      <c r="A730">
        <v>18</v>
      </c>
      <c r="B730" t="s">
        <v>16</v>
      </c>
      <c r="C730">
        <v>7.9</v>
      </c>
      <c r="D730" t="s">
        <v>20</v>
      </c>
      <c r="E730">
        <v>7.5</v>
      </c>
      <c r="F730">
        <v>2</v>
      </c>
      <c r="G730">
        <v>2.77</v>
      </c>
      <c r="H730">
        <v>0.9</v>
      </c>
      <c r="I730" t="s">
        <v>18</v>
      </c>
      <c r="J730">
        <v>10</v>
      </c>
      <c r="K730">
        <v>4</v>
      </c>
      <c r="L730">
        <v>4</v>
      </c>
      <c r="M730">
        <v>0</v>
      </c>
    </row>
    <row r="731" spans="1:13" x14ac:dyDescent="0.25">
      <c r="A731">
        <v>14</v>
      </c>
      <c r="B731" t="s">
        <v>19</v>
      </c>
      <c r="C731">
        <v>1.2</v>
      </c>
      <c r="D731" t="s">
        <v>23</v>
      </c>
      <c r="E731">
        <v>7</v>
      </c>
      <c r="F731">
        <v>2.2000000000000002</v>
      </c>
      <c r="G731">
        <v>3.83</v>
      </c>
      <c r="H731">
        <v>0.8</v>
      </c>
      <c r="I731" t="s">
        <v>18</v>
      </c>
      <c r="J731">
        <v>6</v>
      </c>
      <c r="K731">
        <v>10</v>
      </c>
      <c r="L731">
        <v>5</v>
      </c>
      <c r="M731">
        <v>0</v>
      </c>
    </row>
    <row r="732" spans="1:13" x14ac:dyDescent="0.25">
      <c r="A732">
        <v>19</v>
      </c>
      <c r="B732" t="s">
        <v>19</v>
      </c>
      <c r="C732">
        <v>4</v>
      </c>
      <c r="D732" t="s">
        <v>23</v>
      </c>
      <c r="E732">
        <v>7.4</v>
      </c>
      <c r="F732">
        <v>2.7</v>
      </c>
      <c r="G732">
        <v>3.41</v>
      </c>
      <c r="H732">
        <v>1.4</v>
      </c>
      <c r="I732" t="s">
        <v>22</v>
      </c>
      <c r="J732">
        <v>9</v>
      </c>
      <c r="K732">
        <v>4</v>
      </c>
      <c r="L732">
        <v>7</v>
      </c>
      <c r="M732">
        <v>0</v>
      </c>
    </row>
    <row r="733" spans="1:13" x14ac:dyDescent="0.25">
      <c r="A733">
        <v>18</v>
      </c>
      <c r="B733" t="s">
        <v>16</v>
      </c>
      <c r="C733">
        <v>1</v>
      </c>
      <c r="D733" t="s">
        <v>17</v>
      </c>
      <c r="E733">
        <v>7.1</v>
      </c>
      <c r="F733">
        <v>0.8</v>
      </c>
      <c r="G733">
        <v>2.4700000000000002</v>
      </c>
      <c r="H733">
        <v>1.9</v>
      </c>
      <c r="I733" t="s">
        <v>21</v>
      </c>
      <c r="J733">
        <v>4</v>
      </c>
      <c r="K733">
        <v>2</v>
      </c>
      <c r="L733">
        <v>4</v>
      </c>
      <c r="M733">
        <v>0</v>
      </c>
    </row>
    <row r="734" spans="1:13" x14ac:dyDescent="0.25">
      <c r="A734">
        <v>19</v>
      </c>
      <c r="B734" t="s">
        <v>19</v>
      </c>
      <c r="C734">
        <v>7.9</v>
      </c>
      <c r="D734" t="s">
        <v>17</v>
      </c>
      <c r="E734">
        <v>5.7</v>
      </c>
      <c r="F734">
        <v>2.4</v>
      </c>
      <c r="G734">
        <v>3.59</v>
      </c>
      <c r="H734">
        <v>1.9</v>
      </c>
      <c r="I734" t="s">
        <v>21</v>
      </c>
      <c r="J734">
        <v>1</v>
      </c>
      <c r="K734">
        <v>9</v>
      </c>
      <c r="L734">
        <v>9</v>
      </c>
      <c r="M734">
        <v>0</v>
      </c>
    </row>
    <row r="735" spans="1:13" x14ac:dyDescent="0.25">
      <c r="A735">
        <v>14</v>
      </c>
      <c r="B735" t="s">
        <v>16</v>
      </c>
      <c r="C735">
        <v>6.2</v>
      </c>
      <c r="D735" t="s">
        <v>20</v>
      </c>
      <c r="E735">
        <v>4.4000000000000004</v>
      </c>
      <c r="F735">
        <v>0.7</v>
      </c>
      <c r="G735">
        <v>3.45</v>
      </c>
      <c r="H735">
        <v>0.5</v>
      </c>
      <c r="I735" t="s">
        <v>22</v>
      </c>
      <c r="J735">
        <v>9</v>
      </c>
      <c r="K735">
        <v>10</v>
      </c>
      <c r="L735">
        <v>3</v>
      </c>
      <c r="M735">
        <v>1</v>
      </c>
    </row>
    <row r="736" spans="1:13" x14ac:dyDescent="0.25">
      <c r="A736">
        <v>16</v>
      </c>
      <c r="B736" t="s">
        <v>19</v>
      </c>
      <c r="C736">
        <v>2.5</v>
      </c>
      <c r="D736" t="s">
        <v>17</v>
      </c>
      <c r="E736">
        <v>5.4</v>
      </c>
      <c r="F736">
        <v>2.2999999999999998</v>
      </c>
      <c r="G736">
        <v>3.43</v>
      </c>
      <c r="H736">
        <v>0.5</v>
      </c>
      <c r="I736" t="s">
        <v>21</v>
      </c>
      <c r="J736">
        <v>9</v>
      </c>
      <c r="K736">
        <v>1</v>
      </c>
      <c r="L736">
        <v>2</v>
      </c>
      <c r="M736">
        <v>0</v>
      </c>
    </row>
    <row r="737" spans="1:13" x14ac:dyDescent="0.25">
      <c r="A737">
        <v>16</v>
      </c>
      <c r="B737" t="s">
        <v>16</v>
      </c>
      <c r="C737">
        <v>4.7</v>
      </c>
      <c r="D737" t="s">
        <v>23</v>
      </c>
      <c r="E737">
        <v>8.1999999999999993</v>
      </c>
      <c r="F737">
        <v>2.6</v>
      </c>
      <c r="G737">
        <v>3.05</v>
      </c>
      <c r="H737">
        <v>1</v>
      </c>
      <c r="I737" t="s">
        <v>22</v>
      </c>
      <c r="J737">
        <v>4</v>
      </c>
      <c r="K737">
        <v>7</v>
      </c>
      <c r="L737">
        <v>2</v>
      </c>
      <c r="M737">
        <v>0</v>
      </c>
    </row>
    <row r="738" spans="1:13" x14ac:dyDescent="0.25">
      <c r="A738">
        <v>16</v>
      </c>
      <c r="B738" t="s">
        <v>16</v>
      </c>
      <c r="C738">
        <v>6.3</v>
      </c>
      <c r="D738" t="s">
        <v>17</v>
      </c>
      <c r="E738">
        <v>6.5</v>
      </c>
      <c r="F738">
        <v>1</v>
      </c>
      <c r="G738">
        <v>2.52</v>
      </c>
      <c r="H738">
        <v>0.4</v>
      </c>
      <c r="I738" t="s">
        <v>18</v>
      </c>
      <c r="J738">
        <v>1</v>
      </c>
      <c r="K738">
        <v>10</v>
      </c>
      <c r="L738">
        <v>6</v>
      </c>
      <c r="M738">
        <v>0</v>
      </c>
    </row>
    <row r="739" spans="1:13" x14ac:dyDescent="0.25">
      <c r="A739">
        <v>17</v>
      </c>
      <c r="B739" t="s">
        <v>19</v>
      </c>
      <c r="C739">
        <v>7.5</v>
      </c>
      <c r="D739" t="s">
        <v>20</v>
      </c>
      <c r="E739">
        <v>5.4</v>
      </c>
      <c r="F739">
        <v>2.2999999999999998</v>
      </c>
      <c r="G739">
        <v>3.44</v>
      </c>
      <c r="H739">
        <v>0.4</v>
      </c>
      <c r="I739" t="s">
        <v>22</v>
      </c>
      <c r="J739">
        <v>7</v>
      </c>
      <c r="K739">
        <v>9</v>
      </c>
      <c r="L739">
        <v>7</v>
      </c>
      <c r="M739">
        <v>1</v>
      </c>
    </row>
    <row r="740" spans="1:13" x14ac:dyDescent="0.25">
      <c r="A740">
        <v>18</v>
      </c>
      <c r="B740" t="s">
        <v>16</v>
      </c>
      <c r="C740">
        <v>2</v>
      </c>
      <c r="D740" t="s">
        <v>20</v>
      </c>
      <c r="E740">
        <v>8.4</v>
      </c>
      <c r="F740">
        <v>1.5</v>
      </c>
      <c r="G740">
        <v>2.83</v>
      </c>
      <c r="H740">
        <v>1.2</v>
      </c>
      <c r="I740" t="s">
        <v>18</v>
      </c>
      <c r="J740">
        <v>9</v>
      </c>
      <c r="K740">
        <v>4</v>
      </c>
      <c r="L740">
        <v>5</v>
      </c>
      <c r="M740">
        <v>0</v>
      </c>
    </row>
    <row r="741" spans="1:13" x14ac:dyDescent="0.25">
      <c r="A741">
        <v>13</v>
      </c>
      <c r="B741" t="s">
        <v>19</v>
      </c>
      <c r="C741">
        <v>6.3</v>
      </c>
      <c r="D741" t="s">
        <v>17</v>
      </c>
      <c r="E741">
        <v>8.4</v>
      </c>
      <c r="F741">
        <v>1.6</v>
      </c>
      <c r="G741">
        <v>2.0299999999999998</v>
      </c>
      <c r="H741">
        <v>1.5</v>
      </c>
      <c r="I741" t="s">
        <v>22</v>
      </c>
      <c r="J741">
        <v>5</v>
      </c>
      <c r="K741">
        <v>3</v>
      </c>
      <c r="L741">
        <v>9</v>
      </c>
      <c r="M741">
        <v>0</v>
      </c>
    </row>
    <row r="742" spans="1:13" x14ac:dyDescent="0.25">
      <c r="A742">
        <v>16</v>
      </c>
      <c r="B742" t="s">
        <v>16</v>
      </c>
      <c r="C742">
        <v>6.6</v>
      </c>
      <c r="D742" t="s">
        <v>23</v>
      </c>
      <c r="E742">
        <v>8.9</v>
      </c>
      <c r="F742">
        <v>2</v>
      </c>
      <c r="G742">
        <v>3.44</v>
      </c>
      <c r="H742">
        <v>1.7</v>
      </c>
      <c r="I742" t="s">
        <v>18</v>
      </c>
      <c r="J742">
        <v>10</v>
      </c>
      <c r="K742">
        <v>9</v>
      </c>
      <c r="L742">
        <v>3</v>
      </c>
      <c r="M742">
        <v>0</v>
      </c>
    </row>
    <row r="743" spans="1:13" x14ac:dyDescent="0.25">
      <c r="A743">
        <v>19</v>
      </c>
      <c r="B743" t="s">
        <v>19</v>
      </c>
      <c r="C743">
        <v>3.6</v>
      </c>
      <c r="D743" t="s">
        <v>23</v>
      </c>
      <c r="E743">
        <v>5.6</v>
      </c>
      <c r="F743">
        <v>1.7</v>
      </c>
      <c r="G743">
        <v>3.57</v>
      </c>
      <c r="H743">
        <v>1.5</v>
      </c>
      <c r="I743" t="s">
        <v>18</v>
      </c>
      <c r="J743">
        <v>10</v>
      </c>
      <c r="K743">
        <v>4</v>
      </c>
      <c r="L743">
        <v>3</v>
      </c>
      <c r="M743">
        <v>0</v>
      </c>
    </row>
    <row r="744" spans="1:13" x14ac:dyDescent="0.25">
      <c r="A744">
        <v>16</v>
      </c>
      <c r="B744" t="s">
        <v>19</v>
      </c>
      <c r="C744">
        <v>3.2</v>
      </c>
      <c r="D744" t="s">
        <v>23</v>
      </c>
      <c r="E744">
        <v>4.5999999999999996</v>
      </c>
      <c r="F744">
        <v>2.5</v>
      </c>
      <c r="G744">
        <v>2.62</v>
      </c>
      <c r="H744">
        <v>1.8</v>
      </c>
      <c r="I744" t="s">
        <v>18</v>
      </c>
      <c r="J744">
        <v>9</v>
      </c>
      <c r="K744">
        <v>5</v>
      </c>
      <c r="L744">
        <v>1</v>
      </c>
      <c r="M744">
        <v>0</v>
      </c>
    </row>
    <row r="745" spans="1:13" x14ac:dyDescent="0.25">
      <c r="A745">
        <v>13</v>
      </c>
      <c r="B745" t="s">
        <v>19</v>
      </c>
      <c r="C745">
        <v>3.1</v>
      </c>
      <c r="D745" t="s">
        <v>17</v>
      </c>
      <c r="E745">
        <v>6.4</v>
      </c>
      <c r="F745">
        <v>1.6</v>
      </c>
      <c r="G745">
        <v>3.69</v>
      </c>
      <c r="H745">
        <v>0.9</v>
      </c>
      <c r="I745" t="s">
        <v>22</v>
      </c>
      <c r="J745">
        <v>1</v>
      </c>
      <c r="K745">
        <v>2</v>
      </c>
      <c r="L745">
        <v>1</v>
      </c>
      <c r="M745">
        <v>0</v>
      </c>
    </row>
    <row r="746" spans="1:13" x14ac:dyDescent="0.25">
      <c r="A746">
        <v>18</v>
      </c>
      <c r="B746" t="s">
        <v>16</v>
      </c>
      <c r="C746">
        <v>6.7</v>
      </c>
      <c r="D746" t="s">
        <v>17</v>
      </c>
      <c r="E746">
        <v>8.8000000000000007</v>
      </c>
      <c r="F746">
        <v>1.9</v>
      </c>
      <c r="G746">
        <v>2.5499999999999998</v>
      </c>
      <c r="H746">
        <v>1</v>
      </c>
      <c r="I746" t="s">
        <v>18</v>
      </c>
      <c r="J746">
        <v>5</v>
      </c>
      <c r="K746">
        <v>8</v>
      </c>
      <c r="L746">
        <v>3</v>
      </c>
      <c r="M746">
        <v>0</v>
      </c>
    </row>
    <row r="747" spans="1:13" x14ac:dyDescent="0.25">
      <c r="A747">
        <v>17</v>
      </c>
      <c r="B747" t="s">
        <v>16</v>
      </c>
      <c r="C747">
        <v>6.6</v>
      </c>
      <c r="D747" t="s">
        <v>20</v>
      </c>
      <c r="E747">
        <v>8.1999999999999993</v>
      </c>
      <c r="F747">
        <v>0.7</v>
      </c>
      <c r="G747">
        <v>2.88</v>
      </c>
      <c r="H747">
        <v>0.8</v>
      </c>
      <c r="I747" t="s">
        <v>18</v>
      </c>
      <c r="J747">
        <v>1</v>
      </c>
      <c r="K747">
        <v>7</v>
      </c>
      <c r="L747">
        <v>7</v>
      </c>
      <c r="M747">
        <v>0</v>
      </c>
    </row>
    <row r="748" spans="1:13" x14ac:dyDescent="0.25">
      <c r="A748">
        <v>14</v>
      </c>
      <c r="B748" t="s">
        <v>19</v>
      </c>
      <c r="C748">
        <v>7</v>
      </c>
      <c r="D748" t="s">
        <v>17</v>
      </c>
      <c r="E748">
        <v>4.5</v>
      </c>
      <c r="F748">
        <v>1.6</v>
      </c>
      <c r="G748">
        <v>2.83</v>
      </c>
      <c r="H748">
        <v>0.4</v>
      </c>
      <c r="I748" t="s">
        <v>22</v>
      </c>
      <c r="J748">
        <v>8</v>
      </c>
      <c r="K748">
        <v>1</v>
      </c>
      <c r="L748">
        <v>7</v>
      </c>
      <c r="M748">
        <v>0</v>
      </c>
    </row>
    <row r="749" spans="1:13" x14ac:dyDescent="0.25">
      <c r="A749">
        <v>16</v>
      </c>
      <c r="B749" t="s">
        <v>19</v>
      </c>
      <c r="C749">
        <v>4.8</v>
      </c>
      <c r="D749" t="s">
        <v>23</v>
      </c>
      <c r="E749">
        <v>5.0999999999999996</v>
      </c>
      <c r="F749">
        <v>2.1</v>
      </c>
      <c r="G749">
        <v>2.4900000000000002</v>
      </c>
      <c r="H749">
        <v>1.6</v>
      </c>
      <c r="I749" t="s">
        <v>18</v>
      </c>
      <c r="J749">
        <v>4</v>
      </c>
      <c r="K749">
        <v>9</v>
      </c>
      <c r="L749">
        <v>1</v>
      </c>
      <c r="M749">
        <v>0</v>
      </c>
    </row>
    <row r="750" spans="1:13" x14ac:dyDescent="0.25">
      <c r="A750">
        <v>13</v>
      </c>
      <c r="B750" t="s">
        <v>19</v>
      </c>
      <c r="C750">
        <v>5.8</v>
      </c>
      <c r="D750" t="s">
        <v>17</v>
      </c>
      <c r="E750">
        <v>6.3</v>
      </c>
      <c r="F750">
        <v>1.1000000000000001</v>
      </c>
      <c r="G750">
        <v>3.09</v>
      </c>
      <c r="H750">
        <v>0.9</v>
      </c>
      <c r="I750" t="s">
        <v>22</v>
      </c>
      <c r="J750">
        <v>8</v>
      </c>
      <c r="K750">
        <v>4</v>
      </c>
      <c r="L750">
        <v>9</v>
      </c>
      <c r="M750">
        <v>0</v>
      </c>
    </row>
    <row r="751" spans="1:13" x14ac:dyDescent="0.25">
      <c r="A751">
        <v>19</v>
      </c>
      <c r="B751" t="s">
        <v>19</v>
      </c>
      <c r="C751">
        <v>6</v>
      </c>
      <c r="D751" t="s">
        <v>23</v>
      </c>
      <c r="E751">
        <v>6.3</v>
      </c>
      <c r="F751">
        <v>2.8</v>
      </c>
      <c r="G751">
        <v>3.98</v>
      </c>
      <c r="H751">
        <v>2</v>
      </c>
      <c r="I751" t="s">
        <v>22</v>
      </c>
      <c r="J751">
        <v>2</v>
      </c>
      <c r="K751">
        <v>6</v>
      </c>
      <c r="L751">
        <v>2</v>
      </c>
      <c r="M751">
        <v>0</v>
      </c>
    </row>
    <row r="752" spans="1:13" x14ac:dyDescent="0.25">
      <c r="A752">
        <v>15</v>
      </c>
      <c r="B752" t="s">
        <v>16</v>
      </c>
      <c r="C752">
        <v>4</v>
      </c>
      <c r="D752" t="s">
        <v>23</v>
      </c>
      <c r="E752">
        <v>5.2</v>
      </c>
      <c r="F752">
        <v>1.8</v>
      </c>
      <c r="G752">
        <v>3.3</v>
      </c>
      <c r="H752">
        <v>0.7</v>
      </c>
      <c r="I752" t="s">
        <v>22</v>
      </c>
      <c r="J752">
        <v>10</v>
      </c>
      <c r="K752">
        <v>5</v>
      </c>
      <c r="L752">
        <v>1</v>
      </c>
      <c r="M752">
        <v>0</v>
      </c>
    </row>
    <row r="753" spans="1:13" x14ac:dyDescent="0.25">
      <c r="A753">
        <v>14</v>
      </c>
      <c r="B753" t="s">
        <v>19</v>
      </c>
      <c r="C753">
        <v>5.8</v>
      </c>
      <c r="D753" t="s">
        <v>23</v>
      </c>
      <c r="E753">
        <v>4.8</v>
      </c>
      <c r="F753">
        <v>2.6</v>
      </c>
      <c r="G753">
        <v>2.08</v>
      </c>
      <c r="H753">
        <v>0.8</v>
      </c>
      <c r="I753" t="s">
        <v>22</v>
      </c>
      <c r="J753">
        <v>6</v>
      </c>
      <c r="K753">
        <v>4</v>
      </c>
      <c r="L753">
        <v>9</v>
      </c>
      <c r="M753">
        <v>0</v>
      </c>
    </row>
    <row r="754" spans="1:13" x14ac:dyDescent="0.25">
      <c r="A754">
        <v>19</v>
      </c>
      <c r="B754" t="s">
        <v>16</v>
      </c>
      <c r="C754">
        <v>5.2</v>
      </c>
      <c r="D754" t="s">
        <v>17</v>
      </c>
      <c r="E754">
        <v>7.6</v>
      </c>
      <c r="F754">
        <v>1.3</v>
      </c>
      <c r="G754">
        <v>3.89</v>
      </c>
      <c r="H754">
        <v>1.5</v>
      </c>
      <c r="I754" t="s">
        <v>21</v>
      </c>
      <c r="J754">
        <v>4</v>
      </c>
      <c r="K754">
        <v>5</v>
      </c>
      <c r="L754">
        <v>8</v>
      </c>
      <c r="M754">
        <v>0</v>
      </c>
    </row>
    <row r="755" spans="1:13" x14ac:dyDescent="0.25">
      <c r="A755">
        <v>17</v>
      </c>
      <c r="B755" t="s">
        <v>16</v>
      </c>
      <c r="C755">
        <v>2.9</v>
      </c>
      <c r="D755" t="s">
        <v>23</v>
      </c>
      <c r="E755">
        <v>6.7</v>
      </c>
      <c r="F755">
        <v>1.5</v>
      </c>
      <c r="G755">
        <v>3.62</v>
      </c>
      <c r="H755">
        <v>0.8</v>
      </c>
      <c r="I755" t="s">
        <v>22</v>
      </c>
      <c r="J755">
        <v>10</v>
      </c>
      <c r="K755">
        <v>6</v>
      </c>
      <c r="L755">
        <v>4</v>
      </c>
      <c r="M755">
        <v>0</v>
      </c>
    </row>
    <row r="756" spans="1:13" x14ac:dyDescent="0.25">
      <c r="A756">
        <v>18</v>
      </c>
      <c r="B756" t="s">
        <v>19</v>
      </c>
      <c r="C756">
        <v>7.5</v>
      </c>
      <c r="D756" t="s">
        <v>20</v>
      </c>
      <c r="E756">
        <v>7.5</v>
      </c>
      <c r="F756">
        <v>1.4</v>
      </c>
      <c r="G756">
        <v>3.14</v>
      </c>
      <c r="H756">
        <v>2</v>
      </c>
      <c r="I756" t="s">
        <v>18</v>
      </c>
      <c r="J756">
        <v>2</v>
      </c>
      <c r="K756">
        <v>9</v>
      </c>
      <c r="L756">
        <v>2</v>
      </c>
      <c r="M756">
        <v>0</v>
      </c>
    </row>
    <row r="757" spans="1:13" x14ac:dyDescent="0.25">
      <c r="A757">
        <v>13</v>
      </c>
      <c r="B757" t="s">
        <v>19</v>
      </c>
      <c r="C757">
        <v>5.8</v>
      </c>
      <c r="D757" t="s">
        <v>17</v>
      </c>
      <c r="E757">
        <v>6.1</v>
      </c>
      <c r="F757">
        <v>1.2</v>
      </c>
      <c r="G757">
        <v>3.81</v>
      </c>
      <c r="H757">
        <v>1.8</v>
      </c>
      <c r="I757" t="s">
        <v>22</v>
      </c>
      <c r="J757">
        <v>6</v>
      </c>
      <c r="K757">
        <v>10</v>
      </c>
      <c r="L757">
        <v>6</v>
      </c>
      <c r="M757">
        <v>0</v>
      </c>
    </row>
    <row r="758" spans="1:13" x14ac:dyDescent="0.25">
      <c r="A758">
        <v>14</v>
      </c>
      <c r="B758" t="s">
        <v>16</v>
      </c>
      <c r="C758">
        <v>7.6</v>
      </c>
      <c r="D758" t="s">
        <v>17</v>
      </c>
      <c r="E758">
        <v>5.8</v>
      </c>
      <c r="F758">
        <v>1.9</v>
      </c>
      <c r="G758">
        <v>3.49</v>
      </c>
      <c r="H758">
        <v>1.7</v>
      </c>
      <c r="I758" t="s">
        <v>21</v>
      </c>
      <c r="J758">
        <v>10</v>
      </c>
      <c r="K758">
        <v>1</v>
      </c>
      <c r="L758">
        <v>3</v>
      </c>
      <c r="M758">
        <v>0</v>
      </c>
    </row>
    <row r="759" spans="1:13" x14ac:dyDescent="0.25">
      <c r="A759">
        <v>15</v>
      </c>
      <c r="B759" t="s">
        <v>19</v>
      </c>
      <c r="C759">
        <v>1.3</v>
      </c>
      <c r="D759" t="s">
        <v>20</v>
      </c>
      <c r="E759">
        <v>7.6</v>
      </c>
      <c r="F759">
        <v>0.6</v>
      </c>
      <c r="G759">
        <v>3.46</v>
      </c>
      <c r="H759">
        <v>1.9</v>
      </c>
      <c r="I759" t="s">
        <v>18</v>
      </c>
      <c r="J759">
        <v>1</v>
      </c>
      <c r="K759">
        <v>1</v>
      </c>
      <c r="L759">
        <v>4</v>
      </c>
      <c r="M759">
        <v>0</v>
      </c>
    </row>
    <row r="760" spans="1:13" x14ac:dyDescent="0.25">
      <c r="A760">
        <v>15</v>
      </c>
      <c r="B760" t="s">
        <v>16</v>
      </c>
      <c r="C760">
        <v>3.7</v>
      </c>
      <c r="D760" t="s">
        <v>23</v>
      </c>
      <c r="E760">
        <v>5.7</v>
      </c>
      <c r="F760">
        <v>1.3</v>
      </c>
      <c r="G760">
        <v>3.24</v>
      </c>
      <c r="H760">
        <v>0.2</v>
      </c>
      <c r="I760" t="s">
        <v>18</v>
      </c>
      <c r="J760">
        <v>4</v>
      </c>
      <c r="K760">
        <v>9</v>
      </c>
      <c r="L760">
        <v>10</v>
      </c>
      <c r="M760">
        <v>0</v>
      </c>
    </row>
    <row r="761" spans="1:13" x14ac:dyDescent="0.25">
      <c r="A761">
        <v>18</v>
      </c>
      <c r="B761" t="s">
        <v>16</v>
      </c>
      <c r="C761">
        <v>3.6</v>
      </c>
      <c r="D761" t="s">
        <v>17</v>
      </c>
      <c r="E761">
        <v>4.7</v>
      </c>
      <c r="F761">
        <v>2.5</v>
      </c>
      <c r="G761">
        <v>2.73</v>
      </c>
      <c r="H761">
        <v>1.2</v>
      </c>
      <c r="I761" t="s">
        <v>22</v>
      </c>
      <c r="J761">
        <v>9</v>
      </c>
      <c r="K761">
        <v>7</v>
      </c>
      <c r="L761">
        <v>6</v>
      </c>
      <c r="M761">
        <v>0</v>
      </c>
    </row>
    <row r="762" spans="1:13" x14ac:dyDescent="0.25">
      <c r="A762">
        <v>15</v>
      </c>
      <c r="B762" t="s">
        <v>16</v>
      </c>
      <c r="C762">
        <v>6.4</v>
      </c>
      <c r="D762" t="s">
        <v>20</v>
      </c>
      <c r="E762">
        <v>6.9</v>
      </c>
      <c r="F762">
        <v>2.9</v>
      </c>
      <c r="G762">
        <v>2.48</v>
      </c>
      <c r="H762">
        <v>0.9</v>
      </c>
      <c r="I762" t="s">
        <v>18</v>
      </c>
      <c r="J762">
        <v>8</v>
      </c>
      <c r="K762">
        <v>4</v>
      </c>
      <c r="L762">
        <v>8</v>
      </c>
      <c r="M762">
        <v>0</v>
      </c>
    </row>
    <row r="763" spans="1:13" x14ac:dyDescent="0.25">
      <c r="A763">
        <v>13</v>
      </c>
      <c r="B763" t="s">
        <v>16</v>
      </c>
      <c r="C763">
        <v>6</v>
      </c>
      <c r="D763" t="s">
        <v>20</v>
      </c>
      <c r="E763">
        <v>4.8</v>
      </c>
      <c r="F763">
        <v>2.6</v>
      </c>
      <c r="G763">
        <v>2.74</v>
      </c>
      <c r="H763">
        <v>1.6</v>
      </c>
      <c r="I763" t="s">
        <v>21</v>
      </c>
      <c r="J763">
        <v>6</v>
      </c>
      <c r="K763">
        <v>10</v>
      </c>
      <c r="L763">
        <v>8</v>
      </c>
      <c r="M763">
        <v>0</v>
      </c>
    </row>
    <row r="764" spans="1:13" x14ac:dyDescent="0.25">
      <c r="A764">
        <v>14</v>
      </c>
      <c r="B764" t="s">
        <v>19</v>
      </c>
      <c r="C764">
        <v>1.3</v>
      </c>
      <c r="D764" t="s">
        <v>20</v>
      </c>
      <c r="E764">
        <v>7.7</v>
      </c>
      <c r="F764">
        <v>1.9</v>
      </c>
      <c r="G764">
        <v>2.27</v>
      </c>
      <c r="H764">
        <v>1.5</v>
      </c>
      <c r="I764" t="s">
        <v>18</v>
      </c>
      <c r="J764">
        <v>7</v>
      </c>
      <c r="K764">
        <v>2</v>
      </c>
      <c r="L764">
        <v>2</v>
      </c>
      <c r="M764">
        <v>0</v>
      </c>
    </row>
    <row r="765" spans="1:13" x14ac:dyDescent="0.25">
      <c r="A765">
        <v>18</v>
      </c>
      <c r="B765" t="s">
        <v>16</v>
      </c>
      <c r="C765">
        <v>3.7</v>
      </c>
      <c r="D765" t="s">
        <v>17</v>
      </c>
      <c r="E765">
        <v>7</v>
      </c>
      <c r="F765">
        <v>1.4</v>
      </c>
      <c r="G765">
        <v>2.0499999999999998</v>
      </c>
      <c r="H765">
        <v>0.4</v>
      </c>
      <c r="I765" t="s">
        <v>22</v>
      </c>
      <c r="J765">
        <v>10</v>
      </c>
      <c r="K765">
        <v>9</v>
      </c>
      <c r="L765">
        <v>5</v>
      </c>
      <c r="M765">
        <v>0</v>
      </c>
    </row>
    <row r="766" spans="1:13" x14ac:dyDescent="0.25">
      <c r="A766">
        <v>18</v>
      </c>
      <c r="B766" t="s">
        <v>19</v>
      </c>
      <c r="C766">
        <v>8</v>
      </c>
      <c r="D766" t="s">
        <v>20</v>
      </c>
      <c r="E766">
        <v>4.3</v>
      </c>
      <c r="F766">
        <v>0.8</v>
      </c>
      <c r="G766">
        <v>3.44</v>
      </c>
      <c r="H766">
        <v>0.8</v>
      </c>
      <c r="I766" t="s">
        <v>22</v>
      </c>
      <c r="J766">
        <v>3</v>
      </c>
      <c r="K766">
        <v>4</v>
      </c>
      <c r="L766">
        <v>4</v>
      </c>
      <c r="M766">
        <v>0</v>
      </c>
    </row>
    <row r="767" spans="1:13" x14ac:dyDescent="0.25">
      <c r="A767">
        <v>19</v>
      </c>
      <c r="B767" t="s">
        <v>19</v>
      </c>
      <c r="C767">
        <v>4.0999999999999996</v>
      </c>
      <c r="D767" t="s">
        <v>23</v>
      </c>
      <c r="E767">
        <v>7.5</v>
      </c>
      <c r="F767">
        <v>2.7</v>
      </c>
      <c r="G767">
        <v>2.66</v>
      </c>
      <c r="H767">
        <v>1.6</v>
      </c>
      <c r="I767" t="s">
        <v>21</v>
      </c>
      <c r="J767">
        <v>5</v>
      </c>
      <c r="K767">
        <v>10</v>
      </c>
      <c r="L767">
        <v>5</v>
      </c>
      <c r="M767">
        <v>0</v>
      </c>
    </row>
    <row r="768" spans="1:13" x14ac:dyDescent="0.25">
      <c r="A768">
        <v>13</v>
      </c>
      <c r="B768" t="s">
        <v>16</v>
      </c>
      <c r="C768">
        <v>3.9</v>
      </c>
      <c r="D768" t="s">
        <v>23</v>
      </c>
      <c r="E768">
        <v>8.6999999999999993</v>
      </c>
      <c r="F768">
        <v>1.5</v>
      </c>
      <c r="G768">
        <v>2.71</v>
      </c>
      <c r="H768">
        <v>0.7</v>
      </c>
      <c r="I768" t="s">
        <v>18</v>
      </c>
      <c r="J768">
        <v>7</v>
      </c>
      <c r="K768">
        <v>1</v>
      </c>
      <c r="L768">
        <v>4</v>
      </c>
      <c r="M768">
        <v>0</v>
      </c>
    </row>
    <row r="769" spans="1:13" x14ac:dyDescent="0.25">
      <c r="A769">
        <v>15</v>
      </c>
      <c r="B769" t="s">
        <v>19</v>
      </c>
      <c r="C769">
        <v>6.4</v>
      </c>
      <c r="D769" t="s">
        <v>17</v>
      </c>
      <c r="E769">
        <v>5.9</v>
      </c>
      <c r="F769">
        <v>1.6</v>
      </c>
      <c r="G769">
        <v>3.97</v>
      </c>
      <c r="H769">
        <v>1</v>
      </c>
      <c r="I769" t="s">
        <v>21</v>
      </c>
      <c r="J769">
        <v>10</v>
      </c>
      <c r="K769">
        <v>2</v>
      </c>
      <c r="L769">
        <v>6</v>
      </c>
      <c r="M769">
        <v>0</v>
      </c>
    </row>
    <row r="770" spans="1:13" x14ac:dyDescent="0.25">
      <c r="A770">
        <v>19</v>
      </c>
      <c r="B770" t="s">
        <v>19</v>
      </c>
      <c r="C770">
        <v>1.3</v>
      </c>
      <c r="D770" t="s">
        <v>20</v>
      </c>
      <c r="E770">
        <v>6.5</v>
      </c>
      <c r="F770">
        <v>2.1</v>
      </c>
      <c r="G770">
        <v>3.68</v>
      </c>
      <c r="H770">
        <v>1.1000000000000001</v>
      </c>
      <c r="I770" t="s">
        <v>21</v>
      </c>
      <c r="J770">
        <v>7</v>
      </c>
      <c r="K770">
        <v>1</v>
      </c>
      <c r="L770">
        <v>9</v>
      </c>
      <c r="M770">
        <v>0</v>
      </c>
    </row>
    <row r="771" spans="1:13" x14ac:dyDescent="0.25">
      <c r="A771">
        <v>18</v>
      </c>
      <c r="B771" t="s">
        <v>19</v>
      </c>
      <c r="C771">
        <v>5</v>
      </c>
      <c r="D771" t="s">
        <v>17</v>
      </c>
      <c r="E771">
        <v>6.6</v>
      </c>
      <c r="F771">
        <v>1.8</v>
      </c>
      <c r="G771">
        <v>3.87</v>
      </c>
      <c r="H771">
        <v>1.2</v>
      </c>
      <c r="I771" t="s">
        <v>21</v>
      </c>
      <c r="J771">
        <v>3</v>
      </c>
      <c r="K771">
        <v>4</v>
      </c>
      <c r="L771">
        <v>2</v>
      </c>
      <c r="M771">
        <v>0</v>
      </c>
    </row>
    <row r="772" spans="1:13" x14ac:dyDescent="0.25">
      <c r="A772">
        <v>18</v>
      </c>
      <c r="B772" t="s">
        <v>16</v>
      </c>
      <c r="C772">
        <v>5.5</v>
      </c>
      <c r="D772" t="s">
        <v>23</v>
      </c>
      <c r="E772">
        <v>5.2</v>
      </c>
      <c r="F772">
        <v>1.4</v>
      </c>
      <c r="G772">
        <v>3.24</v>
      </c>
      <c r="H772">
        <v>0.9</v>
      </c>
      <c r="I772" t="s">
        <v>22</v>
      </c>
      <c r="J772">
        <v>10</v>
      </c>
      <c r="K772">
        <v>5</v>
      </c>
      <c r="L772">
        <v>7</v>
      </c>
      <c r="M772">
        <v>0</v>
      </c>
    </row>
    <row r="773" spans="1:13" x14ac:dyDescent="0.25">
      <c r="A773">
        <v>13</v>
      </c>
      <c r="B773" t="s">
        <v>19</v>
      </c>
      <c r="C773">
        <v>7.6</v>
      </c>
      <c r="D773" t="s">
        <v>17</v>
      </c>
      <c r="E773">
        <v>7.9</v>
      </c>
      <c r="F773">
        <v>3</v>
      </c>
      <c r="G773">
        <v>2.54</v>
      </c>
      <c r="H773">
        <v>1.2</v>
      </c>
      <c r="I773" t="s">
        <v>21</v>
      </c>
      <c r="J773">
        <v>8</v>
      </c>
      <c r="K773">
        <v>8</v>
      </c>
      <c r="L773">
        <v>1</v>
      </c>
      <c r="M773">
        <v>0</v>
      </c>
    </row>
    <row r="774" spans="1:13" x14ac:dyDescent="0.25">
      <c r="A774">
        <v>19</v>
      </c>
      <c r="B774" t="s">
        <v>19</v>
      </c>
      <c r="C774">
        <v>6.3</v>
      </c>
      <c r="D774" t="s">
        <v>23</v>
      </c>
      <c r="E774">
        <v>5.7</v>
      </c>
      <c r="F774">
        <v>2.2999999999999998</v>
      </c>
      <c r="G774">
        <v>2.16</v>
      </c>
      <c r="H774">
        <v>1.9</v>
      </c>
      <c r="I774" t="s">
        <v>21</v>
      </c>
      <c r="J774">
        <v>6</v>
      </c>
      <c r="K774">
        <v>3</v>
      </c>
      <c r="L774">
        <v>6</v>
      </c>
      <c r="M774">
        <v>0</v>
      </c>
    </row>
    <row r="775" spans="1:13" x14ac:dyDescent="0.25">
      <c r="A775">
        <v>18</v>
      </c>
      <c r="B775" t="s">
        <v>19</v>
      </c>
      <c r="C775">
        <v>2</v>
      </c>
      <c r="D775" t="s">
        <v>17</v>
      </c>
      <c r="E775">
        <v>5.9</v>
      </c>
      <c r="F775">
        <v>2.9</v>
      </c>
      <c r="G775">
        <v>3.52</v>
      </c>
      <c r="H775">
        <v>1.1000000000000001</v>
      </c>
      <c r="I775" t="s">
        <v>21</v>
      </c>
      <c r="J775">
        <v>8</v>
      </c>
      <c r="K775">
        <v>6</v>
      </c>
      <c r="L775">
        <v>10</v>
      </c>
      <c r="M775">
        <v>0</v>
      </c>
    </row>
    <row r="776" spans="1:13" x14ac:dyDescent="0.25">
      <c r="A776">
        <v>15</v>
      </c>
      <c r="B776" t="s">
        <v>16</v>
      </c>
      <c r="C776">
        <v>4</v>
      </c>
      <c r="D776" t="s">
        <v>20</v>
      </c>
      <c r="E776">
        <v>4.5</v>
      </c>
      <c r="F776">
        <v>1.9</v>
      </c>
      <c r="G776">
        <v>3.22</v>
      </c>
      <c r="H776">
        <v>0.2</v>
      </c>
      <c r="I776" t="s">
        <v>22</v>
      </c>
      <c r="J776">
        <v>4</v>
      </c>
      <c r="K776">
        <v>5</v>
      </c>
      <c r="L776">
        <v>3</v>
      </c>
      <c r="M776">
        <v>0</v>
      </c>
    </row>
    <row r="777" spans="1:13" x14ac:dyDescent="0.25">
      <c r="A777">
        <v>14</v>
      </c>
      <c r="B777" t="s">
        <v>16</v>
      </c>
      <c r="C777">
        <v>4.9000000000000004</v>
      </c>
      <c r="D777" t="s">
        <v>17</v>
      </c>
      <c r="E777">
        <v>5.5</v>
      </c>
      <c r="F777">
        <v>1.6</v>
      </c>
      <c r="G777">
        <v>2.85</v>
      </c>
      <c r="H777">
        <v>0.4</v>
      </c>
      <c r="I777" t="s">
        <v>18</v>
      </c>
      <c r="J777">
        <v>8</v>
      </c>
      <c r="K777">
        <v>1</v>
      </c>
      <c r="L777">
        <v>8</v>
      </c>
      <c r="M777">
        <v>0</v>
      </c>
    </row>
    <row r="778" spans="1:13" x14ac:dyDescent="0.25">
      <c r="A778">
        <v>14</v>
      </c>
      <c r="B778" t="s">
        <v>19</v>
      </c>
      <c r="C778">
        <v>6.9</v>
      </c>
      <c r="D778" t="s">
        <v>20</v>
      </c>
      <c r="E778">
        <v>8</v>
      </c>
      <c r="F778">
        <v>1.6</v>
      </c>
      <c r="G778">
        <v>2.64</v>
      </c>
      <c r="H778">
        <v>0.1</v>
      </c>
      <c r="I778" t="s">
        <v>22</v>
      </c>
      <c r="J778">
        <v>3</v>
      </c>
      <c r="K778">
        <v>3</v>
      </c>
      <c r="L778">
        <v>3</v>
      </c>
      <c r="M778">
        <v>0</v>
      </c>
    </row>
    <row r="779" spans="1:13" x14ac:dyDescent="0.25">
      <c r="A779">
        <v>15</v>
      </c>
      <c r="B779" t="s">
        <v>16</v>
      </c>
      <c r="C779">
        <v>5.4</v>
      </c>
      <c r="D779" t="s">
        <v>20</v>
      </c>
      <c r="E779">
        <v>4.2</v>
      </c>
      <c r="F779">
        <v>1.8</v>
      </c>
      <c r="G779">
        <v>2.15</v>
      </c>
      <c r="H779">
        <v>0.3</v>
      </c>
      <c r="I779" t="s">
        <v>22</v>
      </c>
      <c r="J779">
        <v>1</v>
      </c>
      <c r="K779">
        <v>10</v>
      </c>
      <c r="L779">
        <v>5</v>
      </c>
      <c r="M779">
        <v>0</v>
      </c>
    </row>
    <row r="780" spans="1:13" x14ac:dyDescent="0.25">
      <c r="A780">
        <v>13</v>
      </c>
      <c r="B780" t="s">
        <v>19</v>
      </c>
      <c r="C780">
        <v>3.8</v>
      </c>
      <c r="D780" t="s">
        <v>23</v>
      </c>
      <c r="E780">
        <v>8.9</v>
      </c>
      <c r="F780">
        <v>2.5</v>
      </c>
      <c r="G780">
        <v>2.29</v>
      </c>
      <c r="H780">
        <v>0.6</v>
      </c>
      <c r="I780" t="s">
        <v>21</v>
      </c>
      <c r="J780">
        <v>9</v>
      </c>
      <c r="K780">
        <v>9</v>
      </c>
      <c r="L780">
        <v>7</v>
      </c>
      <c r="M780">
        <v>0</v>
      </c>
    </row>
    <row r="781" spans="1:13" x14ac:dyDescent="0.25">
      <c r="A781">
        <v>15</v>
      </c>
      <c r="B781" t="s">
        <v>16</v>
      </c>
      <c r="C781">
        <v>7.8</v>
      </c>
      <c r="D781" t="s">
        <v>23</v>
      </c>
      <c r="E781">
        <v>6.8</v>
      </c>
      <c r="F781">
        <v>0.6</v>
      </c>
      <c r="G781">
        <v>3.2</v>
      </c>
      <c r="H781">
        <v>1.7</v>
      </c>
      <c r="I781" t="s">
        <v>22</v>
      </c>
      <c r="J781">
        <v>1</v>
      </c>
      <c r="K781">
        <v>7</v>
      </c>
      <c r="L781">
        <v>5</v>
      </c>
      <c r="M781">
        <v>0</v>
      </c>
    </row>
    <row r="782" spans="1:13" x14ac:dyDescent="0.25">
      <c r="A782">
        <v>15</v>
      </c>
      <c r="B782" t="s">
        <v>16</v>
      </c>
      <c r="C782">
        <v>3.5</v>
      </c>
      <c r="D782" t="s">
        <v>23</v>
      </c>
      <c r="E782">
        <v>8.8000000000000007</v>
      </c>
      <c r="F782">
        <v>1.8</v>
      </c>
      <c r="G782">
        <v>3.5</v>
      </c>
      <c r="H782">
        <v>0.8</v>
      </c>
      <c r="I782" t="s">
        <v>18</v>
      </c>
      <c r="J782">
        <v>3</v>
      </c>
      <c r="K782">
        <v>6</v>
      </c>
      <c r="L782">
        <v>3</v>
      </c>
      <c r="M782">
        <v>0</v>
      </c>
    </row>
    <row r="783" spans="1:13" x14ac:dyDescent="0.25">
      <c r="A783">
        <v>19</v>
      </c>
      <c r="B783" t="s">
        <v>19</v>
      </c>
      <c r="C783">
        <v>5.4</v>
      </c>
      <c r="D783" t="s">
        <v>17</v>
      </c>
      <c r="E783">
        <v>7.3</v>
      </c>
      <c r="F783">
        <v>2</v>
      </c>
      <c r="G783">
        <v>3.98</v>
      </c>
      <c r="H783">
        <v>0.9</v>
      </c>
      <c r="I783" t="s">
        <v>22</v>
      </c>
      <c r="J783">
        <v>6</v>
      </c>
      <c r="K783">
        <v>6</v>
      </c>
      <c r="L783">
        <v>1</v>
      </c>
      <c r="M783">
        <v>0</v>
      </c>
    </row>
    <row r="784" spans="1:13" x14ac:dyDescent="0.25">
      <c r="A784">
        <v>17</v>
      </c>
      <c r="B784" t="s">
        <v>16</v>
      </c>
      <c r="C784">
        <v>3.8</v>
      </c>
      <c r="D784" t="s">
        <v>23</v>
      </c>
      <c r="E784">
        <v>5.7</v>
      </c>
      <c r="F784">
        <v>2</v>
      </c>
      <c r="G784">
        <v>3.01</v>
      </c>
      <c r="H784">
        <v>1</v>
      </c>
      <c r="I784" t="s">
        <v>18</v>
      </c>
      <c r="J784">
        <v>1</v>
      </c>
      <c r="K784">
        <v>3</v>
      </c>
      <c r="L784">
        <v>1</v>
      </c>
      <c r="M784">
        <v>0</v>
      </c>
    </row>
    <row r="785" spans="1:13" x14ac:dyDescent="0.25">
      <c r="A785">
        <v>17</v>
      </c>
      <c r="B785" t="s">
        <v>16</v>
      </c>
      <c r="C785">
        <v>8</v>
      </c>
      <c r="D785" t="s">
        <v>17</v>
      </c>
      <c r="E785">
        <v>6.9</v>
      </c>
      <c r="F785">
        <v>2.2000000000000002</v>
      </c>
      <c r="G785">
        <v>2.36</v>
      </c>
      <c r="H785">
        <v>1.6</v>
      </c>
      <c r="I785" t="s">
        <v>18</v>
      </c>
      <c r="J785">
        <v>4</v>
      </c>
      <c r="K785">
        <v>2</v>
      </c>
      <c r="L785">
        <v>8</v>
      </c>
      <c r="M785">
        <v>0</v>
      </c>
    </row>
    <row r="786" spans="1:13" x14ac:dyDescent="0.25">
      <c r="A786">
        <v>14</v>
      </c>
      <c r="B786" t="s">
        <v>19</v>
      </c>
      <c r="C786">
        <v>3.7</v>
      </c>
      <c r="D786" t="s">
        <v>20</v>
      </c>
      <c r="E786">
        <v>5.7</v>
      </c>
      <c r="F786">
        <v>1.7</v>
      </c>
      <c r="G786">
        <v>2.88</v>
      </c>
      <c r="H786">
        <v>0.2</v>
      </c>
      <c r="I786" t="s">
        <v>18</v>
      </c>
      <c r="J786">
        <v>9</v>
      </c>
      <c r="K786">
        <v>10</v>
      </c>
      <c r="L786">
        <v>3</v>
      </c>
      <c r="M786">
        <v>0</v>
      </c>
    </row>
    <row r="787" spans="1:13" x14ac:dyDescent="0.25">
      <c r="A787">
        <v>19</v>
      </c>
      <c r="B787" t="s">
        <v>19</v>
      </c>
      <c r="C787">
        <v>5</v>
      </c>
      <c r="D787" t="s">
        <v>17</v>
      </c>
      <c r="E787">
        <v>6.3</v>
      </c>
      <c r="F787">
        <v>2.9</v>
      </c>
      <c r="G787">
        <v>2.04</v>
      </c>
      <c r="H787">
        <v>0.5</v>
      </c>
      <c r="I787" t="s">
        <v>22</v>
      </c>
      <c r="J787">
        <v>5</v>
      </c>
      <c r="K787">
        <v>2</v>
      </c>
      <c r="L787">
        <v>2</v>
      </c>
      <c r="M787">
        <v>0</v>
      </c>
    </row>
    <row r="788" spans="1:13" x14ac:dyDescent="0.25">
      <c r="A788">
        <v>19</v>
      </c>
      <c r="B788" t="s">
        <v>19</v>
      </c>
      <c r="C788">
        <v>4.2</v>
      </c>
      <c r="D788" t="s">
        <v>17</v>
      </c>
      <c r="E788">
        <v>7.1</v>
      </c>
      <c r="F788">
        <v>2.5</v>
      </c>
      <c r="G788">
        <v>3.91</v>
      </c>
      <c r="H788">
        <v>1.5</v>
      </c>
      <c r="I788" t="s">
        <v>21</v>
      </c>
      <c r="J788">
        <v>6</v>
      </c>
      <c r="K788">
        <v>8</v>
      </c>
      <c r="L788">
        <v>9</v>
      </c>
      <c r="M788">
        <v>0</v>
      </c>
    </row>
    <row r="789" spans="1:13" x14ac:dyDescent="0.25">
      <c r="A789">
        <v>16</v>
      </c>
      <c r="B789" t="s">
        <v>16</v>
      </c>
      <c r="C789">
        <v>4.5999999999999996</v>
      </c>
      <c r="D789" t="s">
        <v>17</v>
      </c>
      <c r="E789">
        <v>8.1999999999999993</v>
      </c>
      <c r="F789">
        <v>1.5</v>
      </c>
      <c r="G789">
        <v>2.13</v>
      </c>
      <c r="H789">
        <v>1</v>
      </c>
      <c r="I789" t="s">
        <v>18</v>
      </c>
      <c r="J789">
        <v>3</v>
      </c>
      <c r="K789">
        <v>2</v>
      </c>
      <c r="L789">
        <v>2</v>
      </c>
      <c r="M789">
        <v>0</v>
      </c>
    </row>
    <row r="790" spans="1:13" x14ac:dyDescent="0.25">
      <c r="A790">
        <v>18</v>
      </c>
      <c r="B790" t="s">
        <v>16</v>
      </c>
      <c r="C790">
        <v>5.5</v>
      </c>
      <c r="D790" t="s">
        <v>17</v>
      </c>
      <c r="E790">
        <v>5</v>
      </c>
      <c r="F790">
        <v>0.9</v>
      </c>
      <c r="G790">
        <v>2.93</v>
      </c>
      <c r="H790">
        <v>1.1000000000000001</v>
      </c>
      <c r="I790" t="s">
        <v>18</v>
      </c>
      <c r="J790">
        <v>4</v>
      </c>
      <c r="K790">
        <v>10</v>
      </c>
      <c r="L790">
        <v>10</v>
      </c>
      <c r="M790">
        <v>0</v>
      </c>
    </row>
    <row r="791" spans="1:13" x14ac:dyDescent="0.25">
      <c r="A791">
        <v>19</v>
      </c>
      <c r="B791" t="s">
        <v>19</v>
      </c>
      <c r="C791">
        <v>1.8</v>
      </c>
      <c r="D791" t="s">
        <v>17</v>
      </c>
      <c r="E791">
        <v>4.5</v>
      </c>
      <c r="F791">
        <v>2.8</v>
      </c>
      <c r="G791">
        <v>3.22</v>
      </c>
      <c r="H791">
        <v>1.6</v>
      </c>
      <c r="I791" t="s">
        <v>22</v>
      </c>
      <c r="J791">
        <v>5</v>
      </c>
      <c r="K791">
        <v>3</v>
      </c>
      <c r="L791">
        <v>10</v>
      </c>
      <c r="M791">
        <v>0</v>
      </c>
    </row>
    <row r="792" spans="1:13" x14ac:dyDescent="0.25">
      <c r="A792">
        <v>14</v>
      </c>
      <c r="B792" t="s">
        <v>19</v>
      </c>
      <c r="C792">
        <v>6.6</v>
      </c>
      <c r="D792" t="s">
        <v>20</v>
      </c>
      <c r="E792">
        <v>6.2</v>
      </c>
      <c r="F792">
        <v>1.8</v>
      </c>
      <c r="G792">
        <v>2.36</v>
      </c>
      <c r="H792">
        <v>1.7</v>
      </c>
      <c r="I792" t="s">
        <v>21</v>
      </c>
      <c r="J792">
        <v>4</v>
      </c>
      <c r="K792">
        <v>1</v>
      </c>
      <c r="L792">
        <v>8</v>
      </c>
      <c r="M792">
        <v>0</v>
      </c>
    </row>
    <row r="793" spans="1:13" x14ac:dyDescent="0.25">
      <c r="A793">
        <v>15</v>
      </c>
      <c r="B793" t="s">
        <v>19</v>
      </c>
      <c r="C793">
        <v>4.4000000000000004</v>
      </c>
      <c r="D793" t="s">
        <v>20</v>
      </c>
      <c r="E793">
        <v>5.3</v>
      </c>
      <c r="F793">
        <v>0.9</v>
      </c>
      <c r="G793">
        <v>3.75</v>
      </c>
      <c r="H793">
        <v>0.5</v>
      </c>
      <c r="I793" t="s">
        <v>21</v>
      </c>
      <c r="J793">
        <v>10</v>
      </c>
      <c r="K793">
        <v>5</v>
      </c>
      <c r="L793">
        <v>5</v>
      </c>
      <c r="M793">
        <v>0</v>
      </c>
    </row>
    <row r="794" spans="1:13" x14ac:dyDescent="0.25">
      <c r="A794">
        <v>14</v>
      </c>
      <c r="B794" t="s">
        <v>19</v>
      </c>
      <c r="C794">
        <v>4.7</v>
      </c>
      <c r="D794" t="s">
        <v>20</v>
      </c>
      <c r="E794">
        <v>4.4000000000000004</v>
      </c>
      <c r="F794">
        <v>2.1</v>
      </c>
      <c r="G794">
        <v>3.92</v>
      </c>
      <c r="H794">
        <v>0.9</v>
      </c>
      <c r="I794" t="s">
        <v>18</v>
      </c>
      <c r="J794">
        <v>10</v>
      </c>
      <c r="K794">
        <v>1</v>
      </c>
      <c r="L794">
        <v>4</v>
      </c>
      <c r="M794">
        <v>0</v>
      </c>
    </row>
    <row r="795" spans="1:13" x14ac:dyDescent="0.25">
      <c r="A795">
        <v>18</v>
      </c>
      <c r="B795" t="s">
        <v>19</v>
      </c>
      <c r="C795">
        <v>7.1</v>
      </c>
      <c r="D795" t="s">
        <v>17</v>
      </c>
      <c r="E795">
        <v>5.7</v>
      </c>
      <c r="F795">
        <v>0.6</v>
      </c>
      <c r="G795">
        <v>2.9</v>
      </c>
      <c r="H795">
        <v>1.7</v>
      </c>
      <c r="I795" t="s">
        <v>22</v>
      </c>
      <c r="J795">
        <v>3</v>
      </c>
      <c r="K795">
        <v>1</v>
      </c>
      <c r="L795">
        <v>6</v>
      </c>
      <c r="M795">
        <v>0</v>
      </c>
    </row>
    <row r="796" spans="1:13" x14ac:dyDescent="0.25">
      <c r="A796">
        <v>17</v>
      </c>
      <c r="B796" t="s">
        <v>16</v>
      </c>
      <c r="C796">
        <v>4</v>
      </c>
      <c r="D796" t="s">
        <v>23</v>
      </c>
      <c r="E796">
        <v>8.5</v>
      </c>
      <c r="F796">
        <v>1</v>
      </c>
      <c r="G796">
        <v>2.16</v>
      </c>
      <c r="H796">
        <v>0.1</v>
      </c>
      <c r="I796" t="s">
        <v>18</v>
      </c>
      <c r="J796">
        <v>1</v>
      </c>
      <c r="K796">
        <v>7</v>
      </c>
      <c r="L796">
        <v>5</v>
      </c>
      <c r="M796">
        <v>0</v>
      </c>
    </row>
    <row r="797" spans="1:13" x14ac:dyDescent="0.25">
      <c r="A797">
        <v>18</v>
      </c>
      <c r="B797" t="s">
        <v>19</v>
      </c>
      <c r="C797">
        <v>5.5</v>
      </c>
      <c r="D797" t="s">
        <v>17</v>
      </c>
      <c r="E797">
        <v>5.3</v>
      </c>
      <c r="F797">
        <v>2.6</v>
      </c>
      <c r="G797">
        <v>3.09</v>
      </c>
      <c r="H797">
        <v>2</v>
      </c>
      <c r="I797" t="s">
        <v>18</v>
      </c>
      <c r="J797">
        <v>8</v>
      </c>
      <c r="K797">
        <v>6</v>
      </c>
      <c r="L797">
        <v>3</v>
      </c>
      <c r="M797">
        <v>0</v>
      </c>
    </row>
    <row r="798" spans="1:13" x14ac:dyDescent="0.25">
      <c r="A798">
        <v>19</v>
      </c>
      <c r="B798" t="s">
        <v>16</v>
      </c>
      <c r="C798">
        <v>5.6</v>
      </c>
      <c r="D798" t="s">
        <v>20</v>
      </c>
      <c r="E798">
        <v>6.5</v>
      </c>
      <c r="F798">
        <v>1.4</v>
      </c>
      <c r="G798">
        <v>3.19</v>
      </c>
      <c r="H798">
        <v>0</v>
      </c>
      <c r="I798" t="s">
        <v>21</v>
      </c>
      <c r="J798">
        <v>9</v>
      </c>
      <c r="K798">
        <v>9</v>
      </c>
      <c r="L798">
        <v>7</v>
      </c>
      <c r="M798">
        <v>0</v>
      </c>
    </row>
    <row r="799" spans="1:13" x14ac:dyDescent="0.25">
      <c r="A799">
        <v>14</v>
      </c>
      <c r="B799" t="s">
        <v>19</v>
      </c>
      <c r="C799">
        <v>3.7</v>
      </c>
      <c r="D799" t="s">
        <v>23</v>
      </c>
      <c r="E799">
        <v>7.1</v>
      </c>
      <c r="F799">
        <v>1.7</v>
      </c>
      <c r="G799">
        <v>2.5</v>
      </c>
      <c r="H799">
        <v>1.8</v>
      </c>
      <c r="I799" t="s">
        <v>22</v>
      </c>
      <c r="J799">
        <v>10</v>
      </c>
      <c r="K799">
        <v>4</v>
      </c>
      <c r="L799">
        <v>5</v>
      </c>
      <c r="M799">
        <v>0</v>
      </c>
    </row>
    <row r="800" spans="1:13" x14ac:dyDescent="0.25">
      <c r="A800">
        <v>16</v>
      </c>
      <c r="B800" t="s">
        <v>16</v>
      </c>
      <c r="C800">
        <v>1.8</v>
      </c>
      <c r="D800" t="s">
        <v>20</v>
      </c>
      <c r="E800">
        <v>7.4</v>
      </c>
      <c r="F800">
        <v>2.2999999999999998</v>
      </c>
      <c r="G800">
        <v>3.76</v>
      </c>
      <c r="H800">
        <v>0.8</v>
      </c>
      <c r="I800" t="s">
        <v>18</v>
      </c>
      <c r="J800">
        <v>9</v>
      </c>
      <c r="K800">
        <v>5</v>
      </c>
      <c r="L800">
        <v>8</v>
      </c>
      <c r="M800">
        <v>0</v>
      </c>
    </row>
    <row r="801" spans="1:13" x14ac:dyDescent="0.25">
      <c r="A801">
        <v>16</v>
      </c>
      <c r="B801" t="s">
        <v>19</v>
      </c>
      <c r="C801">
        <v>7.6</v>
      </c>
      <c r="D801" t="s">
        <v>20</v>
      </c>
      <c r="E801">
        <v>4.2</v>
      </c>
      <c r="F801">
        <v>2.8</v>
      </c>
      <c r="G801">
        <v>3.87</v>
      </c>
      <c r="H801">
        <v>0.7</v>
      </c>
      <c r="I801" t="s">
        <v>21</v>
      </c>
      <c r="J801">
        <v>10</v>
      </c>
      <c r="K801">
        <v>2</v>
      </c>
      <c r="L801">
        <v>9</v>
      </c>
      <c r="M801">
        <v>0</v>
      </c>
    </row>
    <row r="802" spans="1:13" x14ac:dyDescent="0.25">
      <c r="A802">
        <v>18</v>
      </c>
      <c r="B802" t="s">
        <v>16</v>
      </c>
      <c r="C802">
        <v>5.7</v>
      </c>
      <c r="D802" t="s">
        <v>20</v>
      </c>
      <c r="E802">
        <v>8</v>
      </c>
      <c r="F802">
        <v>2.5</v>
      </c>
      <c r="G802">
        <v>3.4</v>
      </c>
      <c r="H802">
        <v>0.1</v>
      </c>
      <c r="I802" t="s">
        <v>18</v>
      </c>
      <c r="J802">
        <v>5</v>
      </c>
      <c r="K802">
        <v>2</v>
      </c>
      <c r="L802">
        <v>1</v>
      </c>
      <c r="M802">
        <v>0</v>
      </c>
    </row>
    <row r="803" spans="1:13" x14ac:dyDescent="0.25">
      <c r="A803">
        <v>14</v>
      </c>
      <c r="B803" t="s">
        <v>19</v>
      </c>
      <c r="C803">
        <v>6.1</v>
      </c>
      <c r="D803" t="s">
        <v>17</v>
      </c>
      <c r="E803">
        <v>7</v>
      </c>
      <c r="F803">
        <v>2.7</v>
      </c>
      <c r="G803">
        <v>3.97</v>
      </c>
      <c r="H803">
        <v>1</v>
      </c>
      <c r="I803" t="s">
        <v>22</v>
      </c>
      <c r="J803">
        <v>1</v>
      </c>
      <c r="K803">
        <v>8</v>
      </c>
      <c r="L803">
        <v>8</v>
      </c>
      <c r="M803">
        <v>0</v>
      </c>
    </row>
    <row r="804" spans="1:13" x14ac:dyDescent="0.25">
      <c r="A804">
        <v>13</v>
      </c>
      <c r="B804" t="s">
        <v>19</v>
      </c>
      <c r="C804">
        <v>6</v>
      </c>
      <c r="D804" t="s">
        <v>17</v>
      </c>
      <c r="E804">
        <v>7.2</v>
      </c>
      <c r="F804">
        <v>0.6</v>
      </c>
      <c r="G804">
        <v>2.11</v>
      </c>
      <c r="H804">
        <v>1.1000000000000001</v>
      </c>
      <c r="I804" t="s">
        <v>18</v>
      </c>
      <c r="J804">
        <v>1</v>
      </c>
      <c r="K804">
        <v>3</v>
      </c>
      <c r="L804">
        <v>6</v>
      </c>
      <c r="M804">
        <v>0</v>
      </c>
    </row>
    <row r="805" spans="1:13" x14ac:dyDescent="0.25">
      <c r="A805">
        <v>15</v>
      </c>
      <c r="B805" t="s">
        <v>19</v>
      </c>
      <c r="C805">
        <v>3.1</v>
      </c>
      <c r="D805" t="s">
        <v>20</v>
      </c>
      <c r="E805">
        <v>4.2</v>
      </c>
      <c r="F805">
        <v>2.4</v>
      </c>
      <c r="G805">
        <v>3.41</v>
      </c>
      <c r="H805">
        <v>0.2</v>
      </c>
      <c r="I805" t="s">
        <v>18</v>
      </c>
      <c r="J805">
        <v>3</v>
      </c>
      <c r="K805">
        <v>7</v>
      </c>
      <c r="L805">
        <v>5</v>
      </c>
      <c r="M805">
        <v>0</v>
      </c>
    </row>
    <row r="806" spans="1:13" x14ac:dyDescent="0.25">
      <c r="A806">
        <v>17</v>
      </c>
      <c r="B806" t="s">
        <v>16</v>
      </c>
      <c r="C806">
        <v>7.6</v>
      </c>
      <c r="D806" t="s">
        <v>17</v>
      </c>
      <c r="E806">
        <v>6</v>
      </c>
      <c r="F806">
        <v>2</v>
      </c>
      <c r="G806">
        <v>3.82</v>
      </c>
      <c r="H806">
        <v>1.5</v>
      </c>
      <c r="I806" t="s">
        <v>18</v>
      </c>
      <c r="J806">
        <v>8</v>
      </c>
      <c r="K806">
        <v>9</v>
      </c>
      <c r="L806">
        <v>7</v>
      </c>
      <c r="M806">
        <v>0</v>
      </c>
    </row>
    <row r="807" spans="1:13" x14ac:dyDescent="0.25">
      <c r="A807">
        <v>17</v>
      </c>
      <c r="B807" t="s">
        <v>16</v>
      </c>
      <c r="C807">
        <v>6</v>
      </c>
      <c r="D807" t="s">
        <v>23</v>
      </c>
      <c r="E807">
        <v>5.3</v>
      </c>
      <c r="F807">
        <v>2.7</v>
      </c>
      <c r="G807">
        <v>3.2</v>
      </c>
      <c r="H807">
        <v>1.4</v>
      </c>
      <c r="I807" t="s">
        <v>22</v>
      </c>
      <c r="J807">
        <v>8</v>
      </c>
      <c r="K807">
        <v>2</v>
      </c>
      <c r="L807">
        <v>4</v>
      </c>
      <c r="M807">
        <v>0</v>
      </c>
    </row>
    <row r="808" spans="1:13" x14ac:dyDescent="0.25">
      <c r="A808">
        <v>13</v>
      </c>
      <c r="B808" t="s">
        <v>19</v>
      </c>
      <c r="C808">
        <v>3.5</v>
      </c>
      <c r="D808" t="s">
        <v>17</v>
      </c>
      <c r="E808">
        <v>5.3</v>
      </c>
      <c r="F808">
        <v>2.7</v>
      </c>
      <c r="G808">
        <v>3.7</v>
      </c>
      <c r="H808">
        <v>0.5</v>
      </c>
      <c r="I808" t="s">
        <v>18</v>
      </c>
      <c r="J808">
        <v>3</v>
      </c>
      <c r="K808">
        <v>7</v>
      </c>
      <c r="L808">
        <v>2</v>
      </c>
      <c r="M808">
        <v>0</v>
      </c>
    </row>
    <row r="809" spans="1:13" x14ac:dyDescent="0.25">
      <c r="A809">
        <v>14</v>
      </c>
      <c r="B809" t="s">
        <v>19</v>
      </c>
      <c r="C809">
        <v>1.3</v>
      </c>
      <c r="D809" t="s">
        <v>20</v>
      </c>
      <c r="E809">
        <v>7.5</v>
      </c>
      <c r="F809">
        <v>1.4</v>
      </c>
      <c r="G809">
        <v>3.85</v>
      </c>
      <c r="H809">
        <v>1.6</v>
      </c>
      <c r="I809" t="s">
        <v>22</v>
      </c>
      <c r="J809">
        <v>10</v>
      </c>
      <c r="K809">
        <v>8</v>
      </c>
      <c r="L809">
        <v>7</v>
      </c>
      <c r="M809">
        <v>0</v>
      </c>
    </row>
    <row r="810" spans="1:13" x14ac:dyDescent="0.25">
      <c r="A810">
        <v>18</v>
      </c>
      <c r="B810" t="s">
        <v>19</v>
      </c>
      <c r="C810">
        <v>2.8</v>
      </c>
      <c r="D810" t="s">
        <v>20</v>
      </c>
      <c r="E810">
        <v>7</v>
      </c>
      <c r="F810">
        <v>2.9</v>
      </c>
      <c r="G810">
        <v>3.91</v>
      </c>
      <c r="H810">
        <v>1.1000000000000001</v>
      </c>
      <c r="I810" t="s">
        <v>22</v>
      </c>
      <c r="J810">
        <v>9</v>
      </c>
      <c r="K810">
        <v>9</v>
      </c>
      <c r="L810">
        <v>1</v>
      </c>
      <c r="M810">
        <v>0</v>
      </c>
    </row>
    <row r="811" spans="1:13" x14ac:dyDescent="0.25">
      <c r="A811">
        <v>14</v>
      </c>
      <c r="B811" t="s">
        <v>16</v>
      </c>
      <c r="C811">
        <v>3.9</v>
      </c>
      <c r="D811" t="s">
        <v>23</v>
      </c>
      <c r="E811">
        <v>4.8</v>
      </c>
      <c r="F811">
        <v>0.8</v>
      </c>
      <c r="G811">
        <v>3.32</v>
      </c>
      <c r="H811">
        <v>0.3</v>
      </c>
      <c r="I811" t="s">
        <v>21</v>
      </c>
      <c r="J811">
        <v>5</v>
      </c>
      <c r="K811">
        <v>2</v>
      </c>
      <c r="L811">
        <v>5</v>
      </c>
      <c r="M811">
        <v>0</v>
      </c>
    </row>
    <row r="812" spans="1:13" x14ac:dyDescent="0.25">
      <c r="A812">
        <v>19</v>
      </c>
      <c r="B812" t="s">
        <v>16</v>
      </c>
      <c r="C812">
        <v>3.9</v>
      </c>
      <c r="D812" t="s">
        <v>23</v>
      </c>
      <c r="E812">
        <v>4.8</v>
      </c>
      <c r="F812">
        <v>2.8</v>
      </c>
      <c r="G812">
        <v>3.98</v>
      </c>
      <c r="H812">
        <v>1.9</v>
      </c>
      <c r="I812" t="s">
        <v>22</v>
      </c>
      <c r="J812">
        <v>7</v>
      </c>
      <c r="K812">
        <v>5</v>
      </c>
      <c r="L812">
        <v>3</v>
      </c>
      <c r="M812">
        <v>0</v>
      </c>
    </row>
    <row r="813" spans="1:13" x14ac:dyDescent="0.25">
      <c r="A813">
        <v>14</v>
      </c>
      <c r="B813" t="s">
        <v>16</v>
      </c>
      <c r="C813">
        <v>7.4</v>
      </c>
      <c r="D813" t="s">
        <v>17</v>
      </c>
      <c r="E813">
        <v>8.9</v>
      </c>
      <c r="F813">
        <v>2.4</v>
      </c>
      <c r="G813">
        <v>2.29</v>
      </c>
      <c r="H813">
        <v>1.1000000000000001</v>
      </c>
      <c r="I813" t="s">
        <v>18</v>
      </c>
      <c r="J813">
        <v>10</v>
      </c>
      <c r="K813">
        <v>4</v>
      </c>
      <c r="L813">
        <v>8</v>
      </c>
      <c r="M813">
        <v>0</v>
      </c>
    </row>
    <row r="814" spans="1:13" x14ac:dyDescent="0.25">
      <c r="A814">
        <v>19</v>
      </c>
      <c r="B814" t="s">
        <v>19</v>
      </c>
      <c r="C814">
        <v>5.4</v>
      </c>
      <c r="D814" t="s">
        <v>20</v>
      </c>
      <c r="E814">
        <v>7.4</v>
      </c>
      <c r="F814">
        <v>1.7</v>
      </c>
      <c r="G814">
        <v>2.88</v>
      </c>
      <c r="H814">
        <v>0.6</v>
      </c>
      <c r="I814" t="s">
        <v>18</v>
      </c>
      <c r="J814">
        <v>6</v>
      </c>
      <c r="K814">
        <v>10</v>
      </c>
      <c r="L814">
        <v>9</v>
      </c>
      <c r="M814">
        <v>0</v>
      </c>
    </row>
    <row r="815" spans="1:13" x14ac:dyDescent="0.25">
      <c r="A815">
        <v>19</v>
      </c>
      <c r="B815" t="s">
        <v>19</v>
      </c>
      <c r="C815">
        <v>6.6</v>
      </c>
      <c r="D815" t="s">
        <v>23</v>
      </c>
      <c r="E815">
        <v>6.8</v>
      </c>
      <c r="F815">
        <v>0.8</v>
      </c>
      <c r="G815">
        <v>2.64</v>
      </c>
      <c r="H815">
        <v>1.5</v>
      </c>
      <c r="I815" t="s">
        <v>18</v>
      </c>
      <c r="J815">
        <v>5</v>
      </c>
      <c r="K815">
        <v>4</v>
      </c>
      <c r="L815">
        <v>6</v>
      </c>
      <c r="M815">
        <v>0</v>
      </c>
    </row>
    <row r="816" spans="1:13" x14ac:dyDescent="0.25">
      <c r="A816">
        <v>17</v>
      </c>
      <c r="B816" t="s">
        <v>16</v>
      </c>
      <c r="C816">
        <v>5.9</v>
      </c>
      <c r="D816" t="s">
        <v>17</v>
      </c>
      <c r="E816">
        <v>7.4</v>
      </c>
      <c r="F816">
        <v>1.7</v>
      </c>
      <c r="G816">
        <v>2.5</v>
      </c>
      <c r="H816">
        <v>0.7</v>
      </c>
      <c r="I816" t="s">
        <v>21</v>
      </c>
      <c r="J816">
        <v>6</v>
      </c>
      <c r="K816">
        <v>7</v>
      </c>
      <c r="L816">
        <v>1</v>
      </c>
      <c r="M816">
        <v>0</v>
      </c>
    </row>
    <row r="817" spans="1:13" x14ac:dyDescent="0.25">
      <c r="A817">
        <v>17</v>
      </c>
      <c r="B817" t="s">
        <v>16</v>
      </c>
      <c r="C817">
        <v>3.3</v>
      </c>
      <c r="D817" t="s">
        <v>23</v>
      </c>
      <c r="E817">
        <v>5.2</v>
      </c>
      <c r="F817">
        <v>1.8</v>
      </c>
      <c r="G817">
        <v>2.1</v>
      </c>
      <c r="H817">
        <v>1.2</v>
      </c>
      <c r="I817" t="s">
        <v>18</v>
      </c>
      <c r="J817">
        <v>2</v>
      </c>
      <c r="K817">
        <v>3</v>
      </c>
      <c r="L817">
        <v>9</v>
      </c>
      <c r="M817">
        <v>0</v>
      </c>
    </row>
    <row r="818" spans="1:13" x14ac:dyDescent="0.25">
      <c r="A818">
        <v>15</v>
      </c>
      <c r="B818" t="s">
        <v>19</v>
      </c>
      <c r="C818">
        <v>2.8</v>
      </c>
      <c r="D818" t="s">
        <v>17</v>
      </c>
      <c r="E818">
        <v>7.7</v>
      </c>
      <c r="F818">
        <v>1</v>
      </c>
      <c r="G818">
        <v>3.73</v>
      </c>
      <c r="H818">
        <v>0.5</v>
      </c>
      <c r="I818" t="s">
        <v>22</v>
      </c>
      <c r="J818">
        <v>6</v>
      </c>
      <c r="K818">
        <v>10</v>
      </c>
      <c r="L818">
        <v>1</v>
      </c>
      <c r="M818">
        <v>0</v>
      </c>
    </row>
    <row r="819" spans="1:13" x14ac:dyDescent="0.25">
      <c r="A819">
        <v>14</v>
      </c>
      <c r="B819" t="s">
        <v>19</v>
      </c>
      <c r="C819">
        <v>7.3</v>
      </c>
      <c r="D819" t="s">
        <v>20</v>
      </c>
      <c r="E819">
        <v>8.8000000000000007</v>
      </c>
      <c r="F819">
        <v>2.5</v>
      </c>
      <c r="G819">
        <v>2.12</v>
      </c>
      <c r="H819">
        <v>0.5</v>
      </c>
      <c r="I819" t="s">
        <v>21</v>
      </c>
      <c r="J819">
        <v>10</v>
      </c>
      <c r="K819">
        <v>10</v>
      </c>
      <c r="L819">
        <v>1</v>
      </c>
      <c r="M819">
        <v>0</v>
      </c>
    </row>
    <row r="820" spans="1:13" x14ac:dyDescent="0.25">
      <c r="A820">
        <v>18</v>
      </c>
      <c r="B820" t="s">
        <v>16</v>
      </c>
      <c r="C820">
        <v>2.8</v>
      </c>
      <c r="D820" t="s">
        <v>17</v>
      </c>
      <c r="E820">
        <v>6.9</v>
      </c>
      <c r="F820">
        <v>2.2999999999999998</v>
      </c>
      <c r="G820">
        <v>3.11</v>
      </c>
      <c r="H820">
        <v>0.1</v>
      </c>
      <c r="I820" t="s">
        <v>22</v>
      </c>
      <c r="J820">
        <v>7</v>
      </c>
      <c r="K820">
        <v>1</v>
      </c>
      <c r="L820">
        <v>9</v>
      </c>
      <c r="M820">
        <v>0</v>
      </c>
    </row>
    <row r="821" spans="1:13" x14ac:dyDescent="0.25">
      <c r="A821">
        <v>18</v>
      </c>
      <c r="B821" t="s">
        <v>19</v>
      </c>
      <c r="C821">
        <v>7.2</v>
      </c>
      <c r="D821" t="s">
        <v>20</v>
      </c>
      <c r="E821">
        <v>7.7</v>
      </c>
      <c r="F821">
        <v>1.2</v>
      </c>
      <c r="G821">
        <v>3.7</v>
      </c>
      <c r="H821">
        <v>0.1</v>
      </c>
      <c r="I821" t="s">
        <v>18</v>
      </c>
      <c r="J821">
        <v>6</v>
      </c>
      <c r="K821">
        <v>3</v>
      </c>
      <c r="L821">
        <v>9</v>
      </c>
      <c r="M821">
        <v>0</v>
      </c>
    </row>
    <row r="822" spans="1:13" x14ac:dyDescent="0.25">
      <c r="A822">
        <v>19</v>
      </c>
      <c r="B822" t="s">
        <v>19</v>
      </c>
      <c r="C822">
        <v>7.1</v>
      </c>
      <c r="D822" t="s">
        <v>20</v>
      </c>
      <c r="E822">
        <v>6.3</v>
      </c>
      <c r="F822">
        <v>0.8</v>
      </c>
      <c r="G822">
        <v>3.66</v>
      </c>
      <c r="H822">
        <v>0.5</v>
      </c>
      <c r="I822" t="s">
        <v>21</v>
      </c>
      <c r="J822">
        <v>3</v>
      </c>
      <c r="K822">
        <v>7</v>
      </c>
      <c r="L822">
        <v>7</v>
      </c>
      <c r="M822">
        <v>0</v>
      </c>
    </row>
    <row r="823" spans="1:13" x14ac:dyDescent="0.25">
      <c r="A823">
        <v>13</v>
      </c>
      <c r="B823" t="s">
        <v>19</v>
      </c>
      <c r="C823">
        <v>4.3</v>
      </c>
      <c r="D823" t="s">
        <v>20</v>
      </c>
      <c r="E823">
        <v>4.4000000000000004</v>
      </c>
      <c r="F823">
        <v>0.9</v>
      </c>
      <c r="G823">
        <v>2.35</v>
      </c>
      <c r="H823">
        <v>1.5</v>
      </c>
      <c r="I823" t="s">
        <v>21</v>
      </c>
      <c r="J823">
        <v>3</v>
      </c>
      <c r="K823">
        <v>1</v>
      </c>
      <c r="L823">
        <v>7</v>
      </c>
      <c r="M823">
        <v>0</v>
      </c>
    </row>
    <row r="824" spans="1:13" x14ac:dyDescent="0.25">
      <c r="A824">
        <v>19</v>
      </c>
      <c r="B824" t="s">
        <v>16</v>
      </c>
      <c r="C824">
        <v>1.6</v>
      </c>
      <c r="D824" t="s">
        <v>23</v>
      </c>
      <c r="E824">
        <v>4.4000000000000004</v>
      </c>
      <c r="F824">
        <v>1.4</v>
      </c>
      <c r="G824">
        <v>2.0299999999999998</v>
      </c>
      <c r="H824">
        <v>1.1000000000000001</v>
      </c>
      <c r="I824" t="s">
        <v>21</v>
      </c>
      <c r="J824">
        <v>2</v>
      </c>
      <c r="K824">
        <v>9</v>
      </c>
      <c r="L824">
        <v>5</v>
      </c>
      <c r="M824">
        <v>0</v>
      </c>
    </row>
    <row r="825" spans="1:13" x14ac:dyDescent="0.25">
      <c r="A825">
        <v>19</v>
      </c>
      <c r="B825" t="s">
        <v>19</v>
      </c>
      <c r="C825">
        <v>1.4</v>
      </c>
      <c r="D825" t="s">
        <v>23</v>
      </c>
      <c r="E825">
        <v>8</v>
      </c>
      <c r="F825">
        <v>2.5</v>
      </c>
      <c r="G825">
        <v>3.54</v>
      </c>
      <c r="H825">
        <v>1.8</v>
      </c>
      <c r="I825" t="s">
        <v>18</v>
      </c>
      <c r="J825">
        <v>4</v>
      </c>
      <c r="K825">
        <v>8</v>
      </c>
      <c r="L825">
        <v>3</v>
      </c>
      <c r="M825">
        <v>0</v>
      </c>
    </row>
    <row r="826" spans="1:13" x14ac:dyDescent="0.25">
      <c r="A826">
        <v>18</v>
      </c>
      <c r="B826" t="s">
        <v>19</v>
      </c>
      <c r="C826">
        <v>3.2</v>
      </c>
      <c r="D826" t="s">
        <v>17</v>
      </c>
      <c r="E826">
        <v>6.8</v>
      </c>
      <c r="F826">
        <v>2.2999999999999998</v>
      </c>
      <c r="G826">
        <v>3.16</v>
      </c>
      <c r="H826">
        <v>1.8</v>
      </c>
      <c r="I826" t="s">
        <v>18</v>
      </c>
      <c r="J826">
        <v>4</v>
      </c>
      <c r="K826">
        <v>8</v>
      </c>
      <c r="L826">
        <v>5</v>
      </c>
      <c r="M826">
        <v>0</v>
      </c>
    </row>
    <row r="827" spans="1:13" x14ac:dyDescent="0.25">
      <c r="A827">
        <v>17</v>
      </c>
      <c r="B827" t="s">
        <v>16</v>
      </c>
      <c r="C827">
        <v>1.5</v>
      </c>
      <c r="D827" t="s">
        <v>23</v>
      </c>
      <c r="E827">
        <v>8</v>
      </c>
      <c r="F827">
        <v>0.5</v>
      </c>
      <c r="G827">
        <v>3.01</v>
      </c>
      <c r="H827">
        <v>0.4</v>
      </c>
      <c r="I827" t="s">
        <v>22</v>
      </c>
      <c r="J827">
        <v>10</v>
      </c>
      <c r="K827">
        <v>2</v>
      </c>
      <c r="L827">
        <v>3</v>
      </c>
      <c r="M827">
        <v>0</v>
      </c>
    </row>
    <row r="828" spans="1:13" x14ac:dyDescent="0.25">
      <c r="A828">
        <v>18</v>
      </c>
      <c r="B828" t="s">
        <v>16</v>
      </c>
      <c r="C828">
        <v>7.5</v>
      </c>
      <c r="D828" t="s">
        <v>20</v>
      </c>
      <c r="E828">
        <v>5.0999999999999996</v>
      </c>
      <c r="F828">
        <v>2.6</v>
      </c>
      <c r="G828">
        <v>3.82</v>
      </c>
      <c r="H828">
        <v>0.7</v>
      </c>
      <c r="I828" t="s">
        <v>18</v>
      </c>
      <c r="J828">
        <v>7</v>
      </c>
      <c r="K828">
        <v>3</v>
      </c>
      <c r="L828">
        <v>8</v>
      </c>
      <c r="M828">
        <v>0</v>
      </c>
    </row>
    <row r="829" spans="1:13" x14ac:dyDescent="0.25">
      <c r="A829">
        <v>14</v>
      </c>
      <c r="B829" t="s">
        <v>19</v>
      </c>
      <c r="C829">
        <v>3.5</v>
      </c>
      <c r="D829" t="s">
        <v>17</v>
      </c>
      <c r="E829">
        <v>4.5999999999999996</v>
      </c>
      <c r="F829">
        <v>0.7</v>
      </c>
      <c r="G829">
        <v>2.74</v>
      </c>
      <c r="H829">
        <v>1</v>
      </c>
      <c r="I829" t="s">
        <v>18</v>
      </c>
      <c r="J829">
        <v>2</v>
      </c>
      <c r="K829">
        <v>7</v>
      </c>
      <c r="L829">
        <v>8</v>
      </c>
      <c r="M829">
        <v>0</v>
      </c>
    </row>
    <row r="830" spans="1:13" x14ac:dyDescent="0.25">
      <c r="A830">
        <v>17</v>
      </c>
      <c r="B830" t="s">
        <v>16</v>
      </c>
      <c r="C830">
        <v>4.4000000000000004</v>
      </c>
      <c r="D830" t="s">
        <v>23</v>
      </c>
      <c r="E830">
        <v>8.1999999999999993</v>
      </c>
      <c r="F830">
        <v>2.7</v>
      </c>
      <c r="G830">
        <v>3.13</v>
      </c>
      <c r="H830">
        <v>0.3</v>
      </c>
      <c r="I830" t="s">
        <v>22</v>
      </c>
      <c r="J830">
        <v>3</v>
      </c>
      <c r="K830">
        <v>1</v>
      </c>
      <c r="L830">
        <v>2</v>
      </c>
      <c r="M830">
        <v>0</v>
      </c>
    </row>
    <row r="831" spans="1:13" x14ac:dyDescent="0.25">
      <c r="A831">
        <v>17</v>
      </c>
      <c r="B831" t="s">
        <v>16</v>
      </c>
      <c r="C831">
        <v>4.5999999999999996</v>
      </c>
      <c r="D831" t="s">
        <v>20</v>
      </c>
      <c r="E831">
        <v>5.0999999999999996</v>
      </c>
      <c r="F831">
        <v>2.5</v>
      </c>
      <c r="G831">
        <v>2.13</v>
      </c>
      <c r="H831">
        <v>1</v>
      </c>
      <c r="I831" t="s">
        <v>22</v>
      </c>
      <c r="J831">
        <v>2</v>
      </c>
      <c r="K831">
        <v>5</v>
      </c>
      <c r="L831">
        <v>6</v>
      </c>
      <c r="M831">
        <v>0</v>
      </c>
    </row>
    <row r="832" spans="1:13" x14ac:dyDescent="0.25">
      <c r="A832">
        <v>13</v>
      </c>
      <c r="B832" t="s">
        <v>16</v>
      </c>
      <c r="C832">
        <v>5.9</v>
      </c>
      <c r="D832" t="s">
        <v>20</v>
      </c>
      <c r="E832">
        <v>6.6</v>
      </c>
      <c r="F832">
        <v>2.6</v>
      </c>
      <c r="G832">
        <v>3.58</v>
      </c>
      <c r="H832">
        <v>1.6</v>
      </c>
      <c r="I832" t="s">
        <v>22</v>
      </c>
      <c r="J832">
        <v>7</v>
      </c>
      <c r="K832">
        <v>7</v>
      </c>
      <c r="L832">
        <v>10</v>
      </c>
      <c r="M832">
        <v>0</v>
      </c>
    </row>
    <row r="833" spans="1:13" x14ac:dyDescent="0.25">
      <c r="A833">
        <v>16</v>
      </c>
      <c r="B833" t="s">
        <v>19</v>
      </c>
      <c r="C833">
        <v>7.8</v>
      </c>
      <c r="D833" t="s">
        <v>20</v>
      </c>
      <c r="E833">
        <v>4.7</v>
      </c>
      <c r="F833">
        <v>1.1000000000000001</v>
      </c>
      <c r="G833">
        <v>3.53</v>
      </c>
      <c r="H833">
        <v>2</v>
      </c>
      <c r="I833" t="s">
        <v>22</v>
      </c>
      <c r="J833">
        <v>9</v>
      </c>
      <c r="K833">
        <v>3</v>
      </c>
      <c r="L833">
        <v>8</v>
      </c>
      <c r="M833">
        <v>0</v>
      </c>
    </row>
    <row r="834" spans="1:13" x14ac:dyDescent="0.25">
      <c r="A834">
        <v>15</v>
      </c>
      <c r="B834" t="s">
        <v>19</v>
      </c>
      <c r="C834">
        <v>4.8</v>
      </c>
      <c r="D834" t="s">
        <v>20</v>
      </c>
      <c r="E834">
        <v>7.3</v>
      </c>
      <c r="F834">
        <v>1.9</v>
      </c>
      <c r="G834">
        <v>2.76</v>
      </c>
      <c r="H834">
        <v>0.9</v>
      </c>
      <c r="I834" t="s">
        <v>21</v>
      </c>
      <c r="J834">
        <v>2</v>
      </c>
      <c r="K834">
        <v>10</v>
      </c>
      <c r="L834">
        <v>1</v>
      </c>
      <c r="M834">
        <v>0</v>
      </c>
    </row>
    <row r="835" spans="1:13" x14ac:dyDescent="0.25">
      <c r="A835">
        <v>16</v>
      </c>
      <c r="B835" t="s">
        <v>19</v>
      </c>
      <c r="C835">
        <v>7.4</v>
      </c>
      <c r="D835" t="s">
        <v>20</v>
      </c>
      <c r="E835">
        <v>4.5999999999999996</v>
      </c>
      <c r="F835">
        <v>1</v>
      </c>
      <c r="G835">
        <v>2.23</v>
      </c>
      <c r="H835">
        <v>1.1000000000000001</v>
      </c>
      <c r="I835" t="s">
        <v>18</v>
      </c>
      <c r="J835">
        <v>2</v>
      </c>
      <c r="K835">
        <v>4</v>
      </c>
      <c r="L835">
        <v>5</v>
      </c>
      <c r="M835">
        <v>0</v>
      </c>
    </row>
    <row r="836" spans="1:13" x14ac:dyDescent="0.25">
      <c r="A836">
        <v>18</v>
      </c>
      <c r="B836" t="s">
        <v>16</v>
      </c>
      <c r="C836">
        <v>2.7</v>
      </c>
      <c r="D836" t="s">
        <v>17</v>
      </c>
      <c r="E836">
        <v>7.9</v>
      </c>
      <c r="F836">
        <v>1.2</v>
      </c>
      <c r="G836">
        <v>2.75</v>
      </c>
      <c r="H836">
        <v>1.9</v>
      </c>
      <c r="I836" t="s">
        <v>22</v>
      </c>
      <c r="J836">
        <v>5</v>
      </c>
      <c r="K836">
        <v>8</v>
      </c>
      <c r="L836">
        <v>3</v>
      </c>
      <c r="M836">
        <v>0</v>
      </c>
    </row>
    <row r="837" spans="1:13" x14ac:dyDescent="0.25">
      <c r="A837">
        <v>13</v>
      </c>
      <c r="B837" t="s">
        <v>19</v>
      </c>
      <c r="C837">
        <v>5.3</v>
      </c>
      <c r="D837" t="s">
        <v>20</v>
      </c>
      <c r="E837">
        <v>6.4</v>
      </c>
      <c r="F837">
        <v>1.1000000000000001</v>
      </c>
      <c r="G837">
        <v>3.32</v>
      </c>
      <c r="H837">
        <v>1.9</v>
      </c>
      <c r="I837" t="s">
        <v>22</v>
      </c>
      <c r="J837">
        <v>8</v>
      </c>
      <c r="K837">
        <v>5</v>
      </c>
      <c r="L837">
        <v>10</v>
      </c>
      <c r="M837">
        <v>0</v>
      </c>
    </row>
    <row r="838" spans="1:13" x14ac:dyDescent="0.25">
      <c r="A838">
        <v>16</v>
      </c>
      <c r="B838" t="s">
        <v>19</v>
      </c>
      <c r="C838">
        <v>3.6</v>
      </c>
      <c r="D838" t="s">
        <v>23</v>
      </c>
      <c r="E838">
        <v>4.4000000000000004</v>
      </c>
      <c r="F838">
        <v>2.4</v>
      </c>
      <c r="G838">
        <v>2.5299999999999998</v>
      </c>
      <c r="H838">
        <v>0.7</v>
      </c>
      <c r="I838" t="s">
        <v>22</v>
      </c>
      <c r="J838">
        <v>1</v>
      </c>
      <c r="K838">
        <v>7</v>
      </c>
      <c r="L838">
        <v>5</v>
      </c>
      <c r="M838">
        <v>0</v>
      </c>
    </row>
    <row r="839" spans="1:13" x14ac:dyDescent="0.25">
      <c r="A839">
        <v>18</v>
      </c>
      <c r="B839" t="s">
        <v>16</v>
      </c>
      <c r="C839">
        <v>2.5</v>
      </c>
      <c r="D839" t="s">
        <v>23</v>
      </c>
      <c r="E839">
        <v>5.7</v>
      </c>
      <c r="F839">
        <v>2.1</v>
      </c>
      <c r="G839">
        <v>3.33</v>
      </c>
      <c r="H839">
        <v>0.6</v>
      </c>
      <c r="I839" t="s">
        <v>18</v>
      </c>
      <c r="J839">
        <v>8</v>
      </c>
      <c r="K839">
        <v>4</v>
      </c>
      <c r="L839">
        <v>6</v>
      </c>
      <c r="M839">
        <v>0</v>
      </c>
    </row>
    <row r="840" spans="1:13" x14ac:dyDescent="0.25">
      <c r="A840">
        <v>15</v>
      </c>
      <c r="B840" t="s">
        <v>16</v>
      </c>
      <c r="C840">
        <v>4.5</v>
      </c>
      <c r="D840" t="s">
        <v>23</v>
      </c>
      <c r="E840">
        <v>7</v>
      </c>
      <c r="F840">
        <v>1.5</v>
      </c>
      <c r="G840">
        <v>3.16</v>
      </c>
      <c r="H840">
        <v>1.7</v>
      </c>
      <c r="I840" t="s">
        <v>22</v>
      </c>
      <c r="J840">
        <v>4</v>
      </c>
      <c r="K840">
        <v>7</v>
      </c>
      <c r="L840">
        <v>10</v>
      </c>
      <c r="M840">
        <v>0</v>
      </c>
    </row>
    <row r="841" spans="1:13" x14ac:dyDescent="0.25">
      <c r="A841">
        <v>18</v>
      </c>
      <c r="B841" t="s">
        <v>19</v>
      </c>
      <c r="C841">
        <v>1.9</v>
      </c>
      <c r="D841" t="s">
        <v>23</v>
      </c>
      <c r="E841">
        <v>5.0999999999999996</v>
      </c>
      <c r="F841">
        <v>2.9</v>
      </c>
      <c r="G841">
        <v>2.62</v>
      </c>
      <c r="H841">
        <v>1</v>
      </c>
      <c r="I841" t="s">
        <v>18</v>
      </c>
      <c r="J841">
        <v>4</v>
      </c>
      <c r="K841">
        <v>3</v>
      </c>
      <c r="L841">
        <v>2</v>
      </c>
      <c r="M841">
        <v>0</v>
      </c>
    </row>
    <row r="842" spans="1:13" x14ac:dyDescent="0.25">
      <c r="A842">
        <v>17</v>
      </c>
      <c r="B842" t="s">
        <v>16</v>
      </c>
      <c r="C842">
        <v>3.8</v>
      </c>
      <c r="D842" t="s">
        <v>17</v>
      </c>
      <c r="E842">
        <v>7.7</v>
      </c>
      <c r="F842">
        <v>0.7</v>
      </c>
      <c r="G842">
        <v>3.45</v>
      </c>
      <c r="H842">
        <v>1</v>
      </c>
      <c r="I842" t="s">
        <v>18</v>
      </c>
      <c r="J842">
        <v>2</v>
      </c>
      <c r="K842">
        <v>8</v>
      </c>
      <c r="L842">
        <v>9</v>
      </c>
      <c r="M842">
        <v>0</v>
      </c>
    </row>
    <row r="843" spans="1:13" x14ac:dyDescent="0.25">
      <c r="A843">
        <v>18</v>
      </c>
      <c r="B843" t="s">
        <v>19</v>
      </c>
      <c r="C843">
        <v>3.9</v>
      </c>
      <c r="D843" t="s">
        <v>23</v>
      </c>
      <c r="E843">
        <v>4</v>
      </c>
      <c r="F843">
        <v>1.8</v>
      </c>
      <c r="G843">
        <v>2.19</v>
      </c>
      <c r="H843">
        <v>1.4</v>
      </c>
      <c r="I843" t="s">
        <v>21</v>
      </c>
      <c r="J843">
        <v>1</v>
      </c>
      <c r="K843">
        <v>2</v>
      </c>
      <c r="L843">
        <v>5</v>
      </c>
      <c r="M843">
        <v>0</v>
      </c>
    </row>
    <row r="844" spans="1:13" x14ac:dyDescent="0.25">
      <c r="A844">
        <v>17</v>
      </c>
      <c r="B844" t="s">
        <v>19</v>
      </c>
      <c r="C844">
        <v>1.1000000000000001</v>
      </c>
      <c r="D844" t="s">
        <v>23</v>
      </c>
      <c r="E844">
        <v>8.6999999999999993</v>
      </c>
      <c r="F844">
        <v>2.1</v>
      </c>
      <c r="G844">
        <v>3.01</v>
      </c>
      <c r="H844">
        <v>0.7</v>
      </c>
      <c r="I844" t="s">
        <v>22</v>
      </c>
      <c r="J844">
        <v>1</v>
      </c>
      <c r="K844">
        <v>1</v>
      </c>
      <c r="L844">
        <v>3</v>
      </c>
      <c r="M844">
        <v>0</v>
      </c>
    </row>
    <row r="845" spans="1:13" x14ac:dyDescent="0.25">
      <c r="A845">
        <v>15</v>
      </c>
      <c r="B845" t="s">
        <v>19</v>
      </c>
      <c r="C845">
        <v>3.9</v>
      </c>
      <c r="D845" t="s">
        <v>23</v>
      </c>
      <c r="E845">
        <v>8.6999999999999993</v>
      </c>
      <c r="F845">
        <v>1.1000000000000001</v>
      </c>
      <c r="G845">
        <v>2.82</v>
      </c>
      <c r="H845">
        <v>0.3</v>
      </c>
      <c r="I845" t="s">
        <v>21</v>
      </c>
      <c r="J845">
        <v>5</v>
      </c>
      <c r="K845">
        <v>10</v>
      </c>
      <c r="L845">
        <v>6</v>
      </c>
      <c r="M845">
        <v>0</v>
      </c>
    </row>
    <row r="846" spans="1:13" x14ac:dyDescent="0.25">
      <c r="A846">
        <v>16</v>
      </c>
      <c r="B846" t="s">
        <v>16</v>
      </c>
      <c r="C846">
        <v>8</v>
      </c>
      <c r="D846" t="s">
        <v>17</v>
      </c>
      <c r="E846">
        <v>8.1</v>
      </c>
      <c r="F846">
        <v>2.5</v>
      </c>
      <c r="G846">
        <v>2.7</v>
      </c>
      <c r="H846">
        <v>1.7</v>
      </c>
      <c r="I846" t="s">
        <v>22</v>
      </c>
      <c r="J846">
        <v>4</v>
      </c>
      <c r="K846">
        <v>5</v>
      </c>
      <c r="L846">
        <v>7</v>
      </c>
      <c r="M846">
        <v>0</v>
      </c>
    </row>
    <row r="847" spans="1:13" x14ac:dyDescent="0.25">
      <c r="A847">
        <v>14</v>
      </c>
      <c r="B847" t="s">
        <v>19</v>
      </c>
      <c r="C847">
        <v>1.2</v>
      </c>
      <c r="D847" t="s">
        <v>20</v>
      </c>
      <c r="E847">
        <v>8.5</v>
      </c>
      <c r="F847">
        <v>2.2999999999999998</v>
      </c>
      <c r="G847">
        <v>3.91</v>
      </c>
      <c r="H847">
        <v>1.8</v>
      </c>
      <c r="I847" t="s">
        <v>21</v>
      </c>
      <c r="J847">
        <v>1</v>
      </c>
      <c r="K847">
        <v>8</v>
      </c>
      <c r="L847">
        <v>1</v>
      </c>
      <c r="M847">
        <v>0</v>
      </c>
    </row>
    <row r="848" spans="1:13" x14ac:dyDescent="0.25">
      <c r="A848">
        <v>15</v>
      </c>
      <c r="B848" t="s">
        <v>16</v>
      </c>
      <c r="C848">
        <v>2.2000000000000002</v>
      </c>
      <c r="D848" t="s">
        <v>17</v>
      </c>
      <c r="E848">
        <v>6.1</v>
      </c>
      <c r="F848">
        <v>0.9</v>
      </c>
      <c r="G848">
        <v>3.81</v>
      </c>
      <c r="H848">
        <v>0.1</v>
      </c>
      <c r="I848" t="s">
        <v>21</v>
      </c>
      <c r="J848">
        <v>2</v>
      </c>
      <c r="K848">
        <v>7</v>
      </c>
      <c r="L848">
        <v>3</v>
      </c>
      <c r="M848">
        <v>0</v>
      </c>
    </row>
    <row r="849" spans="1:13" x14ac:dyDescent="0.25">
      <c r="A849">
        <v>15</v>
      </c>
      <c r="B849" t="s">
        <v>19</v>
      </c>
      <c r="C849">
        <v>4.2</v>
      </c>
      <c r="D849" t="s">
        <v>20</v>
      </c>
      <c r="E849">
        <v>6.8</v>
      </c>
      <c r="F849">
        <v>1.4</v>
      </c>
      <c r="G849">
        <v>2.0099999999999998</v>
      </c>
      <c r="H849">
        <v>1</v>
      </c>
      <c r="I849" t="s">
        <v>18</v>
      </c>
      <c r="J849">
        <v>6</v>
      </c>
      <c r="K849">
        <v>6</v>
      </c>
      <c r="L849">
        <v>4</v>
      </c>
      <c r="M849">
        <v>0</v>
      </c>
    </row>
    <row r="850" spans="1:13" x14ac:dyDescent="0.25">
      <c r="A850">
        <v>19</v>
      </c>
      <c r="B850" t="s">
        <v>16</v>
      </c>
      <c r="C850">
        <v>6</v>
      </c>
      <c r="D850" t="s">
        <v>23</v>
      </c>
      <c r="E850">
        <v>5.6</v>
      </c>
      <c r="F850">
        <v>1.1000000000000001</v>
      </c>
      <c r="G850">
        <v>2.4300000000000002</v>
      </c>
      <c r="H850">
        <v>1.7</v>
      </c>
      <c r="I850" t="s">
        <v>22</v>
      </c>
      <c r="J850">
        <v>1</v>
      </c>
      <c r="K850">
        <v>3</v>
      </c>
      <c r="L850">
        <v>3</v>
      </c>
      <c r="M850">
        <v>0</v>
      </c>
    </row>
    <row r="851" spans="1:13" x14ac:dyDescent="0.25">
      <c r="A851">
        <v>19</v>
      </c>
      <c r="B851" t="s">
        <v>16</v>
      </c>
      <c r="C851">
        <v>5.4</v>
      </c>
      <c r="D851" t="s">
        <v>17</v>
      </c>
      <c r="E851">
        <v>4.9000000000000004</v>
      </c>
      <c r="F851">
        <v>0.6</v>
      </c>
      <c r="G851">
        <v>3.17</v>
      </c>
      <c r="H851">
        <v>0</v>
      </c>
      <c r="I851" t="s">
        <v>18</v>
      </c>
      <c r="J851">
        <v>5</v>
      </c>
      <c r="K851">
        <v>6</v>
      </c>
      <c r="L851">
        <v>10</v>
      </c>
      <c r="M851">
        <v>0</v>
      </c>
    </row>
    <row r="852" spans="1:13" x14ac:dyDescent="0.25">
      <c r="A852">
        <v>15</v>
      </c>
      <c r="B852" t="s">
        <v>19</v>
      </c>
      <c r="C852">
        <v>2.7</v>
      </c>
      <c r="D852" t="s">
        <v>20</v>
      </c>
      <c r="E852">
        <v>7.6</v>
      </c>
      <c r="F852">
        <v>2.5</v>
      </c>
      <c r="G852">
        <v>2.37</v>
      </c>
      <c r="H852">
        <v>1.9</v>
      </c>
      <c r="I852" t="s">
        <v>21</v>
      </c>
      <c r="J852">
        <v>1</v>
      </c>
      <c r="K852">
        <v>8</v>
      </c>
      <c r="L852">
        <v>7</v>
      </c>
      <c r="M852">
        <v>0</v>
      </c>
    </row>
    <row r="853" spans="1:13" x14ac:dyDescent="0.25">
      <c r="A853">
        <v>19</v>
      </c>
      <c r="B853" t="s">
        <v>19</v>
      </c>
      <c r="C853">
        <v>1.9</v>
      </c>
      <c r="D853" t="s">
        <v>23</v>
      </c>
      <c r="E853">
        <v>6.2</v>
      </c>
      <c r="F853">
        <v>0.9</v>
      </c>
      <c r="G853">
        <v>2.4700000000000002</v>
      </c>
      <c r="H853">
        <v>1.4</v>
      </c>
      <c r="I853" t="s">
        <v>18</v>
      </c>
      <c r="J853">
        <v>5</v>
      </c>
      <c r="K853">
        <v>6</v>
      </c>
      <c r="L853">
        <v>7</v>
      </c>
      <c r="M853">
        <v>0</v>
      </c>
    </row>
    <row r="854" spans="1:13" x14ac:dyDescent="0.25">
      <c r="A854">
        <v>14</v>
      </c>
      <c r="B854" t="s">
        <v>16</v>
      </c>
      <c r="C854">
        <v>1.5</v>
      </c>
      <c r="D854" t="s">
        <v>23</v>
      </c>
      <c r="E854">
        <v>6.8</v>
      </c>
      <c r="F854">
        <v>0.8</v>
      </c>
      <c r="G854">
        <v>3.14</v>
      </c>
      <c r="H854">
        <v>0</v>
      </c>
      <c r="I854" t="s">
        <v>22</v>
      </c>
      <c r="J854">
        <v>4</v>
      </c>
      <c r="K854">
        <v>5</v>
      </c>
      <c r="L854">
        <v>8</v>
      </c>
      <c r="M854">
        <v>0</v>
      </c>
    </row>
    <row r="855" spans="1:13" x14ac:dyDescent="0.25">
      <c r="A855">
        <v>17</v>
      </c>
      <c r="B855" t="s">
        <v>19</v>
      </c>
      <c r="C855">
        <v>2.6</v>
      </c>
      <c r="D855" t="s">
        <v>20</v>
      </c>
      <c r="E855">
        <v>4.8</v>
      </c>
      <c r="F855">
        <v>0.7</v>
      </c>
      <c r="G855">
        <v>2.52</v>
      </c>
      <c r="H855">
        <v>1.8</v>
      </c>
      <c r="I855" t="s">
        <v>22</v>
      </c>
      <c r="J855">
        <v>9</v>
      </c>
      <c r="K855">
        <v>6</v>
      </c>
      <c r="L855">
        <v>6</v>
      </c>
      <c r="M855">
        <v>0</v>
      </c>
    </row>
    <row r="856" spans="1:13" x14ac:dyDescent="0.25">
      <c r="A856">
        <v>16</v>
      </c>
      <c r="B856" t="s">
        <v>16</v>
      </c>
      <c r="C856">
        <v>1.2</v>
      </c>
      <c r="D856" t="s">
        <v>17</v>
      </c>
      <c r="E856">
        <v>7.3</v>
      </c>
      <c r="F856">
        <v>1</v>
      </c>
      <c r="G856">
        <v>2.36</v>
      </c>
      <c r="H856">
        <v>1.1000000000000001</v>
      </c>
      <c r="I856" t="s">
        <v>22</v>
      </c>
      <c r="J856">
        <v>5</v>
      </c>
      <c r="K856">
        <v>3</v>
      </c>
      <c r="L856">
        <v>6</v>
      </c>
      <c r="M856">
        <v>0</v>
      </c>
    </row>
    <row r="857" spans="1:13" x14ac:dyDescent="0.25">
      <c r="A857">
        <v>18</v>
      </c>
      <c r="B857" t="s">
        <v>19</v>
      </c>
      <c r="C857">
        <v>1.8</v>
      </c>
      <c r="D857" t="s">
        <v>23</v>
      </c>
      <c r="E857">
        <v>7.8</v>
      </c>
      <c r="F857">
        <v>2</v>
      </c>
      <c r="G857">
        <v>2.67</v>
      </c>
      <c r="H857">
        <v>0.8</v>
      </c>
      <c r="I857" t="s">
        <v>18</v>
      </c>
      <c r="J857">
        <v>4</v>
      </c>
      <c r="K857">
        <v>6</v>
      </c>
      <c r="L857">
        <v>3</v>
      </c>
      <c r="M857">
        <v>0</v>
      </c>
    </row>
    <row r="858" spans="1:13" x14ac:dyDescent="0.25">
      <c r="A858">
        <v>19</v>
      </c>
      <c r="B858" t="s">
        <v>16</v>
      </c>
      <c r="C858">
        <v>4.8</v>
      </c>
      <c r="D858" t="s">
        <v>23</v>
      </c>
      <c r="E858">
        <v>7.5</v>
      </c>
      <c r="F858">
        <v>1</v>
      </c>
      <c r="G858">
        <v>2.68</v>
      </c>
      <c r="H858">
        <v>1.5</v>
      </c>
      <c r="I858" t="s">
        <v>18</v>
      </c>
      <c r="J858">
        <v>9</v>
      </c>
      <c r="K858">
        <v>4</v>
      </c>
      <c r="L858">
        <v>6</v>
      </c>
      <c r="M858">
        <v>0</v>
      </c>
    </row>
    <row r="859" spans="1:13" x14ac:dyDescent="0.25">
      <c r="A859">
        <v>19</v>
      </c>
      <c r="B859" t="s">
        <v>16</v>
      </c>
      <c r="C859">
        <v>2.1</v>
      </c>
      <c r="D859" t="s">
        <v>23</v>
      </c>
      <c r="E859">
        <v>5.6</v>
      </c>
      <c r="F859">
        <v>2.4</v>
      </c>
      <c r="G859">
        <v>3.56</v>
      </c>
      <c r="H859">
        <v>1</v>
      </c>
      <c r="I859" t="s">
        <v>21</v>
      </c>
      <c r="J859">
        <v>9</v>
      </c>
      <c r="K859">
        <v>3</v>
      </c>
      <c r="L859">
        <v>4</v>
      </c>
      <c r="M859">
        <v>0</v>
      </c>
    </row>
    <row r="860" spans="1:13" x14ac:dyDescent="0.25">
      <c r="A860">
        <v>15</v>
      </c>
      <c r="B860" t="s">
        <v>16</v>
      </c>
      <c r="C860">
        <v>4.4000000000000004</v>
      </c>
      <c r="D860" t="s">
        <v>17</v>
      </c>
      <c r="E860">
        <v>6</v>
      </c>
      <c r="F860">
        <v>0.5</v>
      </c>
      <c r="G860">
        <v>3.33</v>
      </c>
      <c r="H860">
        <v>0.7</v>
      </c>
      <c r="I860" t="s">
        <v>22</v>
      </c>
      <c r="J860">
        <v>1</v>
      </c>
      <c r="K860">
        <v>6</v>
      </c>
      <c r="L860">
        <v>10</v>
      </c>
      <c r="M860">
        <v>0</v>
      </c>
    </row>
    <row r="861" spans="1:13" x14ac:dyDescent="0.25">
      <c r="A861">
        <v>14</v>
      </c>
      <c r="B861" t="s">
        <v>16</v>
      </c>
      <c r="C861">
        <v>2.8</v>
      </c>
      <c r="D861" t="s">
        <v>23</v>
      </c>
      <c r="E861">
        <v>4.3</v>
      </c>
      <c r="F861">
        <v>3</v>
      </c>
      <c r="G861">
        <v>2.14</v>
      </c>
      <c r="H861">
        <v>1.9</v>
      </c>
      <c r="I861" t="s">
        <v>22</v>
      </c>
      <c r="J861">
        <v>9</v>
      </c>
      <c r="K861">
        <v>3</v>
      </c>
      <c r="L861">
        <v>7</v>
      </c>
      <c r="M861">
        <v>0</v>
      </c>
    </row>
    <row r="862" spans="1:13" x14ac:dyDescent="0.25">
      <c r="A862">
        <v>15</v>
      </c>
      <c r="B862" t="s">
        <v>16</v>
      </c>
      <c r="C862">
        <v>3.5</v>
      </c>
      <c r="D862" t="s">
        <v>20</v>
      </c>
      <c r="E862">
        <v>4.5</v>
      </c>
      <c r="F862">
        <v>2.7</v>
      </c>
      <c r="G862">
        <v>2.4700000000000002</v>
      </c>
      <c r="H862">
        <v>1.4</v>
      </c>
      <c r="I862" t="s">
        <v>18</v>
      </c>
      <c r="J862">
        <v>1</v>
      </c>
      <c r="K862">
        <v>5</v>
      </c>
      <c r="L862">
        <v>10</v>
      </c>
      <c r="M862">
        <v>0</v>
      </c>
    </row>
    <row r="863" spans="1:13" x14ac:dyDescent="0.25">
      <c r="A863">
        <v>15</v>
      </c>
      <c r="B863" t="s">
        <v>16</v>
      </c>
      <c r="C863">
        <v>6.8</v>
      </c>
      <c r="D863" t="s">
        <v>23</v>
      </c>
      <c r="E863">
        <v>6.6</v>
      </c>
      <c r="F863">
        <v>2.1</v>
      </c>
      <c r="G863">
        <v>3.43</v>
      </c>
      <c r="H863">
        <v>1.7</v>
      </c>
      <c r="I863" t="s">
        <v>18</v>
      </c>
      <c r="J863">
        <v>10</v>
      </c>
      <c r="K863">
        <v>10</v>
      </c>
      <c r="L863">
        <v>8</v>
      </c>
      <c r="M863">
        <v>0</v>
      </c>
    </row>
    <row r="864" spans="1:13" x14ac:dyDescent="0.25">
      <c r="A864">
        <v>14</v>
      </c>
      <c r="B864" t="s">
        <v>16</v>
      </c>
      <c r="C864">
        <v>7</v>
      </c>
      <c r="D864" t="s">
        <v>17</v>
      </c>
      <c r="E864">
        <v>5.2</v>
      </c>
      <c r="F864">
        <v>1.4</v>
      </c>
      <c r="G864">
        <v>3.27</v>
      </c>
      <c r="H864">
        <v>1.7</v>
      </c>
      <c r="I864" t="s">
        <v>22</v>
      </c>
      <c r="J864">
        <v>5</v>
      </c>
      <c r="K864">
        <v>7</v>
      </c>
      <c r="L864">
        <v>8</v>
      </c>
      <c r="M864">
        <v>0</v>
      </c>
    </row>
    <row r="865" spans="1:13" x14ac:dyDescent="0.25">
      <c r="A865">
        <v>17</v>
      </c>
      <c r="B865" t="s">
        <v>19</v>
      </c>
      <c r="C865">
        <v>7.5</v>
      </c>
      <c r="D865" t="s">
        <v>23</v>
      </c>
      <c r="E865">
        <v>8.1</v>
      </c>
      <c r="F865">
        <v>2.8</v>
      </c>
      <c r="G865">
        <v>2.58</v>
      </c>
      <c r="H865">
        <v>0.5</v>
      </c>
      <c r="I865" t="s">
        <v>22</v>
      </c>
      <c r="J865">
        <v>2</v>
      </c>
      <c r="K865">
        <v>2</v>
      </c>
      <c r="L865">
        <v>3</v>
      </c>
      <c r="M865">
        <v>0</v>
      </c>
    </row>
    <row r="866" spans="1:13" x14ac:dyDescent="0.25">
      <c r="A866">
        <v>17</v>
      </c>
      <c r="B866" t="s">
        <v>19</v>
      </c>
      <c r="C866">
        <v>2.5</v>
      </c>
      <c r="D866" t="s">
        <v>17</v>
      </c>
      <c r="E866">
        <v>4.4000000000000004</v>
      </c>
      <c r="F866">
        <v>2</v>
      </c>
      <c r="G866">
        <v>3.29</v>
      </c>
      <c r="H866">
        <v>0.7</v>
      </c>
      <c r="I866" t="s">
        <v>18</v>
      </c>
      <c r="J866">
        <v>4</v>
      </c>
      <c r="K866">
        <v>6</v>
      </c>
      <c r="L866">
        <v>5</v>
      </c>
      <c r="M866">
        <v>0</v>
      </c>
    </row>
    <row r="867" spans="1:13" x14ac:dyDescent="0.25">
      <c r="A867">
        <v>15</v>
      </c>
      <c r="B867" t="s">
        <v>16</v>
      </c>
      <c r="C867">
        <v>6.5</v>
      </c>
      <c r="D867" t="s">
        <v>20</v>
      </c>
      <c r="E867">
        <v>5.4</v>
      </c>
      <c r="F867">
        <v>2.1</v>
      </c>
      <c r="G867">
        <v>3.44</v>
      </c>
      <c r="H867">
        <v>1.8</v>
      </c>
      <c r="I867" t="s">
        <v>18</v>
      </c>
      <c r="J867">
        <v>7</v>
      </c>
      <c r="K867">
        <v>3</v>
      </c>
      <c r="L867">
        <v>6</v>
      </c>
      <c r="M867">
        <v>0</v>
      </c>
    </row>
    <row r="868" spans="1:13" x14ac:dyDescent="0.25">
      <c r="A868">
        <v>13</v>
      </c>
      <c r="B868" t="s">
        <v>16</v>
      </c>
      <c r="C868">
        <v>7.7</v>
      </c>
      <c r="D868" t="s">
        <v>17</v>
      </c>
      <c r="E868">
        <v>4.4000000000000004</v>
      </c>
      <c r="F868">
        <v>2</v>
      </c>
      <c r="G868">
        <v>3.09</v>
      </c>
      <c r="H868">
        <v>1</v>
      </c>
      <c r="I868" t="s">
        <v>21</v>
      </c>
      <c r="J868">
        <v>8</v>
      </c>
      <c r="K868">
        <v>7</v>
      </c>
      <c r="L868">
        <v>8</v>
      </c>
      <c r="M868">
        <v>1</v>
      </c>
    </row>
    <row r="869" spans="1:13" x14ac:dyDescent="0.25">
      <c r="A869">
        <v>18</v>
      </c>
      <c r="B869" t="s">
        <v>19</v>
      </c>
      <c r="C869">
        <v>3.2</v>
      </c>
      <c r="D869" t="s">
        <v>23</v>
      </c>
      <c r="E869">
        <v>7.8</v>
      </c>
      <c r="F869">
        <v>0.7</v>
      </c>
      <c r="G869">
        <v>3.46</v>
      </c>
      <c r="H869">
        <v>1.3</v>
      </c>
      <c r="I869" t="s">
        <v>18</v>
      </c>
      <c r="J869">
        <v>5</v>
      </c>
      <c r="K869">
        <v>10</v>
      </c>
      <c r="L869">
        <v>6</v>
      </c>
      <c r="M869">
        <v>0</v>
      </c>
    </row>
    <row r="870" spans="1:13" x14ac:dyDescent="0.25">
      <c r="A870">
        <v>16</v>
      </c>
      <c r="B870" t="s">
        <v>19</v>
      </c>
      <c r="C870">
        <v>5.3</v>
      </c>
      <c r="D870" t="s">
        <v>20</v>
      </c>
      <c r="E870">
        <v>4.3</v>
      </c>
      <c r="F870">
        <v>1.5</v>
      </c>
      <c r="G870">
        <v>2.54</v>
      </c>
      <c r="H870">
        <v>0.3</v>
      </c>
      <c r="I870" t="s">
        <v>21</v>
      </c>
      <c r="J870">
        <v>7</v>
      </c>
      <c r="K870">
        <v>7</v>
      </c>
      <c r="L870">
        <v>10</v>
      </c>
      <c r="M870">
        <v>1</v>
      </c>
    </row>
    <row r="871" spans="1:13" x14ac:dyDescent="0.25">
      <c r="A871">
        <v>14</v>
      </c>
      <c r="B871" t="s">
        <v>16</v>
      </c>
      <c r="C871">
        <v>5</v>
      </c>
      <c r="D871" t="s">
        <v>20</v>
      </c>
      <c r="E871">
        <v>5.2</v>
      </c>
      <c r="F871">
        <v>0.5</v>
      </c>
      <c r="G871">
        <v>3.55</v>
      </c>
      <c r="H871">
        <v>0.4</v>
      </c>
      <c r="I871" t="s">
        <v>18</v>
      </c>
      <c r="J871">
        <v>10</v>
      </c>
      <c r="K871">
        <v>6</v>
      </c>
      <c r="L871">
        <v>8</v>
      </c>
      <c r="M871">
        <v>0</v>
      </c>
    </row>
    <row r="872" spans="1:13" x14ac:dyDescent="0.25">
      <c r="A872">
        <v>19</v>
      </c>
      <c r="B872" t="s">
        <v>16</v>
      </c>
      <c r="C872">
        <v>6.1</v>
      </c>
      <c r="D872" t="s">
        <v>17</v>
      </c>
      <c r="E872">
        <v>7.1</v>
      </c>
      <c r="F872">
        <v>2.2999999999999998</v>
      </c>
      <c r="G872">
        <v>3.22</v>
      </c>
      <c r="H872">
        <v>0.5</v>
      </c>
      <c r="I872" t="s">
        <v>18</v>
      </c>
      <c r="J872">
        <v>4</v>
      </c>
      <c r="K872">
        <v>3</v>
      </c>
      <c r="L872">
        <v>7</v>
      </c>
      <c r="M872">
        <v>0</v>
      </c>
    </row>
    <row r="873" spans="1:13" x14ac:dyDescent="0.25">
      <c r="A873">
        <v>17</v>
      </c>
      <c r="B873" t="s">
        <v>16</v>
      </c>
      <c r="C873">
        <v>4.2</v>
      </c>
      <c r="D873" t="s">
        <v>20</v>
      </c>
      <c r="E873">
        <v>7.3</v>
      </c>
      <c r="F873">
        <v>2.6</v>
      </c>
      <c r="G873">
        <v>3.2</v>
      </c>
      <c r="H873">
        <v>0.2</v>
      </c>
      <c r="I873" t="s">
        <v>21</v>
      </c>
      <c r="J873">
        <v>7</v>
      </c>
      <c r="K873">
        <v>1</v>
      </c>
      <c r="L873">
        <v>3</v>
      </c>
      <c r="M873">
        <v>0</v>
      </c>
    </row>
    <row r="874" spans="1:13" x14ac:dyDescent="0.25">
      <c r="A874">
        <v>15</v>
      </c>
      <c r="B874" t="s">
        <v>16</v>
      </c>
      <c r="C874">
        <v>4.7</v>
      </c>
      <c r="D874" t="s">
        <v>17</v>
      </c>
      <c r="E874">
        <v>8.1999999999999993</v>
      </c>
      <c r="F874">
        <v>2.2999999999999998</v>
      </c>
      <c r="G874">
        <v>3.35</v>
      </c>
      <c r="H874">
        <v>0.6</v>
      </c>
      <c r="I874" t="s">
        <v>18</v>
      </c>
      <c r="J874">
        <v>6</v>
      </c>
      <c r="K874">
        <v>2</v>
      </c>
      <c r="L874">
        <v>5</v>
      </c>
      <c r="M874">
        <v>0</v>
      </c>
    </row>
    <row r="875" spans="1:13" x14ac:dyDescent="0.25">
      <c r="A875">
        <v>18</v>
      </c>
      <c r="B875" t="s">
        <v>16</v>
      </c>
      <c r="C875">
        <v>1.6</v>
      </c>
      <c r="D875" t="s">
        <v>20</v>
      </c>
      <c r="E875">
        <v>5.8</v>
      </c>
      <c r="F875">
        <v>0.6</v>
      </c>
      <c r="G875">
        <v>3.63</v>
      </c>
      <c r="H875">
        <v>1.1000000000000001</v>
      </c>
      <c r="I875" t="s">
        <v>21</v>
      </c>
      <c r="J875">
        <v>6</v>
      </c>
      <c r="K875">
        <v>9</v>
      </c>
      <c r="L875">
        <v>7</v>
      </c>
      <c r="M875">
        <v>0</v>
      </c>
    </row>
    <row r="876" spans="1:13" x14ac:dyDescent="0.25">
      <c r="A876">
        <v>14</v>
      </c>
      <c r="B876" t="s">
        <v>19</v>
      </c>
      <c r="C876">
        <v>1.7</v>
      </c>
      <c r="D876" t="s">
        <v>20</v>
      </c>
      <c r="E876">
        <v>6.5</v>
      </c>
      <c r="F876">
        <v>2.7</v>
      </c>
      <c r="G876">
        <v>2.06</v>
      </c>
      <c r="H876">
        <v>0.1</v>
      </c>
      <c r="I876" t="s">
        <v>22</v>
      </c>
      <c r="J876">
        <v>9</v>
      </c>
      <c r="K876">
        <v>5</v>
      </c>
      <c r="L876">
        <v>9</v>
      </c>
      <c r="M876">
        <v>0</v>
      </c>
    </row>
    <row r="877" spans="1:13" x14ac:dyDescent="0.25">
      <c r="A877">
        <v>18</v>
      </c>
      <c r="B877" t="s">
        <v>16</v>
      </c>
      <c r="C877">
        <v>4.5999999999999996</v>
      </c>
      <c r="D877" t="s">
        <v>17</v>
      </c>
      <c r="E877">
        <v>4.0999999999999996</v>
      </c>
      <c r="F877">
        <v>1.4</v>
      </c>
      <c r="G877">
        <v>2.2799999999999998</v>
      </c>
      <c r="H877">
        <v>0.4</v>
      </c>
      <c r="I877" t="s">
        <v>22</v>
      </c>
      <c r="J877">
        <v>4</v>
      </c>
      <c r="K877">
        <v>10</v>
      </c>
      <c r="L877">
        <v>10</v>
      </c>
      <c r="M877">
        <v>0</v>
      </c>
    </row>
    <row r="878" spans="1:13" x14ac:dyDescent="0.25">
      <c r="A878">
        <v>13</v>
      </c>
      <c r="B878" t="s">
        <v>19</v>
      </c>
      <c r="C878">
        <v>2.5</v>
      </c>
      <c r="D878" t="s">
        <v>20</v>
      </c>
      <c r="E878">
        <v>6.8</v>
      </c>
      <c r="F878">
        <v>2.8</v>
      </c>
      <c r="G878">
        <v>2.77</v>
      </c>
      <c r="H878">
        <v>0.5</v>
      </c>
      <c r="I878" t="s">
        <v>18</v>
      </c>
      <c r="J878">
        <v>2</v>
      </c>
      <c r="K878">
        <v>6</v>
      </c>
      <c r="L878">
        <v>10</v>
      </c>
      <c r="M878">
        <v>0</v>
      </c>
    </row>
    <row r="879" spans="1:13" x14ac:dyDescent="0.25">
      <c r="A879">
        <v>16</v>
      </c>
      <c r="B879" t="s">
        <v>19</v>
      </c>
      <c r="C879">
        <v>4.2</v>
      </c>
      <c r="D879" t="s">
        <v>20</v>
      </c>
      <c r="E879">
        <v>6.3</v>
      </c>
      <c r="F879">
        <v>1.2</v>
      </c>
      <c r="G879">
        <v>3.72</v>
      </c>
      <c r="H879">
        <v>1.9</v>
      </c>
      <c r="I879" t="s">
        <v>18</v>
      </c>
      <c r="J879">
        <v>5</v>
      </c>
      <c r="K879">
        <v>3</v>
      </c>
      <c r="L879">
        <v>7</v>
      </c>
      <c r="M879">
        <v>0</v>
      </c>
    </row>
    <row r="880" spans="1:13" x14ac:dyDescent="0.25">
      <c r="A880">
        <v>19</v>
      </c>
      <c r="B880" t="s">
        <v>19</v>
      </c>
      <c r="C880">
        <v>1.2</v>
      </c>
      <c r="D880" t="s">
        <v>20</v>
      </c>
      <c r="E880">
        <v>4.8</v>
      </c>
      <c r="F880">
        <v>1.7</v>
      </c>
      <c r="G880">
        <v>2.16</v>
      </c>
      <c r="H880">
        <v>0.6</v>
      </c>
      <c r="I880" t="s">
        <v>22</v>
      </c>
      <c r="J880">
        <v>10</v>
      </c>
      <c r="K880">
        <v>10</v>
      </c>
      <c r="L880">
        <v>10</v>
      </c>
      <c r="M880">
        <v>0</v>
      </c>
    </row>
    <row r="881" spans="1:13" x14ac:dyDescent="0.25">
      <c r="A881">
        <v>15</v>
      </c>
      <c r="B881" t="s">
        <v>16</v>
      </c>
      <c r="C881">
        <v>2.7</v>
      </c>
      <c r="D881" t="s">
        <v>17</v>
      </c>
      <c r="E881">
        <v>7.2</v>
      </c>
      <c r="F881">
        <v>2.9</v>
      </c>
      <c r="G881">
        <v>3.27</v>
      </c>
      <c r="H881">
        <v>0.8</v>
      </c>
      <c r="I881" t="s">
        <v>22</v>
      </c>
      <c r="J881">
        <v>5</v>
      </c>
      <c r="K881">
        <v>2</v>
      </c>
      <c r="L881">
        <v>9</v>
      </c>
      <c r="M881">
        <v>0</v>
      </c>
    </row>
    <row r="882" spans="1:13" x14ac:dyDescent="0.25">
      <c r="A882">
        <v>13</v>
      </c>
      <c r="B882" t="s">
        <v>16</v>
      </c>
      <c r="C882">
        <v>1.5</v>
      </c>
      <c r="D882" t="s">
        <v>23</v>
      </c>
      <c r="E882">
        <v>5.2</v>
      </c>
      <c r="F882">
        <v>0.8</v>
      </c>
      <c r="G882">
        <v>2.16</v>
      </c>
      <c r="H882">
        <v>0.9</v>
      </c>
      <c r="I882" t="s">
        <v>22</v>
      </c>
      <c r="J882">
        <v>10</v>
      </c>
      <c r="K882">
        <v>6</v>
      </c>
      <c r="L882">
        <v>8</v>
      </c>
      <c r="M882">
        <v>0</v>
      </c>
    </row>
    <row r="883" spans="1:13" x14ac:dyDescent="0.25">
      <c r="A883">
        <v>15</v>
      </c>
      <c r="B883" t="s">
        <v>16</v>
      </c>
      <c r="C883">
        <v>3.2</v>
      </c>
      <c r="D883" t="s">
        <v>17</v>
      </c>
      <c r="E883">
        <v>5.6</v>
      </c>
      <c r="F883">
        <v>0.7</v>
      </c>
      <c r="G883">
        <v>3.1</v>
      </c>
      <c r="H883">
        <v>1.5</v>
      </c>
      <c r="I883" t="s">
        <v>21</v>
      </c>
      <c r="J883">
        <v>6</v>
      </c>
      <c r="K883">
        <v>3</v>
      </c>
      <c r="L883">
        <v>1</v>
      </c>
      <c r="M883">
        <v>0</v>
      </c>
    </row>
    <row r="884" spans="1:13" x14ac:dyDescent="0.25">
      <c r="A884">
        <v>19</v>
      </c>
      <c r="B884" t="s">
        <v>19</v>
      </c>
      <c r="C884">
        <v>7.3</v>
      </c>
      <c r="D884" t="s">
        <v>23</v>
      </c>
      <c r="E884">
        <v>7.4</v>
      </c>
      <c r="F884">
        <v>1.5</v>
      </c>
      <c r="G884">
        <v>2.84</v>
      </c>
      <c r="H884">
        <v>1</v>
      </c>
      <c r="I884" t="s">
        <v>22</v>
      </c>
      <c r="J884">
        <v>9</v>
      </c>
      <c r="K884">
        <v>8</v>
      </c>
      <c r="L884">
        <v>5</v>
      </c>
      <c r="M884">
        <v>0</v>
      </c>
    </row>
    <row r="885" spans="1:13" x14ac:dyDescent="0.25">
      <c r="A885">
        <v>16</v>
      </c>
      <c r="B885" t="s">
        <v>16</v>
      </c>
      <c r="C885">
        <v>2</v>
      </c>
      <c r="D885" t="s">
        <v>17</v>
      </c>
      <c r="E885">
        <v>8.1999999999999993</v>
      </c>
      <c r="F885">
        <v>1</v>
      </c>
      <c r="G885">
        <v>3.15</v>
      </c>
      <c r="H885">
        <v>0.9</v>
      </c>
      <c r="I885" t="s">
        <v>22</v>
      </c>
      <c r="J885">
        <v>9</v>
      </c>
      <c r="K885">
        <v>7</v>
      </c>
      <c r="L885">
        <v>10</v>
      </c>
      <c r="M885">
        <v>0</v>
      </c>
    </row>
    <row r="886" spans="1:13" x14ac:dyDescent="0.25">
      <c r="A886">
        <v>19</v>
      </c>
      <c r="B886" t="s">
        <v>16</v>
      </c>
      <c r="C886">
        <v>2.5</v>
      </c>
      <c r="D886" t="s">
        <v>20</v>
      </c>
      <c r="E886">
        <v>7.1</v>
      </c>
      <c r="F886">
        <v>1.9</v>
      </c>
      <c r="G886">
        <v>2.35</v>
      </c>
      <c r="H886">
        <v>1.1000000000000001</v>
      </c>
      <c r="I886" t="s">
        <v>18</v>
      </c>
      <c r="J886">
        <v>4</v>
      </c>
      <c r="K886">
        <v>4</v>
      </c>
      <c r="L886">
        <v>8</v>
      </c>
      <c r="M886">
        <v>0</v>
      </c>
    </row>
    <row r="887" spans="1:13" x14ac:dyDescent="0.25">
      <c r="A887">
        <v>16</v>
      </c>
      <c r="B887" t="s">
        <v>19</v>
      </c>
      <c r="C887">
        <v>7.7</v>
      </c>
      <c r="D887" t="s">
        <v>17</v>
      </c>
      <c r="E887">
        <v>4.7</v>
      </c>
      <c r="F887">
        <v>2.9</v>
      </c>
      <c r="G887">
        <v>2.17</v>
      </c>
      <c r="H887">
        <v>1.2</v>
      </c>
      <c r="I887" t="s">
        <v>22</v>
      </c>
      <c r="J887">
        <v>5</v>
      </c>
      <c r="K887">
        <v>7</v>
      </c>
      <c r="L887">
        <v>6</v>
      </c>
      <c r="M887">
        <v>0</v>
      </c>
    </row>
    <row r="888" spans="1:13" x14ac:dyDescent="0.25">
      <c r="A888">
        <v>19</v>
      </c>
      <c r="B888" t="s">
        <v>19</v>
      </c>
      <c r="C888">
        <v>3.9</v>
      </c>
      <c r="D888" t="s">
        <v>23</v>
      </c>
      <c r="E888">
        <v>7.9</v>
      </c>
      <c r="F888">
        <v>2.1</v>
      </c>
      <c r="G888">
        <v>3.52</v>
      </c>
      <c r="H888">
        <v>0.6</v>
      </c>
      <c r="I888" t="s">
        <v>21</v>
      </c>
      <c r="J888">
        <v>3</v>
      </c>
      <c r="K888">
        <v>2</v>
      </c>
      <c r="L888">
        <v>4</v>
      </c>
      <c r="M888">
        <v>0</v>
      </c>
    </row>
    <row r="889" spans="1:13" x14ac:dyDescent="0.25">
      <c r="A889">
        <v>16</v>
      </c>
      <c r="B889" t="s">
        <v>19</v>
      </c>
      <c r="C889">
        <v>3.5</v>
      </c>
      <c r="D889" t="s">
        <v>20</v>
      </c>
      <c r="E889">
        <v>6.1</v>
      </c>
      <c r="F889">
        <v>2.7</v>
      </c>
      <c r="G889">
        <v>3.83</v>
      </c>
      <c r="H889">
        <v>0.1</v>
      </c>
      <c r="I889" t="s">
        <v>22</v>
      </c>
      <c r="J889">
        <v>4</v>
      </c>
      <c r="K889">
        <v>5</v>
      </c>
      <c r="L889">
        <v>10</v>
      </c>
      <c r="M889">
        <v>0</v>
      </c>
    </row>
    <row r="890" spans="1:13" x14ac:dyDescent="0.25">
      <c r="A890">
        <v>17</v>
      </c>
      <c r="B890" t="s">
        <v>16</v>
      </c>
      <c r="C890">
        <v>4.9000000000000004</v>
      </c>
      <c r="D890" t="s">
        <v>17</v>
      </c>
      <c r="E890">
        <v>6.4</v>
      </c>
      <c r="F890">
        <v>2.5</v>
      </c>
      <c r="G890">
        <v>2.64</v>
      </c>
      <c r="H890">
        <v>1.9</v>
      </c>
      <c r="I890" t="s">
        <v>22</v>
      </c>
      <c r="J890">
        <v>6</v>
      </c>
      <c r="K890">
        <v>2</v>
      </c>
      <c r="L890">
        <v>10</v>
      </c>
      <c r="M890">
        <v>0</v>
      </c>
    </row>
    <row r="891" spans="1:13" x14ac:dyDescent="0.25">
      <c r="A891">
        <v>14</v>
      </c>
      <c r="B891" t="s">
        <v>16</v>
      </c>
      <c r="C891">
        <v>3.4</v>
      </c>
      <c r="D891" t="s">
        <v>23</v>
      </c>
      <c r="E891">
        <v>5.8</v>
      </c>
      <c r="F891">
        <v>3</v>
      </c>
      <c r="G891">
        <v>3.32</v>
      </c>
      <c r="H891">
        <v>0.6</v>
      </c>
      <c r="I891" t="s">
        <v>22</v>
      </c>
      <c r="J891">
        <v>1</v>
      </c>
      <c r="K891">
        <v>4</v>
      </c>
      <c r="L891">
        <v>4</v>
      </c>
      <c r="M891">
        <v>0</v>
      </c>
    </row>
    <row r="892" spans="1:13" x14ac:dyDescent="0.25">
      <c r="A892">
        <v>18</v>
      </c>
      <c r="B892" t="s">
        <v>16</v>
      </c>
      <c r="C892">
        <v>2.5</v>
      </c>
      <c r="D892" t="s">
        <v>20</v>
      </c>
      <c r="E892">
        <v>4.5999999999999996</v>
      </c>
      <c r="F892">
        <v>2.2000000000000002</v>
      </c>
      <c r="G892">
        <v>2.0499999999999998</v>
      </c>
      <c r="H892">
        <v>0.7</v>
      </c>
      <c r="I892" t="s">
        <v>22</v>
      </c>
      <c r="J892">
        <v>9</v>
      </c>
      <c r="K892">
        <v>5</v>
      </c>
      <c r="L892">
        <v>10</v>
      </c>
      <c r="M892">
        <v>0</v>
      </c>
    </row>
    <row r="893" spans="1:13" x14ac:dyDescent="0.25">
      <c r="A893">
        <v>16</v>
      </c>
      <c r="B893" t="s">
        <v>16</v>
      </c>
      <c r="C893">
        <v>4.8</v>
      </c>
      <c r="D893" t="s">
        <v>23</v>
      </c>
      <c r="E893">
        <v>5.4</v>
      </c>
      <c r="F893">
        <v>0.9</v>
      </c>
      <c r="G893">
        <v>2.06</v>
      </c>
      <c r="H893">
        <v>1.9</v>
      </c>
      <c r="I893" t="s">
        <v>18</v>
      </c>
      <c r="J893">
        <v>8</v>
      </c>
      <c r="K893">
        <v>3</v>
      </c>
      <c r="L893">
        <v>2</v>
      </c>
      <c r="M893">
        <v>0</v>
      </c>
    </row>
    <row r="894" spans="1:13" x14ac:dyDescent="0.25">
      <c r="A894">
        <v>19</v>
      </c>
      <c r="B894" t="s">
        <v>16</v>
      </c>
      <c r="C894">
        <v>7.4</v>
      </c>
      <c r="D894" t="s">
        <v>20</v>
      </c>
      <c r="E894">
        <v>6.1</v>
      </c>
      <c r="F894">
        <v>1.1000000000000001</v>
      </c>
      <c r="G894">
        <v>2.15</v>
      </c>
      <c r="H894">
        <v>1.6</v>
      </c>
      <c r="I894" t="s">
        <v>21</v>
      </c>
      <c r="J894">
        <v>4</v>
      </c>
      <c r="K894">
        <v>4</v>
      </c>
      <c r="L894">
        <v>1</v>
      </c>
      <c r="M894">
        <v>0</v>
      </c>
    </row>
    <row r="895" spans="1:13" x14ac:dyDescent="0.25">
      <c r="A895">
        <v>16</v>
      </c>
      <c r="B895" t="s">
        <v>19</v>
      </c>
      <c r="C895">
        <v>2.1</v>
      </c>
      <c r="D895" t="s">
        <v>17</v>
      </c>
      <c r="E895">
        <v>4.8</v>
      </c>
      <c r="F895">
        <v>1.3</v>
      </c>
      <c r="G895">
        <v>2.29</v>
      </c>
      <c r="H895">
        <v>1.8</v>
      </c>
      <c r="I895" t="s">
        <v>21</v>
      </c>
      <c r="J895">
        <v>6</v>
      </c>
      <c r="K895">
        <v>9</v>
      </c>
      <c r="L895">
        <v>2</v>
      </c>
      <c r="M895">
        <v>0</v>
      </c>
    </row>
    <row r="896" spans="1:13" x14ac:dyDescent="0.25">
      <c r="A896">
        <v>19</v>
      </c>
      <c r="B896" t="s">
        <v>16</v>
      </c>
      <c r="C896">
        <v>2.1</v>
      </c>
      <c r="D896" t="s">
        <v>20</v>
      </c>
      <c r="E896">
        <v>6.8</v>
      </c>
      <c r="F896">
        <v>2.2000000000000002</v>
      </c>
      <c r="G896">
        <v>2.33</v>
      </c>
      <c r="H896">
        <v>1</v>
      </c>
      <c r="I896" t="s">
        <v>22</v>
      </c>
      <c r="J896">
        <v>7</v>
      </c>
      <c r="K896">
        <v>6</v>
      </c>
      <c r="L896">
        <v>7</v>
      </c>
      <c r="M896">
        <v>0</v>
      </c>
    </row>
    <row r="897" spans="1:13" x14ac:dyDescent="0.25">
      <c r="A897">
        <v>16</v>
      </c>
      <c r="B897" t="s">
        <v>16</v>
      </c>
      <c r="C897">
        <v>1.8</v>
      </c>
      <c r="D897" t="s">
        <v>17</v>
      </c>
      <c r="E897">
        <v>4.9000000000000004</v>
      </c>
      <c r="F897">
        <v>2.2999999999999998</v>
      </c>
      <c r="G897">
        <v>2.67</v>
      </c>
      <c r="H897">
        <v>1.4</v>
      </c>
      <c r="I897" t="s">
        <v>22</v>
      </c>
      <c r="J897">
        <v>3</v>
      </c>
      <c r="K897">
        <v>8</v>
      </c>
      <c r="L897">
        <v>6</v>
      </c>
      <c r="M897">
        <v>0</v>
      </c>
    </row>
    <row r="898" spans="1:13" x14ac:dyDescent="0.25">
      <c r="A898">
        <v>18</v>
      </c>
      <c r="B898" t="s">
        <v>16</v>
      </c>
      <c r="C898">
        <v>6.8</v>
      </c>
      <c r="D898" t="s">
        <v>23</v>
      </c>
      <c r="E898">
        <v>5.4</v>
      </c>
      <c r="F898">
        <v>0.9</v>
      </c>
      <c r="G898">
        <v>2.64</v>
      </c>
      <c r="H898">
        <v>0.3</v>
      </c>
      <c r="I898" t="s">
        <v>21</v>
      </c>
      <c r="J898">
        <v>9</v>
      </c>
      <c r="K898">
        <v>1</v>
      </c>
      <c r="L898">
        <v>8</v>
      </c>
      <c r="M898">
        <v>0</v>
      </c>
    </row>
    <row r="899" spans="1:13" x14ac:dyDescent="0.25">
      <c r="A899">
        <v>18</v>
      </c>
      <c r="B899" t="s">
        <v>16</v>
      </c>
      <c r="C899">
        <v>7.9</v>
      </c>
      <c r="D899" t="s">
        <v>17</v>
      </c>
      <c r="E899">
        <v>4.0999999999999996</v>
      </c>
      <c r="F899">
        <v>2.8</v>
      </c>
      <c r="G899">
        <v>3.25</v>
      </c>
      <c r="H899">
        <v>1.4</v>
      </c>
      <c r="I899" t="s">
        <v>21</v>
      </c>
      <c r="J899">
        <v>4</v>
      </c>
      <c r="K899">
        <v>2</v>
      </c>
      <c r="L899">
        <v>4</v>
      </c>
      <c r="M899">
        <v>0</v>
      </c>
    </row>
    <row r="900" spans="1:13" x14ac:dyDescent="0.25">
      <c r="A900">
        <v>15</v>
      </c>
      <c r="B900" t="s">
        <v>16</v>
      </c>
      <c r="C900">
        <v>7.6</v>
      </c>
      <c r="D900" t="s">
        <v>23</v>
      </c>
      <c r="E900">
        <v>6</v>
      </c>
      <c r="F900">
        <v>2.9</v>
      </c>
      <c r="G900">
        <v>2.72</v>
      </c>
      <c r="H900">
        <v>1.8</v>
      </c>
      <c r="I900" t="s">
        <v>21</v>
      </c>
      <c r="J900">
        <v>1</v>
      </c>
      <c r="K900">
        <v>9</v>
      </c>
      <c r="L900">
        <v>6</v>
      </c>
      <c r="M900">
        <v>0</v>
      </c>
    </row>
    <row r="901" spans="1:13" x14ac:dyDescent="0.25">
      <c r="A901">
        <v>18</v>
      </c>
      <c r="B901" t="s">
        <v>16</v>
      </c>
      <c r="C901">
        <v>6.1</v>
      </c>
      <c r="D901" t="s">
        <v>20</v>
      </c>
      <c r="E901">
        <v>5.8</v>
      </c>
      <c r="F901">
        <v>1.8</v>
      </c>
      <c r="G901">
        <v>3.59</v>
      </c>
      <c r="H901">
        <v>0.2</v>
      </c>
      <c r="I901" t="s">
        <v>18</v>
      </c>
      <c r="J901">
        <v>2</v>
      </c>
      <c r="K901">
        <v>5</v>
      </c>
      <c r="L901">
        <v>4</v>
      </c>
      <c r="M901">
        <v>0</v>
      </c>
    </row>
    <row r="902" spans="1:13" x14ac:dyDescent="0.25">
      <c r="A902">
        <v>16</v>
      </c>
      <c r="B902" t="s">
        <v>19</v>
      </c>
      <c r="C902">
        <v>1.4</v>
      </c>
      <c r="D902" t="s">
        <v>23</v>
      </c>
      <c r="E902">
        <v>5.7</v>
      </c>
      <c r="F902">
        <v>1.8</v>
      </c>
      <c r="G902">
        <v>2</v>
      </c>
      <c r="H902">
        <v>1.4</v>
      </c>
      <c r="I902" t="s">
        <v>18</v>
      </c>
      <c r="J902">
        <v>4</v>
      </c>
      <c r="K902">
        <v>8</v>
      </c>
      <c r="L902">
        <v>7</v>
      </c>
      <c r="M902">
        <v>0</v>
      </c>
    </row>
    <row r="903" spans="1:13" x14ac:dyDescent="0.25">
      <c r="A903">
        <v>19</v>
      </c>
      <c r="B903" t="s">
        <v>16</v>
      </c>
      <c r="C903">
        <v>6.3</v>
      </c>
      <c r="D903" t="s">
        <v>20</v>
      </c>
      <c r="E903">
        <v>5.7</v>
      </c>
      <c r="F903">
        <v>1.4</v>
      </c>
      <c r="G903">
        <v>2.0299999999999998</v>
      </c>
      <c r="H903">
        <v>1.1000000000000001</v>
      </c>
      <c r="I903" t="s">
        <v>18</v>
      </c>
      <c r="J903">
        <v>4</v>
      </c>
      <c r="K903">
        <v>6</v>
      </c>
      <c r="L903">
        <v>1</v>
      </c>
      <c r="M903">
        <v>0</v>
      </c>
    </row>
    <row r="904" spans="1:13" x14ac:dyDescent="0.25">
      <c r="A904">
        <v>13</v>
      </c>
      <c r="B904" t="s">
        <v>16</v>
      </c>
      <c r="C904">
        <v>1.3</v>
      </c>
      <c r="D904" t="s">
        <v>17</v>
      </c>
      <c r="E904">
        <v>5.7</v>
      </c>
      <c r="F904">
        <v>1.1000000000000001</v>
      </c>
      <c r="G904">
        <v>3.74</v>
      </c>
      <c r="H904">
        <v>1.3</v>
      </c>
      <c r="I904" t="s">
        <v>18</v>
      </c>
      <c r="J904">
        <v>9</v>
      </c>
      <c r="K904">
        <v>5</v>
      </c>
      <c r="L904">
        <v>10</v>
      </c>
      <c r="M904">
        <v>0</v>
      </c>
    </row>
    <row r="905" spans="1:13" x14ac:dyDescent="0.25">
      <c r="A905">
        <v>17</v>
      </c>
      <c r="B905" t="s">
        <v>16</v>
      </c>
      <c r="C905">
        <v>5.0999999999999996</v>
      </c>
      <c r="D905" t="s">
        <v>20</v>
      </c>
      <c r="E905">
        <v>5.0999999999999996</v>
      </c>
      <c r="F905">
        <v>2.9</v>
      </c>
      <c r="G905">
        <v>3.99</v>
      </c>
      <c r="H905">
        <v>0.6</v>
      </c>
      <c r="I905" t="s">
        <v>22</v>
      </c>
      <c r="J905">
        <v>4</v>
      </c>
      <c r="K905">
        <v>2</v>
      </c>
      <c r="L905">
        <v>9</v>
      </c>
      <c r="M905">
        <v>0</v>
      </c>
    </row>
    <row r="906" spans="1:13" x14ac:dyDescent="0.25">
      <c r="A906">
        <v>19</v>
      </c>
      <c r="B906" t="s">
        <v>19</v>
      </c>
      <c r="C906">
        <v>4</v>
      </c>
      <c r="D906" t="s">
        <v>17</v>
      </c>
      <c r="E906">
        <v>8.1999999999999993</v>
      </c>
      <c r="F906">
        <v>1.4</v>
      </c>
      <c r="G906">
        <v>3.63</v>
      </c>
      <c r="H906">
        <v>1.3</v>
      </c>
      <c r="I906" t="s">
        <v>18</v>
      </c>
      <c r="J906">
        <v>5</v>
      </c>
      <c r="K906">
        <v>3</v>
      </c>
      <c r="L906">
        <v>10</v>
      </c>
      <c r="M906">
        <v>0</v>
      </c>
    </row>
    <row r="907" spans="1:13" x14ac:dyDescent="0.25">
      <c r="A907">
        <v>17</v>
      </c>
      <c r="B907" t="s">
        <v>19</v>
      </c>
      <c r="C907">
        <v>7.6</v>
      </c>
      <c r="D907" t="s">
        <v>17</v>
      </c>
      <c r="E907">
        <v>7.3</v>
      </c>
      <c r="F907">
        <v>1.9</v>
      </c>
      <c r="G907">
        <v>3.05</v>
      </c>
      <c r="H907">
        <v>1.1000000000000001</v>
      </c>
      <c r="I907" t="s">
        <v>22</v>
      </c>
      <c r="J907">
        <v>10</v>
      </c>
      <c r="K907">
        <v>8</v>
      </c>
      <c r="L907">
        <v>1</v>
      </c>
      <c r="M907">
        <v>0</v>
      </c>
    </row>
    <row r="908" spans="1:13" x14ac:dyDescent="0.25">
      <c r="A908">
        <v>19</v>
      </c>
      <c r="B908" t="s">
        <v>16</v>
      </c>
      <c r="C908">
        <v>3.8</v>
      </c>
      <c r="D908" t="s">
        <v>20</v>
      </c>
      <c r="E908">
        <v>7.4</v>
      </c>
      <c r="F908">
        <v>2.6</v>
      </c>
      <c r="G908">
        <v>2.25</v>
      </c>
      <c r="H908">
        <v>0.5</v>
      </c>
      <c r="I908" t="s">
        <v>18</v>
      </c>
      <c r="J908">
        <v>7</v>
      </c>
      <c r="K908">
        <v>4</v>
      </c>
      <c r="L908">
        <v>8</v>
      </c>
      <c r="M908">
        <v>0</v>
      </c>
    </row>
    <row r="909" spans="1:13" x14ac:dyDescent="0.25">
      <c r="A909">
        <v>17</v>
      </c>
      <c r="B909" t="s">
        <v>16</v>
      </c>
      <c r="C909">
        <v>5.2</v>
      </c>
      <c r="D909" t="s">
        <v>17</v>
      </c>
      <c r="E909">
        <v>4.7</v>
      </c>
      <c r="F909">
        <v>2.4</v>
      </c>
      <c r="G909">
        <v>2.77</v>
      </c>
      <c r="H909">
        <v>1.3</v>
      </c>
      <c r="I909" t="s">
        <v>21</v>
      </c>
      <c r="J909">
        <v>9</v>
      </c>
      <c r="K909">
        <v>6</v>
      </c>
      <c r="L909">
        <v>9</v>
      </c>
      <c r="M909">
        <v>0</v>
      </c>
    </row>
    <row r="910" spans="1:13" x14ac:dyDescent="0.25">
      <c r="A910">
        <v>13</v>
      </c>
      <c r="B910" t="s">
        <v>16</v>
      </c>
      <c r="C910">
        <v>5</v>
      </c>
      <c r="D910" t="s">
        <v>23</v>
      </c>
      <c r="E910">
        <v>8.6</v>
      </c>
      <c r="F910">
        <v>0.7</v>
      </c>
      <c r="G910">
        <v>2.99</v>
      </c>
      <c r="H910">
        <v>1.5</v>
      </c>
      <c r="I910" t="s">
        <v>18</v>
      </c>
      <c r="J910">
        <v>3</v>
      </c>
      <c r="K910">
        <v>8</v>
      </c>
      <c r="L910">
        <v>3</v>
      </c>
      <c r="M910">
        <v>0</v>
      </c>
    </row>
    <row r="911" spans="1:13" x14ac:dyDescent="0.25">
      <c r="A911">
        <v>19</v>
      </c>
      <c r="B911" t="s">
        <v>19</v>
      </c>
      <c r="C911">
        <v>7.4</v>
      </c>
      <c r="D911" t="s">
        <v>23</v>
      </c>
      <c r="E911">
        <v>8.3000000000000007</v>
      </c>
      <c r="F911">
        <v>1.4</v>
      </c>
      <c r="G911">
        <v>3.64</v>
      </c>
      <c r="H911">
        <v>0.4</v>
      </c>
      <c r="I911" t="s">
        <v>18</v>
      </c>
      <c r="J911">
        <v>6</v>
      </c>
      <c r="K911">
        <v>9</v>
      </c>
      <c r="L911">
        <v>6</v>
      </c>
      <c r="M911">
        <v>0</v>
      </c>
    </row>
    <row r="912" spans="1:13" x14ac:dyDescent="0.25">
      <c r="A912">
        <v>16</v>
      </c>
      <c r="B912" t="s">
        <v>16</v>
      </c>
      <c r="C912">
        <v>6.1</v>
      </c>
      <c r="D912" t="s">
        <v>20</v>
      </c>
      <c r="E912">
        <v>6.8</v>
      </c>
      <c r="F912">
        <v>0.8</v>
      </c>
      <c r="G912">
        <v>2.61</v>
      </c>
      <c r="H912">
        <v>0.9</v>
      </c>
      <c r="I912" t="s">
        <v>18</v>
      </c>
      <c r="J912">
        <v>10</v>
      </c>
      <c r="K912">
        <v>10</v>
      </c>
      <c r="L912">
        <v>4</v>
      </c>
      <c r="M912">
        <v>0</v>
      </c>
    </row>
    <row r="913" spans="1:13" x14ac:dyDescent="0.25">
      <c r="A913">
        <v>13</v>
      </c>
      <c r="B913" t="s">
        <v>19</v>
      </c>
      <c r="C913">
        <v>7.4</v>
      </c>
      <c r="D913" t="s">
        <v>23</v>
      </c>
      <c r="E913">
        <v>6.7</v>
      </c>
      <c r="F913">
        <v>2</v>
      </c>
      <c r="G913">
        <v>2.42</v>
      </c>
      <c r="H913">
        <v>1.5</v>
      </c>
      <c r="I913" t="s">
        <v>18</v>
      </c>
      <c r="J913">
        <v>10</v>
      </c>
      <c r="K913">
        <v>1</v>
      </c>
      <c r="L913">
        <v>1</v>
      </c>
      <c r="M913">
        <v>0</v>
      </c>
    </row>
    <row r="914" spans="1:13" x14ac:dyDescent="0.25">
      <c r="A914">
        <v>16</v>
      </c>
      <c r="B914" t="s">
        <v>16</v>
      </c>
      <c r="C914">
        <v>3.5</v>
      </c>
      <c r="D914" t="s">
        <v>23</v>
      </c>
      <c r="E914">
        <v>4.4000000000000004</v>
      </c>
      <c r="F914">
        <v>1.5</v>
      </c>
      <c r="G914">
        <v>2.7</v>
      </c>
      <c r="H914">
        <v>0.8</v>
      </c>
      <c r="I914" t="s">
        <v>21</v>
      </c>
      <c r="J914">
        <v>2</v>
      </c>
      <c r="K914">
        <v>10</v>
      </c>
      <c r="L914">
        <v>8</v>
      </c>
      <c r="M914">
        <v>0</v>
      </c>
    </row>
    <row r="915" spans="1:13" x14ac:dyDescent="0.25">
      <c r="A915">
        <v>14</v>
      </c>
      <c r="B915" t="s">
        <v>16</v>
      </c>
      <c r="C915">
        <v>5.0999999999999996</v>
      </c>
      <c r="D915" t="s">
        <v>17</v>
      </c>
      <c r="E915">
        <v>6.3</v>
      </c>
      <c r="F915">
        <v>1.6</v>
      </c>
      <c r="G915">
        <v>2.7</v>
      </c>
      <c r="H915">
        <v>0.1</v>
      </c>
      <c r="I915" t="s">
        <v>22</v>
      </c>
      <c r="J915">
        <v>7</v>
      </c>
      <c r="K915">
        <v>2</v>
      </c>
      <c r="L915">
        <v>7</v>
      </c>
      <c r="M915">
        <v>0</v>
      </c>
    </row>
    <row r="916" spans="1:13" x14ac:dyDescent="0.25">
      <c r="A916">
        <v>17</v>
      </c>
      <c r="B916" t="s">
        <v>16</v>
      </c>
      <c r="C916">
        <v>4.8</v>
      </c>
      <c r="D916" t="s">
        <v>20</v>
      </c>
      <c r="E916">
        <v>6</v>
      </c>
      <c r="F916">
        <v>2.1</v>
      </c>
      <c r="G916">
        <v>2.39</v>
      </c>
      <c r="H916">
        <v>1.8</v>
      </c>
      <c r="I916" t="s">
        <v>21</v>
      </c>
      <c r="J916">
        <v>5</v>
      </c>
      <c r="K916">
        <v>8</v>
      </c>
      <c r="L916">
        <v>7</v>
      </c>
      <c r="M916">
        <v>0</v>
      </c>
    </row>
    <row r="917" spans="1:13" x14ac:dyDescent="0.25">
      <c r="A917">
        <v>14</v>
      </c>
      <c r="B917" t="s">
        <v>16</v>
      </c>
      <c r="C917">
        <v>7.5</v>
      </c>
      <c r="D917" t="s">
        <v>23</v>
      </c>
      <c r="E917">
        <v>7.6</v>
      </c>
      <c r="F917">
        <v>2.8</v>
      </c>
      <c r="G917">
        <v>3.1</v>
      </c>
      <c r="H917">
        <v>0.7</v>
      </c>
      <c r="I917" t="s">
        <v>22</v>
      </c>
      <c r="J917">
        <v>3</v>
      </c>
      <c r="K917">
        <v>1</v>
      </c>
      <c r="L917">
        <v>2</v>
      </c>
      <c r="M917">
        <v>0</v>
      </c>
    </row>
    <row r="918" spans="1:13" x14ac:dyDescent="0.25">
      <c r="A918">
        <v>19</v>
      </c>
      <c r="B918" t="s">
        <v>16</v>
      </c>
      <c r="C918">
        <v>4.7</v>
      </c>
      <c r="D918" t="s">
        <v>23</v>
      </c>
      <c r="E918">
        <v>8.6999999999999993</v>
      </c>
      <c r="F918">
        <v>2</v>
      </c>
      <c r="G918">
        <v>3.23</v>
      </c>
      <c r="H918">
        <v>1.7</v>
      </c>
      <c r="I918" t="s">
        <v>18</v>
      </c>
      <c r="J918">
        <v>4</v>
      </c>
      <c r="K918">
        <v>10</v>
      </c>
      <c r="L918">
        <v>3</v>
      </c>
      <c r="M918">
        <v>0</v>
      </c>
    </row>
    <row r="919" spans="1:13" x14ac:dyDescent="0.25">
      <c r="A919">
        <v>19</v>
      </c>
      <c r="B919" t="s">
        <v>16</v>
      </c>
      <c r="C919">
        <v>3.3</v>
      </c>
      <c r="D919" t="s">
        <v>20</v>
      </c>
      <c r="E919">
        <v>8.5</v>
      </c>
      <c r="F919">
        <v>1.2</v>
      </c>
      <c r="G919">
        <v>3.29</v>
      </c>
      <c r="H919">
        <v>0.5</v>
      </c>
      <c r="I919" t="s">
        <v>22</v>
      </c>
      <c r="J919">
        <v>6</v>
      </c>
      <c r="K919">
        <v>2</v>
      </c>
      <c r="L919">
        <v>9</v>
      </c>
      <c r="M919">
        <v>0</v>
      </c>
    </row>
    <row r="920" spans="1:13" x14ac:dyDescent="0.25">
      <c r="A920">
        <v>16</v>
      </c>
      <c r="B920" t="s">
        <v>19</v>
      </c>
      <c r="C920">
        <v>6.9</v>
      </c>
      <c r="D920" t="s">
        <v>17</v>
      </c>
      <c r="E920">
        <v>5.8</v>
      </c>
      <c r="F920">
        <v>0.6</v>
      </c>
      <c r="G920">
        <v>3.65</v>
      </c>
      <c r="H920">
        <v>0.5</v>
      </c>
      <c r="I920" t="s">
        <v>21</v>
      </c>
      <c r="J920">
        <v>10</v>
      </c>
      <c r="K920">
        <v>8</v>
      </c>
      <c r="L920">
        <v>10</v>
      </c>
      <c r="M920">
        <v>1</v>
      </c>
    </row>
    <row r="921" spans="1:13" x14ac:dyDescent="0.25">
      <c r="A921">
        <v>15</v>
      </c>
      <c r="B921" t="s">
        <v>16</v>
      </c>
      <c r="C921">
        <v>5.4</v>
      </c>
      <c r="D921" t="s">
        <v>17</v>
      </c>
      <c r="E921">
        <v>4.2</v>
      </c>
      <c r="F921">
        <v>1.5</v>
      </c>
      <c r="G921">
        <v>2.72</v>
      </c>
      <c r="H921">
        <v>0.4</v>
      </c>
      <c r="I921" t="s">
        <v>21</v>
      </c>
      <c r="J921">
        <v>1</v>
      </c>
      <c r="K921">
        <v>6</v>
      </c>
      <c r="L921">
        <v>5</v>
      </c>
      <c r="M921">
        <v>0</v>
      </c>
    </row>
    <row r="922" spans="1:13" x14ac:dyDescent="0.25">
      <c r="A922">
        <v>13</v>
      </c>
      <c r="B922" t="s">
        <v>19</v>
      </c>
      <c r="C922">
        <v>5.2</v>
      </c>
      <c r="D922" t="s">
        <v>23</v>
      </c>
      <c r="E922">
        <v>7.7</v>
      </c>
      <c r="F922">
        <v>2.7</v>
      </c>
      <c r="G922">
        <v>2.84</v>
      </c>
      <c r="H922">
        <v>0.8</v>
      </c>
      <c r="I922" t="s">
        <v>21</v>
      </c>
      <c r="J922">
        <v>2</v>
      </c>
      <c r="K922">
        <v>5</v>
      </c>
      <c r="L922">
        <v>5</v>
      </c>
      <c r="M922">
        <v>0</v>
      </c>
    </row>
    <row r="923" spans="1:13" x14ac:dyDescent="0.25">
      <c r="A923">
        <v>15</v>
      </c>
      <c r="B923" t="s">
        <v>19</v>
      </c>
      <c r="C923">
        <v>3.3</v>
      </c>
      <c r="D923" t="s">
        <v>17</v>
      </c>
      <c r="E923">
        <v>6.5</v>
      </c>
      <c r="F923">
        <v>1.3</v>
      </c>
      <c r="G923">
        <v>2.44</v>
      </c>
      <c r="H923">
        <v>0.3</v>
      </c>
      <c r="I923" t="s">
        <v>22</v>
      </c>
      <c r="J923">
        <v>7</v>
      </c>
      <c r="K923">
        <v>6</v>
      </c>
      <c r="L923">
        <v>7</v>
      </c>
      <c r="M923">
        <v>0</v>
      </c>
    </row>
    <row r="924" spans="1:13" x14ac:dyDescent="0.25">
      <c r="A924">
        <v>15</v>
      </c>
      <c r="B924" t="s">
        <v>19</v>
      </c>
      <c r="C924">
        <v>7.3</v>
      </c>
      <c r="D924" t="s">
        <v>23</v>
      </c>
      <c r="E924">
        <v>7.6</v>
      </c>
      <c r="F924">
        <v>1.9</v>
      </c>
      <c r="G924">
        <v>2.31</v>
      </c>
      <c r="H924">
        <v>0.8</v>
      </c>
      <c r="I924" t="s">
        <v>22</v>
      </c>
      <c r="J924">
        <v>8</v>
      </c>
      <c r="K924">
        <v>7</v>
      </c>
      <c r="L924">
        <v>5</v>
      </c>
      <c r="M924">
        <v>0</v>
      </c>
    </row>
    <row r="925" spans="1:13" x14ac:dyDescent="0.25">
      <c r="A925">
        <v>17</v>
      </c>
      <c r="B925" t="s">
        <v>16</v>
      </c>
      <c r="C925">
        <v>7.6</v>
      </c>
      <c r="D925" t="s">
        <v>23</v>
      </c>
      <c r="E925">
        <v>4.9000000000000004</v>
      </c>
      <c r="F925">
        <v>0.6</v>
      </c>
      <c r="G925">
        <v>2.56</v>
      </c>
      <c r="H925">
        <v>0.8</v>
      </c>
      <c r="I925" t="s">
        <v>18</v>
      </c>
      <c r="J925">
        <v>4</v>
      </c>
      <c r="K925">
        <v>1</v>
      </c>
      <c r="L925">
        <v>9</v>
      </c>
      <c r="M925">
        <v>0</v>
      </c>
    </row>
    <row r="926" spans="1:13" x14ac:dyDescent="0.25">
      <c r="A926">
        <v>17</v>
      </c>
      <c r="B926" t="s">
        <v>16</v>
      </c>
      <c r="C926">
        <v>1.7</v>
      </c>
      <c r="D926" t="s">
        <v>23</v>
      </c>
      <c r="E926">
        <v>7</v>
      </c>
      <c r="F926">
        <v>0.8</v>
      </c>
      <c r="G926">
        <v>3.39</v>
      </c>
      <c r="H926">
        <v>0.9</v>
      </c>
      <c r="I926" t="s">
        <v>21</v>
      </c>
      <c r="J926">
        <v>7</v>
      </c>
      <c r="K926">
        <v>7</v>
      </c>
      <c r="L926">
        <v>10</v>
      </c>
      <c r="M926">
        <v>0</v>
      </c>
    </row>
    <row r="927" spans="1:13" x14ac:dyDescent="0.25">
      <c r="A927">
        <v>18</v>
      </c>
      <c r="B927" t="s">
        <v>16</v>
      </c>
      <c r="C927">
        <v>1.5</v>
      </c>
      <c r="D927" t="s">
        <v>23</v>
      </c>
      <c r="E927">
        <v>5.6</v>
      </c>
      <c r="F927">
        <v>2.9</v>
      </c>
      <c r="G927">
        <v>2.57</v>
      </c>
      <c r="H927">
        <v>0.6</v>
      </c>
      <c r="I927" t="s">
        <v>21</v>
      </c>
      <c r="J927">
        <v>5</v>
      </c>
      <c r="K927">
        <v>8</v>
      </c>
      <c r="L927">
        <v>4</v>
      </c>
      <c r="M927">
        <v>0</v>
      </c>
    </row>
    <row r="928" spans="1:13" x14ac:dyDescent="0.25">
      <c r="A928">
        <v>17</v>
      </c>
      <c r="B928" t="s">
        <v>16</v>
      </c>
      <c r="C928">
        <v>7.3</v>
      </c>
      <c r="D928" t="s">
        <v>23</v>
      </c>
      <c r="E928">
        <v>8.5</v>
      </c>
      <c r="F928">
        <v>1.5</v>
      </c>
      <c r="G928">
        <v>3.54</v>
      </c>
      <c r="H928">
        <v>1.2</v>
      </c>
      <c r="I928" t="s">
        <v>18</v>
      </c>
      <c r="J928">
        <v>3</v>
      </c>
      <c r="K928">
        <v>3</v>
      </c>
      <c r="L928">
        <v>7</v>
      </c>
      <c r="M928">
        <v>0</v>
      </c>
    </row>
    <row r="929" spans="1:13" x14ac:dyDescent="0.25">
      <c r="A929">
        <v>14</v>
      </c>
      <c r="B929" t="s">
        <v>16</v>
      </c>
      <c r="C929">
        <v>2.8</v>
      </c>
      <c r="D929" t="s">
        <v>23</v>
      </c>
      <c r="E929">
        <v>6.2</v>
      </c>
      <c r="F929">
        <v>1.2</v>
      </c>
      <c r="G929">
        <v>3.21</v>
      </c>
      <c r="H929">
        <v>1</v>
      </c>
      <c r="I929" t="s">
        <v>18</v>
      </c>
      <c r="J929">
        <v>3</v>
      </c>
      <c r="K929">
        <v>10</v>
      </c>
      <c r="L929">
        <v>6</v>
      </c>
      <c r="M929">
        <v>0</v>
      </c>
    </row>
    <row r="930" spans="1:13" x14ac:dyDescent="0.25">
      <c r="A930">
        <v>15</v>
      </c>
      <c r="B930" t="s">
        <v>16</v>
      </c>
      <c r="C930">
        <v>1.2</v>
      </c>
      <c r="D930" t="s">
        <v>23</v>
      </c>
      <c r="E930">
        <v>7.4</v>
      </c>
      <c r="F930">
        <v>2.7</v>
      </c>
      <c r="G930">
        <v>2.92</v>
      </c>
      <c r="H930">
        <v>1.4</v>
      </c>
      <c r="I930" t="s">
        <v>18</v>
      </c>
      <c r="J930">
        <v>3</v>
      </c>
      <c r="K930">
        <v>7</v>
      </c>
      <c r="L930">
        <v>4</v>
      </c>
      <c r="M930">
        <v>0</v>
      </c>
    </row>
    <row r="931" spans="1:13" x14ac:dyDescent="0.25">
      <c r="A931">
        <v>16</v>
      </c>
      <c r="B931" t="s">
        <v>19</v>
      </c>
      <c r="C931">
        <v>2.5</v>
      </c>
      <c r="D931" t="s">
        <v>20</v>
      </c>
      <c r="E931">
        <v>8.9</v>
      </c>
      <c r="F931">
        <v>1.2</v>
      </c>
      <c r="G931">
        <v>3.33</v>
      </c>
      <c r="H931">
        <v>1.5</v>
      </c>
      <c r="I931" t="s">
        <v>21</v>
      </c>
      <c r="J931">
        <v>4</v>
      </c>
      <c r="K931">
        <v>4</v>
      </c>
      <c r="L931">
        <v>10</v>
      </c>
      <c r="M931">
        <v>0</v>
      </c>
    </row>
    <row r="932" spans="1:13" x14ac:dyDescent="0.25">
      <c r="A932">
        <v>17</v>
      </c>
      <c r="B932" t="s">
        <v>16</v>
      </c>
      <c r="C932">
        <v>4.8</v>
      </c>
      <c r="D932" t="s">
        <v>20</v>
      </c>
      <c r="E932">
        <v>5.6</v>
      </c>
      <c r="F932">
        <v>1.6</v>
      </c>
      <c r="G932">
        <v>2</v>
      </c>
      <c r="H932">
        <v>1.3</v>
      </c>
      <c r="I932" t="s">
        <v>18</v>
      </c>
      <c r="J932">
        <v>3</v>
      </c>
      <c r="K932">
        <v>8</v>
      </c>
      <c r="L932">
        <v>4</v>
      </c>
      <c r="M932">
        <v>0</v>
      </c>
    </row>
    <row r="933" spans="1:13" x14ac:dyDescent="0.25">
      <c r="A933">
        <v>18</v>
      </c>
      <c r="B933" t="s">
        <v>19</v>
      </c>
      <c r="C933">
        <v>6.4</v>
      </c>
      <c r="D933" t="s">
        <v>23</v>
      </c>
      <c r="E933">
        <v>4.2</v>
      </c>
      <c r="F933">
        <v>1.1000000000000001</v>
      </c>
      <c r="G933">
        <v>2.68</v>
      </c>
      <c r="H933">
        <v>0.3</v>
      </c>
      <c r="I933" t="s">
        <v>21</v>
      </c>
      <c r="J933">
        <v>10</v>
      </c>
      <c r="K933">
        <v>9</v>
      </c>
      <c r="L933">
        <v>4</v>
      </c>
      <c r="M933">
        <v>1</v>
      </c>
    </row>
    <row r="934" spans="1:13" x14ac:dyDescent="0.25">
      <c r="A934">
        <v>16</v>
      </c>
      <c r="B934" t="s">
        <v>19</v>
      </c>
      <c r="C934">
        <v>6.6</v>
      </c>
      <c r="D934" t="s">
        <v>17</v>
      </c>
      <c r="E934">
        <v>6.1</v>
      </c>
      <c r="F934">
        <v>1.7</v>
      </c>
      <c r="G934">
        <v>2.67</v>
      </c>
      <c r="H934">
        <v>1.8</v>
      </c>
      <c r="I934" t="s">
        <v>18</v>
      </c>
      <c r="J934">
        <v>10</v>
      </c>
      <c r="K934">
        <v>8</v>
      </c>
      <c r="L934">
        <v>2</v>
      </c>
      <c r="M934">
        <v>0</v>
      </c>
    </row>
    <row r="935" spans="1:13" x14ac:dyDescent="0.25">
      <c r="A935">
        <v>14</v>
      </c>
      <c r="B935" t="s">
        <v>19</v>
      </c>
      <c r="C935">
        <v>3.5</v>
      </c>
      <c r="D935" t="s">
        <v>23</v>
      </c>
      <c r="E935">
        <v>5.7</v>
      </c>
      <c r="F935">
        <v>2.4</v>
      </c>
      <c r="G935">
        <v>3.46</v>
      </c>
      <c r="H935">
        <v>0.9</v>
      </c>
      <c r="I935" t="s">
        <v>18</v>
      </c>
      <c r="J935">
        <v>8</v>
      </c>
      <c r="K935">
        <v>4</v>
      </c>
      <c r="L935">
        <v>10</v>
      </c>
      <c r="M935">
        <v>0</v>
      </c>
    </row>
    <row r="936" spans="1:13" x14ac:dyDescent="0.25">
      <c r="A936">
        <v>14</v>
      </c>
      <c r="B936" t="s">
        <v>19</v>
      </c>
      <c r="C936">
        <v>2.4</v>
      </c>
      <c r="D936" t="s">
        <v>20</v>
      </c>
      <c r="E936">
        <v>6.3</v>
      </c>
      <c r="F936">
        <v>2.8</v>
      </c>
      <c r="G936">
        <v>2.41</v>
      </c>
      <c r="H936">
        <v>0.7</v>
      </c>
      <c r="I936" t="s">
        <v>18</v>
      </c>
      <c r="J936">
        <v>9</v>
      </c>
      <c r="K936">
        <v>5</v>
      </c>
      <c r="L936">
        <v>2</v>
      </c>
      <c r="M936">
        <v>0</v>
      </c>
    </row>
    <row r="937" spans="1:13" x14ac:dyDescent="0.25">
      <c r="A937">
        <v>13</v>
      </c>
      <c r="B937" t="s">
        <v>16</v>
      </c>
      <c r="C937">
        <v>5.9</v>
      </c>
      <c r="D937" t="s">
        <v>17</v>
      </c>
      <c r="E937">
        <v>4.3</v>
      </c>
      <c r="F937">
        <v>0.8</v>
      </c>
      <c r="G937">
        <v>3.41</v>
      </c>
      <c r="H937">
        <v>1.1000000000000001</v>
      </c>
      <c r="I937" t="s">
        <v>22</v>
      </c>
      <c r="J937">
        <v>4</v>
      </c>
      <c r="K937">
        <v>3</v>
      </c>
      <c r="L937">
        <v>2</v>
      </c>
      <c r="M937">
        <v>0</v>
      </c>
    </row>
    <row r="938" spans="1:13" x14ac:dyDescent="0.25">
      <c r="A938">
        <v>19</v>
      </c>
      <c r="B938" t="s">
        <v>19</v>
      </c>
      <c r="C938">
        <v>7.4</v>
      </c>
      <c r="D938" t="s">
        <v>17</v>
      </c>
      <c r="E938">
        <v>5</v>
      </c>
      <c r="F938">
        <v>2</v>
      </c>
      <c r="G938">
        <v>2.68</v>
      </c>
      <c r="H938">
        <v>1.2</v>
      </c>
      <c r="I938" t="s">
        <v>18</v>
      </c>
      <c r="J938">
        <v>1</v>
      </c>
      <c r="K938">
        <v>6</v>
      </c>
      <c r="L938">
        <v>8</v>
      </c>
      <c r="M938">
        <v>0</v>
      </c>
    </row>
    <row r="939" spans="1:13" x14ac:dyDescent="0.25">
      <c r="A939">
        <v>15</v>
      </c>
      <c r="B939" t="s">
        <v>19</v>
      </c>
      <c r="C939">
        <v>4.5999999999999996</v>
      </c>
      <c r="D939" t="s">
        <v>20</v>
      </c>
      <c r="E939">
        <v>5.3</v>
      </c>
      <c r="F939">
        <v>3</v>
      </c>
      <c r="G939">
        <v>3.25</v>
      </c>
      <c r="H939">
        <v>0.2</v>
      </c>
      <c r="I939" t="s">
        <v>18</v>
      </c>
      <c r="J939">
        <v>1</v>
      </c>
      <c r="K939">
        <v>8</v>
      </c>
      <c r="L939">
        <v>7</v>
      </c>
      <c r="M939">
        <v>0</v>
      </c>
    </row>
    <row r="940" spans="1:13" x14ac:dyDescent="0.25">
      <c r="A940">
        <v>17</v>
      </c>
      <c r="B940" t="s">
        <v>16</v>
      </c>
      <c r="C940">
        <v>7.3</v>
      </c>
      <c r="D940" t="s">
        <v>17</v>
      </c>
      <c r="E940">
        <v>5.8</v>
      </c>
      <c r="F940">
        <v>2.9</v>
      </c>
      <c r="G940">
        <v>3.93</v>
      </c>
      <c r="H940">
        <v>0.9</v>
      </c>
      <c r="I940" t="s">
        <v>22</v>
      </c>
      <c r="J940">
        <v>6</v>
      </c>
      <c r="K940">
        <v>2</v>
      </c>
      <c r="L940">
        <v>9</v>
      </c>
      <c r="M940">
        <v>0</v>
      </c>
    </row>
    <row r="941" spans="1:13" x14ac:dyDescent="0.25">
      <c r="A941">
        <v>17</v>
      </c>
      <c r="B941" t="s">
        <v>19</v>
      </c>
      <c r="C941">
        <v>2.9</v>
      </c>
      <c r="D941" t="s">
        <v>20</v>
      </c>
      <c r="E941">
        <v>4.5</v>
      </c>
      <c r="F941">
        <v>0.9</v>
      </c>
      <c r="G941">
        <v>3.71</v>
      </c>
      <c r="H941">
        <v>0.1</v>
      </c>
      <c r="I941" t="s">
        <v>18</v>
      </c>
      <c r="J941">
        <v>1</v>
      </c>
      <c r="K941">
        <v>6</v>
      </c>
      <c r="L941">
        <v>4</v>
      </c>
      <c r="M941">
        <v>0</v>
      </c>
    </row>
    <row r="942" spans="1:13" x14ac:dyDescent="0.25">
      <c r="A942">
        <v>19</v>
      </c>
      <c r="B942" t="s">
        <v>16</v>
      </c>
      <c r="C942">
        <v>5.3</v>
      </c>
      <c r="D942" t="s">
        <v>20</v>
      </c>
      <c r="E942">
        <v>8.4</v>
      </c>
      <c r="F942">
        <v>0.6</v>
      </c>
      <c r="G942">
        <v>3.08</v>
      </c>
      <c r="H942">
        <v>0.4</v>
      </c>
      <c r="I942" t="s">
        <v>22</v>
      </c>
      <c r="J942">
        <v>9</v>
      </c>
      <c r="K942">
        <v>4</v>
      </c>
      <c r="L942">
        <v>6</v>
      </c>
      <c r="M942">
        <v>0</v>
      </c>
    </row>
    <row r="943" spans="1:13" x14ac:dyDescent="0.25">
      <c r="A943">
        <v>17</v>
      </c>
      <c r="B943" t="s">
        <v>19</v>
      </c>
      <c r="C943">
        <v>7.2</v>
      </c>
      <c r="D943" t="s">
        <v>20</v>
      </c>
      <c r="E943">
        <v>8.1999999999999993</v>
      </c>
      <c r="F943">
        <v>2.9</v>
      </c>
      <c r="G943">
        <v>3.69</v>
      </c>
      <c r="H943">
        <v>1</v>
      </c>
      <c r="I943" t="s">
        <v>21</v>
      </c>
      <c r="J943">
        <v>6</v>
      </c>
      <c r="K943">
        <v>2</v>
      </c>
      <c r="L943">
        <v>5</v>
      </c>
      <c r="M943">
        <v>0</v>
      </c>
    </row>
    <row r="944" spans="1:13" x14ac:dyDescent="0.25">
      <c r="A944">
        <v>15</v>
      </c>
      <c r="B944" t="s">
        <v>19</v>
      </c>
      <c r="C944">
        <v>2.6</v>
      </c>
      <c r="D944" t="s">
        <v>23</v>
      </c>
      <c r="E944">
        <v>7.9</v>
      </c>
      <c r="F944">
        <v>1.8</v>
      </c>
      <c r="G944">
        <v>3.91</v>
      </c>
      <c r="H944">
        <v>0.5</v>
      </c>
      <c r="I944" t="s">
        <v>22</v>
      </c>
      <c r="J944">
        <v>4</v>
      </c>
      <c r="K944">
        <v>5</v>
      </c>
      <c r="L944">
        <v>6</v>
      </c>
      <c r="M944">
        <v>0</v>
      </c>
    </row>
    <row r="945" spans="1:13" x14ac:dyDescent="0.25">
      <c r="A945">
        <v>15</v>
      </c>
      <c r="B945" t="s">
        <v>16</v>
      </c>
      <c r="C945">
        <v>3.6</v>
      </c>
      <c r="D945" t="s">
        <v>17</v>
      </c>
      <c r="E945">
        <v>4.8</v>
      </c>
      <c r="F945">
        <v>1</v>
      </c>
      <c r="G945">
        <v>3.71</v>
      </c>
      <c r="H945">
        <v>1.1000000000000001</v>
      </c>
      <c r="I945" t="s">
        <v>22</v>
      </c>
      <c r="J945">
        <v>5</v>
      </c>
      <c r="K945">
        <v>7</v>
      </c>
      <c r="L945">
        <v>4</v>
      </c>
      <c r="M945">
        <v>0</v>
      </c>
    </row>
    <row r="946" spans="1:13" x14ac:dyDescent="0.25">
      <c r="A946">
        <v>19</v>
      </c>
      <c r="B946" t="s">
        <v>16</v>
      </c>
      <c r="C946">
        <v>3.6</v>
      </c>
      <c r="D946" t="s">
        <v>17</v>
      </c>
      <c r="E946">
        <v>6.5</v>
      </c>
      <c r="F946">
        <v>1.1000000000000001</v>
      </c>
      <c r="G946">
        <v>3.65</v>
      </c>
      <c r="H946">
        <v>1.1000000000000001</v>
      </c>
      <c r="I946" t="s">
        <v>18</v>
      </c>
      <c r="J946">
        <v>5</v>
      </c>
      <c r="K946">
        <v>9</v>
      </c>
      <c r="L946">
        <v>10</v>
      </c>
      <c r="M946">
        <v>0</v>
      </c>
    </row>
    <row r="947" spans="1:13" x14ac:dyDescent="0.25">
      <c r="A947">
        <v>15</v>
      </c>
      <c r="B947" t="s">
        <v>19</v>
      </c>
      <c r="C947">
        <v>1.8</v>
      </c>
      <c r="D947" t="s">
        <v>17</v>
      </c>
      <c r="E947">
        <v>5.5</v>
      </c>
      <c r="F947">
        <v>1.6</v>
      </c>
      <c r="G947">
        <v>3.29</v>
      </c>
      <c r="H947">
        <v>1.3</v>
      </c>
      <c r="I947" t="s">
        <v>22</v>
      </c>
      <c r="J947">
        <v>6</v>
      </c>
      <c r="K947">
        <v>5</v>
      </c>
      <c r="L947">
        <v>9</v>
      </c>
      <c r="M947">
        <v>0</v>
      </c>
    </row>
    <row r="948" spans="1:13" x14ac:dyDescent="0.25">
      <c r="A948">
        <v>14</v>
      </c>
      <c r="B948" t="s">
        <v>19</v>
      </c>
      <c r="C948">
        <v>1.8</v>
      </c>
      <c r="D948" t="s">
        <v>17</v>
      </c>
      <c r="E948">
        <v>7.6</v>
      </c>
      <c r="F948">
        <v>1.2</v>
      </c>
      <c r="G948">
        <v>2.84</v>
      </c>
      <c r="H948">
        <v>1.1000000000000001</v>
      </c>
      <c r="I948" t="s">
        <v>21</v>
      </c>
      <c r="J948">
        <v>10</v>
      </c>
      <c r="K948">
        <v>1</v>
      </c>
      <c r="L948">
        <v>3</v>
      </c>
      <c r="M948">
        <v>0</v>
      </c>
    </row>
    <row r="949" spans="1:13" x14ac:dyDescent="0.25">
      <c r="A949">
        <v>15</v>
      </c>
      <c r="B949" t="s">
        <v>19</v>
      </c>
      <c r="C949">
        <v>7.4</v>
      </c>
      <c r="D949" t="s">
        <v>23</v>
      </c>
      <c r="E949">
        <v>8.4</v>
      </c>
      <c r="F949">
        <v>1.9</v>
      </c>
      <c r="G949">
        <v>3.73</v>
      </c>
      <c r="H949">
        <v>0.8</v>
      </c>
      <c r="I949" t="s">
        <v>21</v>
      </c>
      <c r="J949">
        <v>9</v>
      </c>
      <c r="K949">
        <v>9</v>
      </c>
      <c r="L949">
        <v>4</v>
      </c>
      <c r="M949">
        <v>0</v>
      </c>
    </row>
    <row r="950" spans="1:13" x14ac:dyDescent="0.25">
      <c r="A950">
        <v>15</v>
      </c>
      <c r="B950" t="s">
        <v>16</v>
      </c>
      <c r="C950">
        <v>4.8</v>
      </c>
      <c r="D950" t="s">
        <v>23</v>
      </c>
      <c r="E950">
        <v>4.3</v>
      </c>
      <c r="F950">
        <v>2.2000000000000002</v>
      </c>
      <c r="G950">
        <v>2.5</v>
      </c>
      <c r="H950">
        <v>0</v>
      </c>
      <c r="I950" t="s">
        <v>22</v>
      </c>
      <c r="J950">
        <v>4</v>
      </c>
      <c r="K950">
        <v>1</v>
      </c>
      <c r="L950">
        <v>4</v>
      </c>
      <c r="M950">
        <v>0</v>
      </c>
    </row>
    <row r="951" spans="1:13" x14ac:dyDescent="0.25">
      <c r="A951">
        <v>18</v>
      </c>
      <c r="B951" t="s">
        <v>16</v>
      </c>
      <c r="C951">
        <v>2.4</v>
      </c>
      <c r="D951" t="s">
        <v>23</v>
      </c>
      <c r="E951">
        <v>6.8</v>
      </c>
      <c r="F951">
        <v>1</v>
      </c>
      <c r="G951">
        <v>2.86</v>
      </c>
      <c r="H951">
        <v>1.5</v>
      </c>
      <c r="I951" t="s">
        <v>21</v>
      </c>
      <c r="J951">
        <v>9</v>
      </c>
      <c r="K951">
        <v>10</v>
      </c>
      <c r="L951">
        <v>8</v>
      </c>
      <c r="M951">
        <v>0</v>
      </c>
    </row>
    <row r="952" spans="1:13" x14ac:dyDescent="0.25">
      <c r="A952">
        <v>15</v>
      </c>
      <c r="B952" t="s">
        <v>16</v>
      </c>
      <c r="C952">
        <v>5.4</v>
      </c>
      <c r="D952" t="s">
        <v>20</v>
      </c>
      <c r="E952">
        <v>5.2</v>
      </c>
      <c r="F952">
        <v>0.6</v>
      </c>
      <c r="G952">
        <v>3.65</v>
      </c>
      <c r="H952">
        <v>1.5</v>
      </c>
      <c r="I952" t="s">
        <v>18</v>
      </c>
      <c r="J952">
        <v>7</v>
      </c>
      <c r="K952">
        <v>9</v>
      </c>
      <c r="L952">
        <v>10</v>
      </c>
      <c r="M952">
        <v>1</v>
      </c>
    </row>
    <row r="953" spans="1:13" x14ac:dyDescent="0.25">
      <c r="A953">
        <v>17</v>
      </c>
      <c r="B953" t="s">
        <v>19</v>
      </c>
      <c r="C953">
        <v>3.5</v>
      </c>
      <c r="D953" t="s">
        <v>23</v>
      </c>
      <c r="E953">
        <v>8.5</v>
      </c>
      <c r="F953">
        <v>2.2000000000000002</v>
      </c>
      <c r="G953">
        <v>2.11</v>
      </c>
      <c r="H953">
        <v>1.3</v>
      </c>
      <c r="I953" t="s">
        <v>22</v>
      </c>
      <c r="J953">
        <v>8</v>
      </c>
      <c r="K953">
        <v>8</v>
      </c>
      <c r="L953">
        <v>2</v>
      </c>
      <c r="M953">
        <v>0</v>
      </c>
    </row>
    <row r="954" spans="1:13" x14ac:dyDescent="0.25">
      <c r="A954">
        <v>18</v>
      </c>
      <c r="B954" t="s">
        <v>19</v>
      </c>
      <c r="C954">
        <v>3</v>
      </c>
      <c r="D954" t="s">
        <v>17</v>
      </c>
      <c r="E954">
        <v>5</v>
      </c>
      <c r="F954">
        <v>2</v>
      </c>
      <c r="G954">
        <v>2.4500000000000002</v>
      </c>
      <c r="H954">
        <v>1.2</v>
      </c>
      <c r="I954" t="s">
        <v>22</v>
      </c>
      <c r="J954">
        <v>1</v>
      </c>
      <c r="K954">
        <v>10</v>
      </c>
      <c r="L954">
        <v>7</v>
      </c>
      <c r="M954">
        <v>0</v>
      </c>
    </row>
    <row r="955" spans="1:13" x14ac:dyDescent="0.25">
      <c r="A955">
        <v>13</v>
      </c>
      <c r="B955" t="s">
        <v>19</v>
      </c>
      <c r="C955">
        <v>3.3</v>
      </c>
      <c r="D955" t="s">
        <v>23</v>
      </c>
      <c r="E955">
        <v>7.4</v>
      </c>
      <c r="F955">
        <v>0.9</v>
      </c>
      <c r="G955">
        <v>2.5299999999999998</v>
      </c>
      <c r="H955">
        <v>0.2</v>
      </c>
      <c r="I955" t="s">
        <v>22</v>
      </c>
      <c r="J955">
        <v>4</v>
      </c>
      <c r="K955">
        <v>10</v>
      </c>
      <c r="L955">
        <v>6</v>
      </c>
      <c r="M955">
        <v>0</v>
      </c>
    </row>
    <row r="956" spans="1:13" x14ac:dyDescent="0.25">
      <c r="A956">
        <v>19</v>
      </c>
      <c r="B956" t="s">
        <v>16</v>
      </c>
      <c r="C956">
        <v>5.5</v>
      </c>
      <c r="D956" t="s">
        <v>20</v>
      </c>
      <c r="E956">
        <v>5.0999999999999996</v>
      </c>
      <c r="F956">
        <v>2.7</v>
      </c>
      <c r="G956">
        <v>2.56</v>
      </c>
      <c r="H956">
        <v>1.4</v>
      </c>
      <c r="I956" t="s">
        <v>18</v>
      </c>
      <c r="J956">
        <v>2</v>
      </c>
      <c r="K956">
        <v>3</v>
      </c>
      <c r="L956">
        <v>7</v>
      </c>
      <c r="M956">
        <v>0</v>
      </c>
    </row>
    <row r="957" spans="1:13" x14ac:dyDescent="0.25">
      <c r="A957">
        <v>15</v>
      </c>
      <c r="B957" t="s">
        <v>16</v>
      </c>
      <c r="C957">
        <v>3.8</v>
      </c>
      <c r="D957" t="s">
        <v>23</v>
      </c>
      <c r="E957">
        <v>8.3000000000000007</v>
      </c>
      <c r="F957">
        <v>2.6</v>
      </c>
      <c r="G957">
        <v>3.19</v>
      </c>
      <c r="H957">
        <v>2</v>
      </c>
      <c r="I957" t="s">
        <v>22</v>
      </c>
      <c r="J957">
        <v>1</v>
      </c>
      <c r="K957">
        <v>2</v>
      </c>
      <c r="L957">
        <v>2</v>
      </c>
      <c r="M957">
        <v>0</v>
      </c>
    </row>
    <row r="958" spans="1:13" x14ac:dyDescent="0.25">
      <c r="A958">
        <v>17</v>
      </c>
      <c r="B958" t="s">
        <v>16</v>
      </c>
      <c r="C958">
        <v>5.7</v>
      </c>
      <c r="D958" t="s">
        <v>20</v>
      </c>
      <c r="E958">
        <v>8.6999999999999993</v>
      </c>
      <c r="F958">
        <v>2</v>
      </c>
      <c r="G958">
        <v>3.14</v>
      </c>
      <c r="H958">
        <v>1.7</v>
      </c>
      <c r="I958" t="s">
        <v>18</v>
      </c>
      <c r="J958">
        <v>1</v>
      </c>
      <c r="K958">
        <v>9</v>
      </c>
      <c r="L958">
        <v>8</v>
      </c>
      <c r="M958">
        <v>0</v>
      </c>
    </row>
    <row r="959" spans="1:13" x14ac:dyDescent="0.25">
      <c r="A959">
        <v>13</v>
      </c>
      <c r="B959" t="s">
        <v>19</v>
      </c>
      <c r="C959">
        <v>4.7</v>
      </c>
      <c r="D959" t="s">
        <v>20</v>
      </c>
      <c r="E959">
        <v>8</v>
      </c>
      <c r="F959">
        <v>1.1000000000000001</v>
      </c>
      <c r="G959">
        <v>2.37</v>
      </c>
      <c r="H959">
        <v>0.2</v>
      </c>
      <c r="I959" t="s">
        <v>18</v>
      </c>
      <c r="J959">
        <v>5</v>
      </c>
      <c r="K959">
        <v>10</v>
      </c>
      <c r="L959">
        <v>6</v>
      </c>
      <c r="M959">
        <v>0</v>
      </c>
    </row>
    <row r="960" spans="1:13" x14ac:dyDescent="0.25">
      <c r="A960">
        <v>17</v>
      </c>
      <c r="B960" t="s">
        <v>19</v>
      </c>
      <c r="C960">
        <v>4</v>
      </c>
      <c r="D960" t="s">
        <v>17</v>
      </c>
      <c r="E960">
        <v>6.7</v>
      </c>
      <c r="F960">
        <v>0.6</v>
      </c>
      <c r="G960">
        <v>2.5099999999999998</v>
      </c>
      <c r="H960">
        <v>1.5</v>
      </c>
      <c r="I960" t="s">
        <v>21</v>
      </c>
      <c r="J960">
        <v>9</v>
      </c>
      <c r="K960">
        <v>8</v>
      </c>
      <c r="L960">
        <v>5</v>
      </c>
      <c r="M960">
        <v>0</v>
      </c>
    </row>
    <row r="961" spans="1:13" x14ac:dyDescent="0.25">
      <c r="A961">
        <v>16</v>
      </c>
      <c r="B961" t="s">
        <v>16</v>
      </c>
      <c r="C961">
        <v>5.3</v>
      </c>
      <c r="D961" t="s">
        <v>20</v>
      </c>
      <c r="E961">
        <v>6.8</v>
      </c>
      <c r="F961">
        <v>0.7</v>
      </c>
      <c r="G961">
        <v>3.9</v>
      </c>
      <c r="H961">
        <v>1.5</v>
      </c>
      <c r="I961" t="s">
        <v>18</v>
      </c>
      <c r="J961">
        <v>5</v>
      </c>
      <c r="K961">
        <v>8</v>
      </c>
      <c r="L961">
        <v>3</v>
      </c>
      <c r="M961">
        <v>0</v>
      </c>
    </row>
    <row r="962" spans="1:13" x14ac:dyDescent="0.25">
      <c r="A962">
        <v>17</v>
      </c>
      <c r="B962" t="s">
        <v>16</v>
      </c>
      <c r="C962">
        <v>3.8</v>
      </c>
      <c r="D962" t="s">
        <v>17</v>
      </c>
      <c r="E962">
        <v>4.7</v>
      </c>
      <c r="F962">
        <v>1.2</v>
      </c>
      <c r="G962">
        <v>3.7</v>
      </c>
      <c r="H962">
        <v>1.4</v>
      </c>
      <c r="I962" t="s">
        <v>21</v>
      </c>
      <c r="J962">
        <v>2</v>
      </c>
      <c r="K962">
        <v>2</v>
      </c>
      <c r="L962">
        <v>5</v>
      </c>
      <c r="M962">
        <v>0</v>
      </c>
    </row>
    <row r="963" spans="1:13" x14ac:dyDescent="0.25">
      <c r="A963">
        <v>16</v>
      </c>
      <c r="B963" t="s">
        <v>19</v>
      </c>
      <c r="C963">
        <v>6</v>
      </c>
      <c r="D963" t="s">
        <v>23</v>
      </c>
      <c r="E963">
        <v>4.0999999999999996</v>
      </c>
      <c r="F963">
        <v>2.4</v>
      </c>
      <c r="G963">
        <v>2.61</v>
      </c>
      <c r="H963">
        <v>1.1000000000000001</v>
      </c>
      <c r="I963" t="s">
        <v>21</v>
      </c>
      <c r="J963">
        <v>1</v>
      </c>
      <c r="K963">
        <v>6</v>
      </c>
      <c r="L963">
        <v>3</v>
      </c>
      <c r="M963">
        <v>0</v>
      </c>
    </row>
    <row r="964" spans="1:13" x14ac:dyDescent="0.25">
      <c r="A964">
        <v>15</v>
      </c>
      <c r="B964" t="s">
        <v>16</v>
      </c>
      <c r="C964">
        <v>2.2000000000000002</v>
      </c>
      <c r="D964" t="s">
        <v>23</v>
      </c>
      <c r="E964">
        <v>4.5</v>
      </c>
      <c r="F964">
        <v>1.3</v>
      </c>
      <c r="G964">
        <v>2.63</v>
      </c>
      <c r="H964">
        <v>1.7</v>
      </c>
      <c r="I964" t="s">
        <v>18</v>
      </c>
      <c r="J964">
        <v>10</v>
      </c>
      <c r="K964">
        <v>2</v>
      </c>
      <c r="L964">
        <v>6</v>
      </c>
      <c r="M964">
        <v>0</v>
      </c>
    </row>
    <row r="965" spans="1:13" x14ac:dyDescent="0.25">
      <c r="A965">
        <v>18</v>
      </c>
      <c r="B965" t="s">
        <v>16</v>
      </c>
      <c r="C965">
        <v>4.3</v>
      </c>
      <c r="D965" t="s">
        <v>20</v>
      </c>
      <c r="E965">
        <v>8.4</v>
      </c>
      <c r="F965">
        <v>2.1</v>
      </c>
      <c r="G965">
        <v>2.69</v>
      </c>
      <c r="H965">
        <v>0.2</v>
      </c>
      <c r="I965" t="s">
        <v>18</v>
      </c>
      <c r="J965">
        <v>1</v>
      </c>
      <c r="K965">
        <v>10</v>
      </c>
      <c r="L965">
        <v>8</v>
      </c>
      <c r="M965">
        <v>0</v>
      </c>
    </row>
    <row r="966" spans="1:13" x14ac:dyDescent="0.25">
      <c r="A966">
        <v>19</v>
      </c>
      <c r="B966" t="s">
        <v>19</v>
      </c>
      <c r="C966">
        <v>7.5</v>
      </c>
      <c r="D966" t="s">
        <v>20</v>
      </c>
      <c r="E966">
        <v>4.5</v>
      </c>
      <c r="F966">
        <v>2.7</v>
      </c>
      <c r="G966">
        <v>2.41</v>
      </c>
      <c r="H966">
        <v>1</v>
      </c>
      <c r="I966" t="s">
        <v>21</v>
      </c>
      <c r="J966">
        <v>3</v>
      </c>
      <c r="K966">
        <v>2</v>
      </c>
      <c r="L966">
        <v>6</v>
      </c>
      <c r="M966">
        <v>0</v>
      </c>
    </row>
    <row r="967" spans="1:13" x14ac:dyDescent="0.25">
      <c r="A967">
        <v>14</v>
      </c>
      <c r="B967" t="s">
        <v>16</v>
      </c>
      <c r="C967">
        <v>5.3</v>
      </c>
      <c r="D967" t="s">
        <v>17</v>
      </c>
      <c r="E967">
        <v>6.8</v>
      </c>
      <c r="F967">
        <v>2.9</v>
      </c>
      <c r="G967">
        <v>2.1800000000000002</v>
      </c>
      <c r="H967">
        <v>0.8</v>
      </c>
      <c r="I967" t="s">
        <v>22</v>
      </c>
      <c r="J967">
        <v>10</v>
      </c>
      <c r="K967">
        <v>1</v>
      </c>
      <c r="L967">
        <v>6</v>
      </c>
      <c r="M967">
        <v>0</v>
      </c>
    </row>
    <row r="968" spans="1:13" x14ac:dyDescent="0.25">
      <c r="A968">
        <v>14</v>
      </c>
      <c r="B968" t="s">
        <v>19</v>
      </c>
      <c r="C968">
        <v>7</v>
      </c>
      <c r="D968" t="s">
        <v>17</v>
      </c>
      <c r="E968">
        <v>6.9</v>
      </c>
      <c r="F968">
        <v>2.1</v>
      </c>
      <c r="G968">
        <v>3.42</v>
      </c>
      <c r="H968">
        <v>1.1000000000000001</v>
      </c>
      <c r="I968" t="s">
        <v>21</v>
      </c>
      <c r="J968">
        <v>10</v>
      </c>
      <c r="K968">
        <v>3</v>
      </c>
      <c r="L968">
        <v>6</v>
      </c>
      <c r="M968">
        <v>0</v>
      </c>
    </row>
    <row r="969" spans="1:13" x14ac:dyDescent="0.25">
      <c r="A969">
        <v>16</v>
      </c>
      <c r="B969" t="s">
        <v>19</v>
      </c>
      <c r="C969">
        <v>2.1</v>
      </c>
      <c r="D969" t="s">
        <v>23</v>
      </c>
      <c r="E969">
        <v>4.5999999999999996</v>
      </c>
      <c r="F969">
        <v>2</v>
      </c>
      <c r="G969">
        <v>2.5499999999999998</v>
      </c>
      <c r="H969">
        <v>1.8</v>
      </c>
      <c r="I969" t="s">
        <v>21</v>
      </c>
      <c r="J969">
        <v>5</v>
      </c>
      <c r="K969">
        <v>4</v>
      </c>
      <c r="L969">
        <v>4</v>
      </c>
      <c r="M969">
        <v>0</v>
      </c>
    </row>
    <row r="970" spans="1:13" x14ac:dyDescent="0.25">
      <c r="A970">
        <v>18</v>
      </c>
      <c r="B970" t="s">
        <v>19</v>
      </c>
      <c r="C970">
        <v>7.3</v>
      </c>
      <c r="D970" t="s">
        <v>23</v>
      </c>
      <c r="E970">
        <v>7.3</v>
      </c>
      <c r="F970">
        <v>2.8</v>
      </c>
      <c r="G970">
        <v>3.3</v>
      </c>
      <c r="H970">
        <v>0.4</v>
      </c>
      <c r="I970" t="s">
        <v>18</v>
      </c>
      <c r="J970">
        <v>1</v>
      </c>
      <c r="K970">
        <v>8</v>
      </c>
      <c r="L970">
        <v>1</v>
      </c>
      <c r="M970">
        <v>0</v>
      </c>
    </row>
    <row r="971" spans="1:13" x14ac:dyDescent="0.25">
      <c r="A971">
        <v>17</v>
      </c>
      <c r="B971" t="s">
        <v>19</v>
      </c>
      <c r="C971">
        <v>2.6</v>
      </c>
      <c r="D971" t="s">
        <v>17</v>
      </c>
      <c r="E971">
        <v>6.5</v>
      </c>
      <c r="F971">
        <v>1.5</v>
      </c>
      <c r="G971">
        <v>3.8</v>
      </c>
      <c r="H971">
        <v>0.2</v>
      </c>
      <c r="I971" t="s">
        <v>21</v>
      </c>
      <c r="J971">
        <v>8</v>
      </c>
      <c r="K971">
        <v>6</v>
      </c>
      <c r="L971">
        <v>1</v>
      </c>
      <c r="M971">
        <v>0</v>
      </c>
    </row>
    <row r="972" spans="1:13" x14ac:dyDescent="0.25">
      <c r="A972">
        <v>17</v>
      </c>
      <c r="B972" t="s">
        <v>16</v>
      </c>
      <c r="C972">
        <v>5.4</v>
      </c>
      <c r="D972" t="s">
        <v>23</v>
      </c>
      <c r="E972">
        <v>4.9000000000000004</v>
      </c>
      <c r="F972">
        <v>1.5</v>
      </c>
      <c r="G972">
        <v>3.4</v>
      </c>
      <c r="H972">
        <v>0</v>
      </c>
      <c r="I972" t="s">
        <v>22</v>
      </c>
      <c r="J972">
        <v>2</v>
      </c>
      <c r="K972">
        <v>2</v>
      </c>
      <c r="L972">
        <v>1</v>
      </c>
      <c r="M972">
        <v>0</v>
      </c>
    </row>
    <row r="973" spans="1:13" x14ac:dyDescent="0.25">
      <c r="A973">
        <v>15</v>
      </c>
      <c r="B973" t="s">
        <v>16</v>
      </c>
      <c r="C973">
        <v>6.9</v>
      </c>
      <c r="D973" t="s">
        <v>17</v>
      </c>
      <c r="E973">
        <v>6.2</v>
      </c>
      <c r="F973">
        <v>0.6</v>
      </c>
      <c r="G973">
        <v>2.37</v>
      </c>
      <c r="H973">
        <v>0.2</v>
      </c>
      <c r="I973" t="s">
        <v>18</v>
      </c>
      <c r="J973">
        <v>3</v>
      </c>
      <c r="K973">
        <v>1</v>
      </c>
      <c r="L973">
        <v>4</v>
      </c>
      <c r="M973">
        <v>0</v>
      </c>
    </row>
    <row r="974" spans="1:13" x14ac:dyDescent="0.25">
      <c r="A974">
        <v>19</v>
      </c>
      <c r="B974" t="s">
        <v>19</v>
      </c>
      <c r="C974">
        <v>3</v>
      </c>
      <c r="D974" t="s">
        <v>17</v>
      </c>
      <c r="E974">
        <v>5.5</v>
      </c>
      <c r="F974">
        <v>2.1</v>
      </c>
      <c r="G974">
        <v>3.08</v>
      </c>
      <c r="H974">
        <v>0.7</v>
      </c>
      <c r="I974" t="s">
        <v>18</v>
      </c>
      <c r="J974">
        <v>9</v>
      </c>
      <c r="K974">
        <v>3</v>
      </c>
      <c r="L974">
        <v>5</v>
      </c>
      <c r="M974">
        <v>0</v>
      </c>
    </row>
    <row r="975" spans="1:13" x14ac:dyDescent="0.25">
      <c r="A975">
        <v>18</v>
      </c>
      <c r="B975" t="s">
        <v>16</v>
      </c>
      <c r="C975">
        <v>1.3</v>
      </c>
      <c r="D975" t="s">
        <v>17</v>
      </c>
      <c r="E975">
        <v>4.5</v>
      </c>
      <c r="F975">
        <v>2.2999999999999998</v>
      </c>
      <c r="G975">
        <v>2.2799999999999998</v>
      </c>
      <c r="H975">
        <v>1</v>
      </c>
      <c r="I975" t="s">
        <v>18</v>
      </c>
      <c r="J975">
        <v>2</v>
      </c>
      <c r="K975">
        <v>7</v>
      </c>
      <c r="L975">
        <v>8</v>
      </c>
      <c r="M975">
        <v>0</v>
      </c>
    </row>
    <row r="976" spans="1:13" x14ac:dyDescent="0.25">
      <c r="A976">
        <v>15</v>
      </c>
      <c r="B976" t="s">
        <v>16</v>
      </c>
      <c r="C976">
        <v>6.2</v>
      </c>
      <c r="D976" t="s">
        <v>23</v>
      </c>
      <c r="E976">
        <v>6.4</v>
      </c>
      <c r="F976">
        <v>1.4</v>
      </c>
      <c r="G976">
        <v>3.34</v>
      </c>
      <c r="H976">
        <v>0.9</v>
      </c>
      <c r="I976" t="s">
        <v>21</v>
      </c>
      <c r="J976">
        <v>8</v>
      </c>
      <c r="K976">
        <v>9</v>
      </c>
      <c r="L976">
        <v>9</v>
      </c>
      <c r="M976">
        <v>0</v>
      </c>
    </row>
    <row r="977" spans="1:13" x14ac:dyDescent="0.25">
      <c r="A977">
        <v>15</v>
      </c>
      <c r="B977" t="s">
        <v>16</v>
      </c>
      <c r="C977">
        <v>3.6</v>
      </c>
      <c r="D977" t="s">
        <v>17</v>
      </c>
      <c r="E977">
        <v>5.5</v>
      </c>
      <c r="F977">
        <v>1.2</v>
      </c>
      <c r="G977">
        <v>2.4900000000000002</v>
      </c>
      <c r="H977">
        <v>1.9</v>
      </c>
      <c r="I977" t="s">
        <v>18</v>
      </c>
      <c r="J977">
        <v>1</v>
      </c>
      <c r="K977">
        <v>4</v>
      </c>
      <c r="L977">
        <v>9</v>
      </c>
      <c r="M977">
        <v>0</v>
      </c>
    </row>
    <row r="978" spans="1:13" x14ac:dyDescent="0.25">
      <c r="A978">
        <v>18</v>
      </c>
      <c r="B978" t="s">
        <v>19</v>
      </c>
      <c r="C978">
        <v>6.5</v>
      </c>
      <c r="D978" t="s">
        <v>23</v>
      </c>
      <c r="E978">
        <v>6.7</v>
      </c>
      <c r="F978">
        <v>2.5</v>
      </c>
      <c r="G978">
        <v>2.98</v>
      </c>
      <c r="H978">
        <v>0.1</v>
      </c>
      <c r="I978" t="s">
        <v>21</v>
      </c>
      <c r="J978">
        <v>9</v>
      </c>
      <c r="K978">
        <v>7</v>
      </c>
      <c r="L978">
        <v>7</v>
      </c>
      <c r="M978">
        <v>0</v>
      </c>
    </row>
    <row r="979" spans="1:13" x14ac:dyDescent="0.25">
      <c r="A979">
        <v>17</v>
      </c>
      <c r="B979" t="s">
        <v>19</v>
      </c>
      <c r="C979">
        <v>5.3</v>
      </c>
      <c r="D979" t="s">
        <v>17</v>
      </c>
      <c r="E979">
        <v>6.6</v>
      </c>
      <c r="F979">
        <v>0.6</v>
      </c>
      <c r="G979">
        <v>3.04</v>
      </c>
      <c r="H979">
        <v>0.1</v>
      </c>
      <c r="I979" t="s">
        <v>21</v>
      </c>
      <c r="J979">
        <v>3</v>
      </c>
      <c r="K979">
        <v>7</v>
      </c>
      <c r="L979">
        <v>1</v>
      </c>
      <c r="M979">
        <v>0</v>
      </c>
    </row>
    <row r="980" spans="1:13" x14ac:dyDescent="0.25">
      <c r="A980">
        <v>16</v>
      </c>
      <c r="B980" t="s">
        <v>16</v>
      </c>
      <c r="C980">
        <v>4.5999999999999996</v>
      </c>
      <c r="D980" t="s">
        <v>23</v>
      </c>
      <c r="E980">
        <v>5.3</v>
      </c>
      <c r="F980">
        <v>1.3</v>
      </c>
      <c r="G980">
        <v>3.76</v>
      </c>
      <c r="H980">
        <v>0.5</v>
      </c>
      <c r="I980" t="s">
        <v>22</v>
      </c>
      <c r="J980">
        <v>3</v>
      </c>
      <c r="K980">
        <v>8</v>
      </c>
      <c r="L980">
        <v>8</v>
      </c>
      <c r="M980">
        <v>0</v>
      </c>
    </row>
    <row r="981" spans="1:13" x14ac:dyDescent="0.25">
      <c r="A981">
        <v>18</v>
      </c>
      <c r="B981" t="s">
        <v>16</v>
      </c>
      <c r="C981">
        <v>7.7</v>
      </c>
      <c r="D981" t="s">
        <v>23</v>
      </c>
      <c r="E981">
        <v>6.6</v>
      </c>
      <c r="F981">
        <v>1.6</v>
      </c>
      <c r="G981">
        <v>4</v>
      </c>
      <c r="H981">
        <v>1.9</v>
      </c>
      <c r="I981" t="s">
        <v>21</v>
      </c>
      <c r="J981">
        <v>3</v>
      </c>
      <c r="K981">
        <v>3</v>
      </c>
      <c r="L981">
        <v>9</v>
      </c>
      <c r="M981">
        <v>0</v>
      </c>
    </row>
    <row r="982" spans="1:13" x14ac:dyDescent="0.25">
      <c r="A982">
        <v>19</v>
      </c>
      <c r="B982" t="s">
        <v>16</v>
      </c>
      <c r="C982">
        <v>7.1</v>
      </c>
      <c r="D982" t="s">
        <v>20</v>
      </c>
      <c r="E982">
        <v>8.4</v>
      </c>
      <c r="F982">
        <v>1.8</v>
      </c>
      <c r="G982">
        <v>2.93</v>
      </c>
      <c r="H982">
        <v>1.3</v>
      </c>
      <c r="I982" t="s">
        <v>22</v>
      </c>
      <c r="J982">
        <v>1</v>
      </c>
      <c r="K982">
        <v>6</v>
      </c>
      <c r="L982">
        <v>8</v>
      </c>
      <c r="M982">
        <v>0</v>
      </c>
    </row>
    <row r="983" spans="1:13" x14ac:dyDescent="0.25">
      <c r="A983">
        <v>16</v>
      </c>
      <c r="B983" t="s">
        <v>16</v>
      </c>
      <c r="C983">
        <v>3.9</v>
      </c>
      <c r="D983" t="s">
        <v>20</v>
      </c>
      <c r="E983">
        <v>7.5</v>
      </c>
      <c r="F983">
        <v>2.1</v>
      </c>
      <c r="G983">
        <v>3.24</v>
      </c>
      <c r="H983">
        <v>0.9</v>
      </c>
      <c r="I983" t="s">
        <v>18</v>
      </c>
      <c r="J983">
        <v>4</v>
      </c>
      <c r="K983">
        <v>3</v>
      </c>
      <c r="L983">
        <v>2</v>
      </c>
      <c r="M983">
        <v>0</v>
      </c>
    </row>
    <row r="984" spans="1:13" x14ac:dyDescent="0.25">
      <c r="A984">
        <v>19</v>
      </c>
      <c r="B984" t="s">
        <v>19</v>
      </c>
      <c r="C984">
        <v>7.5</v>
      </c>
      <c r="D984" t="s">
        <v>20</v>
      </c>
      <c r="E984">
        <v>8.6</v>
      </c>
      <c r="F984">
        <v>0.9</v>
      </c>
      <c r="G984">
        <v>2.25</v>
      </c>
      <c r="H984">
        <v>1.6</v>
      </c>
      <c r="I984" t="s">
        <v>21</v>
      </c>
      <c r="J984">
        <v>9</v>
      </c>
      <c r="K984">
        <v>8</v>
      </c>
      <c r="L984">
        <v>4</v>
      </c>
      <c r="M984">
        <v>0</v>
      </c>
    </row>
    <row r="985" spans="1:13" x14ac:dyDescent="0.25">
      <c r="A985">
        <v>18</v>
      </c>
      <c r="B985" t="s">
        <v>16</v>
      </c>
      <c r="C985">
        <v>5.8</v>
      </c>
      <c r="D985" t="s">
        <v>20</v>
      </c>
      <c r="E985">
        <v>7.5</v>
      </c>
      <c r="F985">
        <v>2.2000000000000002</v>
      </c>
      <c r="G985">
        <v>3.65</v>
      </c>
      <c r="H985">
        <v>1.4</v>
      </c>
      <c r="I985" t="s">
        <v>22</v>
      </c>
      <c r="J985">
        <v>4</v>
      </c>
      <c r="K985">
        <v>4</v>
      </c>
      <c r="L985">
        <v>8</v>
      </c>
      <c r="M985">
        <v>0</v>
      </c>
    </row>
    <row r="986" spans="1:13" x14ac:dyDescent="0.25">
      <c r="A986">
        <v>17</v>
      </c>
      <c r="B986" t="s">
        <v>19</v>
      </c>
      <c r="C986">
        <v>7.6</v>
      </c>
      <c r="D986" t="s">
        <v>17</v>
      </c>
      <c r="E986">
        <v>7.3</v>
      </c>
      <c r="F986">
        <v>2.9</v>
      </c>
      <c r="G986">
        <v>2.99</v>
      </c>
      <c r="H986">
        <v>1.2</v>
      </c>
      <c r="I986" t="s">
        <v>21</v>
      </c>
      <c r="J986">
        <v>4</v>
      </c>
      <c r="K986">
        <v>8</v>
      </c>
      <c r="L986">
        <v>10</v>
      </c>
      <c r="M986">
        <v>0</v>
      </c>
    </row>
    <row r="987" spans="1:13" x14ac:dyDescent="0.25">
      <c r="A987">
        <v>19</v>
      </c>
      <c r="B987" t="s">
        <v>19</v>
      </c>
      <c r="C987">
        <v>4.4000000000000004</v>
      </c>
      <c r="D987" t="s">
        <v>17</v>
      </c>
      <c r="E987">
        <v>7.4</v>
      </c>
      <c r="F987">
        <v>2.8</v>
      </c>
      <c r="G987">
        <v>3.28</v>
      </c>
      <c r="H987">
        <v>1.5</v>
      </c>
      <c r="I987" t="s">
        <v>22</v>
      </c>
      <c r="J987">
        <v>7</v>
      </c>
      <c r="K987">
        <v>5</v>
      </c>
      <c r="L987">
        <v>4</v>
      </c>
      <c r="M987">
        <v>0</v>
      </c>
    </row>
    <row r="988" spans="1:13" x14ac:dyDescent="0.25">
      <c r="A988">
        <v>19</v>
      </c>
      <c r="B988" t="s">
        <v>16</v>
      </c>
      <c r="C988">
        <v>4.5999999999999996</v>
      </c>
      <c r="D988" t="s">
        <v>23</v>
      </c>
      <c r="E988">
        <v>4.5999999999999996</v>
      </c>
      <c r="F988">
        <v>2.5</v>
      </c>
      <c r="G988">
        <v>2.4</v>
      </c>
      <c r="H988">
        <v>1</v>
      </c>
      <c r="I988" t="s">
        <v>21</v>
      </c>
      <c r="J988">
        <v>10</v>
      </c>
      <c r="K988">
        <v>10</v>
      </c>
      <c r="L988">
        <v>8</v>
      </c>
      <c r="M988">
        <v>0</v>
      </c>
    </row>
    <row r="989" spans="1:13" x14ac:dyDescent="0.25">
      <c r="A989">
        <v>18</v>
      </c>
      <c r="B989" t="s">
        <v>19</v>
      </c>
      <c r="C989">
        <v>7</v>
      </c>
      <c r="D989" t="s">
        <v>23</v>
      </c>
      <c r="E989">
        <v>8.9</v>
      </c>
      <c r="F989">
        <v>0.7</v>
      </c>
      <c r="G989">
        <v>2.79</v>
      </c>
      <c r="H989">
        <v>0.4</v>
      </c>
      <c r="I989" t="s">
        <v>22</v>
      </c>
      <c r="J989">
        <v>2</v>
      </c>
      <c r="K989">
        <v>10</v>
      </c>
      <c r="L989">
        <v>8</v>
      </c>
      <c r="M989">
        <v>0</v>
      </c>
    </row>
    <row r="990" spans="1:13" x14ac:dyDescent="0.25">
      <c r="A990">
        <v>16</v>
      </c>
      <c r="B990" t="s">
        <v>19</v>
      </c>
      <c r="C990">
        <v>3.6</v>
      </c>
      <c r="D990" t="s">
        <v>20</v>
      </c>
      <c r="E990">
        <v>8.8000000000000007</v>
      </c>
      <c r="F990">
        <v>1.2</v>
      </c>
      <c r="G990">
        <v>2.3199999999999998</v>
      </c>
      <c r="H990">
        <v>0.5</v>
      </c>
      <c r="I990" t="s">
        <v>18</v>
      </c>
      <c r="J990">
        <v>2</v>
      </c>
      <c r="K990">
        <v>4</v>
      </c>
      <c r="L990">
        <v>5</v>
      </c>
      <c r="M990">
        <v>0</v>
      </c>
    </row>
    <row r="991" spans="1:13" x14ac:dyDescent="0.25">
      <c r="A991">
        <v>15</v>
      </c>
      <c r="B991" t="s">
        <v>19</v>
      </c>
      <c r="C991">
        <v>3</v>
      </c>
      <c r="D991" t="s">
        <v>20</v>
      </c>
      <c r="E991">
        <v>6.6</v>
      </c>
      <c r="F991">
        <v>0.9</v>
      </c>
      <c r="G991">
        <v>2.69</v>
      </c>
      <c r="H991">
        <v>1.8</v>
      </c>
      <c r="I991" t="s">
        <v>22</v>
      </c>
      <c r="J991">
        <v>1</v>
      </c>
      <c r="K991">
        <v>2</v>
      </c>
      <c r="L991">
        <v>2</v>
      </c>
      <c r="M991">
        <v>0</v>
      </c>
    </row>
    <row r="992" spans="1:13" x14ac:dyDescent="0.25">
      <c r="A992">
        <v>19</v>
      </c>
      <c r="B992" t="s">
        <v>19</v>
      </c>
      <c r="C992">
        <v>7.2</v>
      </c>
      <c r="D992" t="s">
        <v>17</v>
      </c>
      <c r="E992">
        <v>6.4</v>
      </c>
      <c r="F992">
        <v>2.9</v>
      </c>
      <c r="G992">
        <v>3.82</v>
      </c>
      <c r="H992">
        <v>1</v>
      </c>
      <c r="I992" t="s">
        <v>22</v>
      </c>
      <c r="J992">
        <v>5</v>
      </c>
      <c r="K992">
        <v>4</v>
      </c>
      <c r="L992">
        <v>5</v>
      </c>
      <c r="M992">
        <v>0</v>
      </c>
    </row>
    <row r="993" spans="1:13" x14ac:dyDescent="0.25">
      <c r="A993">
        <v>15</v>
      </c>
      <c r="B993" t="s">
        <v>19</v>
      </c>
      <c r="C993">
        <v>5.6</v>
      </c>
      <c r="D993" t="s">
        <v>23</v>
      </c>
      <c r="E993">
        <v>5.9</v>
      </c>
      <c r="F993">
        <v>2</v>
      </c>
      <c r="G993">
        <v>2.97</v>
      </c>
      <c r="H993">
        <v>0.6</v>
      </c>
      <c r="I993" t="s">
        <v>18</v>
      </c>
      <c r="J993">
        <v>9</v>
      </c>
      <c r="K993">
        <v>3</v>
      </c>
      <c r="L993">
        <v>3</v>
      </c>
      <c r="M993">
        <v>0</v>
      </c>
    </row>
    <row r="994" spans="1:13" x14ac:dyDescent="0.25">
      <c r="A994">
        <v>14</v>
      </c>
      <c r="B994" t="s">
        <v>19</v>
      </c>
      <c r="C994">
        <v>2</v>
      </c>
      <c r="D994" t="s">
        <v>17</v>
      </c>
      <c r="E994">
        <v>4.7</v>
      </c>
      <c r="F994">
        <v>1.1000000000000001</v>
      </c>
      <c r="G994">
        <v>2.5099999999999998</v>
      </c>
      <c r="H994">
        <v>0</v>
      </c>
      <c r="I994" t="s">
        <v>21</v>
      </c>
      <c r="J994">
        <v>2</v>
      </c>
      <c r="K994">
        <v>9</v>
      </c>
      <c r="L994">
        <v>4</v>
      </c>
      <c r="M994">
        <v>0</v>
      </c>
    </row>
    <row r="995" spans="1:13" x14ac:dyDescent="0.25">
      <c r="A995">
        <v>14</v>
      </c>
      <c r="B995" t="s">
        <v>19</v>
      </c>
      <c r="C995">
        <v>4.4000000000000004</v>
      </c>
      <c r="D995" t="s">
        <v>20</v>
      </c>
      <c r="E995">
        <v>5.0999999999999996</v>
      </c>
      <c r="F995">
        <v>2.8</v>
      </c>
      <c r="G995">
        <v>2.2200000000000002</v>
      </c>
      <c r="H995">
        <v>0.5</v>
      </c>
      <c r="I995" t="s">
        <v>21</v>
      </c>
      <c r="J995">
        <v>5</v>
      </c>
      <c r="K995">
        <v>4</v>
      </c>
      <c r="L995">
        <v>1</v>
      </c>
      <c r="M995">
        <v>0</v>
      </c>
    </row>
    <row r="996" spans="1:13" x14ac:dyDescent="0.25">
      <c r="A996">
        <v>13</v>
      </c>
      <c r="B996" t="s">
        <v>16</v>
      </c>
      <c r="C996">
        <v>3.5</v>
      </c>
      <c r="D996" t="s">
        <v>20</v>
      </c>
      <c r="E996">
        <v>5.8</v>
      </c>
      <c r="F996">
        <v>1.2</v>
      </c>
      <c r="G996">
        <v>2.44</v>
      </c>
      <c r="H996">
        <v>1.5</v>
      </c>
      <c r="I996" t="s">
        <v>22</v>
      </c>
      <c r="J996">
        <v>4</v>
      </c>
      <c r="K996">
        <v>1</v>
      </c>
      <c r="L996">
        <v>8</v>
      </c>
      <c r="M996">
        <v>0</v>
      </c>
    </row>
    <row r="997" spans="1:13" x14ac:dyDescent="0.25">
      <c r="A997">
        <v>13</v>
      </c>
      <c r="B997" t="s">
        <v>16</v>
      </c>
      <c r="C997">
        <v>6.5</v>
      </c>
      <c r="D997" t="s">
        <v>17</v>
      </c>
      <c r="E997">
        <v>6.5</v>
      </c>
      <c r="F997">
        <v>1.5</v>
      </c>
      <c r="G997">
        <v>2.0499999999999998</v>
      </c>
      <c r="H997">
        <v>0.5</v>
      </c>
      <c r="I997" t="s">
        <v>18</v>
      </c>
      <c r="J997">
        <v>3</v>
      </c>
      <c r="K997">
        <v>9</v>
      </c>
      <c r="L997">
        <v>4</v>
      </c>
      <c r="M997">
        <v>0</v>
      </c>
    </row>
    <row r="998" spans="1:13" x14ac:dyDescent="0.25">
      <c r="A998">
        <v>14</v>
      </c>
      <c r="B998" t="s">
        <v>16</v>
      </c>
      <c r="C998">
        <v>4.4000000000000004</v>
      </c>
      <c r="D998" t="s">
        <v>17</v>
      </c>
      <c r="E998">
        <v>8.8000000000000007</v>
      </c>
      <c r="F998">
        <v>2.2999999999999998</v>
      </c>
      <c r="G998">
        <v>2.73</v>
      </c>
      <c r="H998">
        <v>0.3</v>
      </c>
      <c r="I998" t="s">
        <v>22</v>
      </c>
      <c r="J998">
        <v>9</v>
      </c>
      <c r="K998">
        <v>2</v>
      </c>
      <c r="L998">
        <v>2</v>
      </c>
      <c r="M998">
        <v>0</v>
      </c>
    </row>
    <row r="999" spans="1:13" x14ac:dyDescent="0.25">
      <c r="A999">
        <v>17</v>
      </c>
      <c r="B999" t="s">
        <v>19</v>
      </c>
      <c r="C999">
        <v>3.1</v>
      </c>
      <c r="D999" t="s">
        <v>20</v>
      </c>
      <c r="E999">
        <v>4.2</v>
      </c>
      <c r="F999">
        <v>0.8</v>
      </c>
      <c r="G999">
        <v>2.2799999999999998</v>
      </c>
      <c r="H999">
        <v>1.6</v>
      </c>
      <c r="I999" t="s">
        <v>22</v>
      </c>
      <c r="J999">
        <v>4</v>
      </c>
      <c r="K999">
        <v>9</v>
      </c>
      <c r="L999">
        <v>6</v>
      </c>
      <c r="M999">
        <v>0</v>
      </c>
    </row>
    <row r="1000" spans="1:13" x14ac:dyDescent="0.25">
      <c r="A1000">
        <v>15</v>
      </c>
      <c r="B1000" t="s">
        <v>16</v>
      </c>
      <c r="C1000">
        <v>7.8</v>
      </c>
      <c r="D1000" t="s">
        <v>23</v>
      </c>
      <c r="E1000">
        <v>4.2</v>
      </c>
      <c r="F1000">
        <v>2.1</v>
      </c>
      <c r="G1000">
        <v>3.42</v>
      </c>
      <c r="H1000">
        <v>0</v>
      </c>
      <c r="I1000" t="s">
        <v>18</v>
      </c>
      <c r="J1000">
        <v>10</v>
      </c>
      <c r="K1000">
        <v>7</v>
      </c>
      <c r="L1000">
        <v>9</v>
      </c>
      <c r="M1000">
        <v>1</v>
      </c>
    </row>
    <row r="1001" spans="1:13" x14ac:dyDescent="0.25">
      <c r="A1001">
        <v>19</v>
      </c>
      <c r="B1001" t="s">
        <v>19</v>
      </c>
      <c r="C1001">
        <v>2.1</v>
      </c>
      <c r="D1001" t="s">
        <v>23</v>
      </c>
      <c r="E1001">
        <v>4.4000000000000004</v>
      </c>
      <c r="F1001">
        <v>2.2000000000000002</v>
      </c>
      <c r="G1001">
        <v>2.4700000000000002</v>
      </c>
      <c r="H1001">
        <v>0.7</v>
      </c>
      <c r="I1001" t="s">
        <v>21</v>
      </c>
      <c r="J1001">
        <v>9</v>
      </c>
      <c r="K1001">
        <v>5</v>
      </c>
      <c r="L1001">
        <v>6</v>
      </c>
      <c r="M1001">
        <v>0</v>
      </c>
    </row>
    <row r="1002" spans="1:13" x14ac:dyDescent="0.25">
      <c r="A1002">
        <v>14</v>
      </c>
      <c r="B1002" t="s">
        <v>19</v>
      </c>
      <c r="C1002">
        <v>5.5</v>
      </c>
      <c r="D1002" t="s">
        <v>23</v>
      </c>
      <c r="E1002">
        <v>5.7</v>
      </c>
      <c r="F1002">
        <v>2.2999999999999998</v>
      </c>
      <c r="G1002">
        <v>3.05</v>
      </c>
      <c r="H1002">
        <v>1.3</v>
      </c>
      <c r="I1002" t="s">
        <v>22</v>
      </c>
      <c r="J1002">
        <v>7</v>
      </c>
      <c r="K1002">
        <v>8</v>
      </c>
      <c r="L1002">
        <v>5</v>
      </c>
      <c r="M1002">
        <v>1</v>
      </c>
    </row>
    <row r="1003" spans="1:13" x14ac:dyDescent="0.25">
      <c r="A1003">
        <v>15</v>
      </c>
      <c r="B1003" t="s">
        <v>19</v>
      </c>
      <c r="C1003">
        <v>5.7</v>
      </c>
      <c r="D1003" t="s">
        <v>17</v>
      </c>
      <c r="E1003">
        <v>7.2</v>
      </c>
      <c r="F1003">
        <v>2.4</v>
      </c>
      <c r="G1003">
        <v>2.1800000000000002</v>
      </c>
      <c r="H1003">
        <v>1.6</v>
      </c>
      <c r="I1003" t="s">
        <v>22</v>
      </c>
      <c r="J1003">
        <v>5</v>
      </c>
      <c r="K1003">
        <v>1</v>
      </c>
      <c r="L1003">
        <v>7</v>
      </c>
      <c r="M1003">
        <v>0</v>
      </c>
    </row>
    <row r="1004" spans="1:13" x14ac:dyDescent="0.25">
      <c r="A1004">
        <v>15</v>
      </c>
      <c r="B1004" t="s">
        <v>19</v>
      </c>
      <c r="C1004">
        <v>5</v>
      </c>
      <c r="D1004" t="s">
        <v>20</v>
      </c>
      <c r="E1004">
        <v>6.3</v>
      </c>
      <c r="F1004">
        <v>1.5</v>
      </c>
      <c r="G1004">
        <v>2.67</v>
      </c>
      <c r="H1004">
        <v>1.1000000000000001</v>
      </c>
      <c r="I1004" t="s">
        <v>21</v>
      </c>
      <c r="J1004">
        <v>6</v>
      </c>
      <c r="K1004">
        <v>2</v>
      </c>
      <c r="L1004">
        <v>5</v>
      </c>
      <c r="M1004">
        <v>0</v>
      </c>
    </row>
    <row r="1005" spans="1:13" x14ac:dyDescent="0.25">
      <c r="A1005">
        <v>16</v>
      </c>
      <c r="B1005" t="s">
        <v>19</v>
      </c>
      <c r="C1005">
        <v>7.5</v>
      </c>
      <c r="D1005" t="s">
        <v>23</v>
      </c>
      <c r="E1005">
        <v>4</v>
      </c>
      <c r="F1005">
        <v>0.5</v>
      </c>
      <c r="G1005">
        <v>3.72</v>
      </c>
      <c r="H1005">
        <v>1.1000000000000001</v>
      </c>
      <c r="I1005" t="s">
        <v>22</v>
      </c>
      <c r="J1005">
        <v>4</v>
      </c>
      <c r="K1005">
        <v>5</v>
      </c>
      <c r="L1005">
        <v>7</v>
      </c>
      <c r="M1005">
        <v>0</v>
      </c>
    </row>
    <row r="1006" spans="1:13" x14ac:dyDescent="0.25">
      <c r="A1006">
        <v>17</v>
      </c>
      <c r="B1006" t="s">
        <v>16</v>
      </c>
      <c r="C1006">
        <v>2.2000000000000002</v>
      </c>
      <c r="D1006" t="s">
        <v>20</v>
      </c>
      <c r="E1006">
        <v>7.1</v>
      </c>
      <c r="F1006">
        <v>1.1000000000000001</v>
      </c>
      <c r="G1006">
        <v>2.5</v>
      </c>
      <c r="H1006">
        <v>1.5</v>
      </c>
      <c r="I1006" t="s">
        <v>18</v>
      </c>
      <c r="J1006">
        <v>2</v>
      </c>
      <c r="K1006">
        <v>1</v>
      </c>
      <c r="L1006">
        <v>2</v>
      </c>
      <c r="M1006">
        <v>0</v>
      </c>
    </row>
    <row r="1007" spans="1:13" x14ac:dyDescent="0.25">
      <c r="A1007">
        <v>15</v>
      </c>
      <c r="B1007" t="s">
        <v>19</v>
      </c>
      <c r="C1007">
        <v>7.3</v>
      </c>
      <c r="D1007" t="s">
        <v>17</v>
      </c>
      <c r="E1007">
        <v>4.0999999999999996</v>
      </c>
      <c r="F1007">
        <v>2.1</v>
      </c>
      <c r="G1007">
        <v>2.87</v>
      </c>
      <c r="H1007">
        <v>0.4</v>
      </c>
      <c r="I1007" t="s">
        <v>18</v>
      </c>
      <c r="J1007">
        <v>10</v>
      </c>
      <c r="K1007">
        <v>10</v>
      </c>
      <c r="L1007">
        <v>1</v>
      </c>
      <c r="M1007">
        <v>1</v>
      </c>
    </row>
    <row r="1008" spans="1:13" x14ac:dyDescent="0.25">
      <c r="A1008">
        <v>17</v>
      </c>
      <c r="B1008" t="s">
        <v>16</v>
      </c>
      <c r="C1008">
        <v>2.7</v>
      </c>
      <c r="D1008" t="s">
        <v>17</v>
      </c>
      <c r="E1008">
        <v>7.5</v>
      </c>
      <c r="F1008">
        <v>1.5</v>
      </c>
      <c r="G1008">
        <v>3.23</v>
      </c>
      <c r="H1008">
        <v>1.4</v>
      </c>
      <c r="I1008" t="s">
        <v>18</v>
      </c>
      <c r="J1008">
        <v>5</v>
      </c>
      <c r="K1008">
        <v>7</v>
      </c>
      <c r="L1008">
        <v>3</v>
      </c>
      <c r="M1008">
        <v>0</v>
      </c>
    </row>
    <row r="1009" spans="1:13" x14ac:dyDescent="0.25">
      <c r="A1009">
        <v>18</v>
      </c>
      <c r="B1009" t="s">
        <v>16</v>
      </c>
      <c r="C1009">
        <v>1.6</v>
      </c>
      <c r="D1009" t="s">
        <v>17</v>
      </c>
      <c r="E1009">
        <v>8.6</v>
      </c>
      <c r="F1009">
        <v>2.6</v>
      </c>
      <c r="G1009">
        <v>3.53</v>
      </c>
      <c r="H1009">
        <v>0.1</v>
      </c>
      <c r="I1009" t="s">
        <v>22</v>
      </c>
      <c r="J1009">
        <v>8</v>
      </c>
      <c r="K1009">
        <v>8</v>
      </c>
      <c r="L1009">
        <v>10</v>
      </c>
      <c r="M1009">
        <v>0</v>
      </c>
    </row>
    <row r="1010" spans="1:13" x14ac:dyDescent="0.25">
      <c r="A1010">
        <v>14</v>
      </c>
      <c r="B1010" t="s">
        <v>16</v>
      </c>
      <c r="C1010">
        <v>4</v>
      </c>
      <c r="D1010" t="s">
        <v>20</v>
      </c>
      <c r="E1010">
        <v>4.9000000000000004</v>
      </c>
      <c r="F1010">
        <v>2.7</v>
      </c>
      <c r="G1010">
        <v>2.2999999999999998</v>
      </c>
      <c r="H1010">
        <v>0.5</v>
      </c>
      <c r="I1010" t="s">
        <v>21</v>
      </c>
      <c r="J1010">
        <v>7</v>
      </c>
      <c r="K1010">
        <v>8</v>
      </c>
      <c r="L1010">
        <v>6</v>
      </c>
      <c r="M1010">
        <v>0</v>
      </c>
    </row>
    <row r="1011" spans="1:13" x14ac:dyDescent="0.25">
      <c r="A1011">
        <v>18</v>
      </c>
      <c r="B1011" t="s">
        <v>19</v>
      </c>
      <c r="C1011">
        <v>6.3</v>
      </c>
      <c r="D1011" t="s">
        <v>23</v>
      </c>
      <c r="E1011">
        <v>4.7</v>
      </c>
      <c r="F1011">
        <v>2.4</v>
      </c>
      <c r="G1011">
        <v>2.2999999999999998</v>
      </c>
      <c r="H1011">
        <v>0.9</v>
      </c>
      <c r="I1011" t="s">
        <v>22</v>
      </c>
      <c r="J1011">
        <v>6</v>
      </c>
      <c r="K1011">
        <v>1</v>
      </c>
      <c r="L1011">
        <v>6</v>
      </c>
      <c r="M1011">
        <v>0</v>
      </c>
    </row>
    <row r="1012" spans="1:13" x14ac:dyDescent="0.25">
      <c r="A1012">
        <v>16</v>
      </c>
      <c r="B1012" t="s">
        <v>19</v>
      </c>
      <c r="C1012">
        <v>6.8</v>
      </c>
      <c r="D1012" t="s">
        <v>20</v>
      </c>
      <c r="E1012">
        <v>7.1</v>
      </c>
      <c r="F1012">
        <v>2.9</v>
      </c>
      <c r="G1012">
        <v>3.26</v>
      </c>
      <c r="H1012">
        <v>0.6</v>
      </c>
      <c r="I1012" t="s">
        <v>18</v>
      </c>
      <c r="J1012">
        <v>6</v>
      </c>
      <c r="K1012">
        <v>10</v>
      </c>
      <c r="L1012">
        <v>4</v>
      </c>
      <c r="M1012">
        <v>0</v>
      </c>
    </row>
    <row r="1013" spans="1:13" x14ac:dyDescent="0.25">
      <c r="A1013">
        <v>18</v>
      </c>
      <c r="B1013" t="s">
        <v>19</v>
      </c>
      <c r="C1013">
        <v>6.6</v>
      </c>
      <c r="D1013" t="s">
        <v>23</v>
      </c>
      <c r="E1013">
        <v>8.1</v>
      </c>
      <c r="F1013">
        <v>2</v>
      </c>
      <c r="G1013">
        <v>3.59</v>
      </c>
      <c r="H1013">
        <v>1.6</v>
      </c>
      <c r="I1013" t="s">
        <v>18</v>
      </c>
      <c r="J1013">
        <v>9</v>
      </c>
      <c r="K1013">
        <v>4</v>
      </c>
      <c r="L1013">
        <v>3</v>
      </c>
      <c r="M1013">
        <v>0</v>
      </c>
    </row>
    <row r="1014" spans="1:13" x14ac:dyDescent="0.25">
      <c r="A1014">
        <v>13</v>
      </c>
      <c r="B1014" t="s">
        <v>16</v>
      </c>
      <c r="C1014">
        <v>4</v>
      </c>
      <c r="D1014" t="s">
        <v>17</v>
      </c>
      <c r="E1014">
        <v>4.2</v>
      </c>
      <c r="F1014">
        <v>0.9</v>
      </c>
      <c r="G1014">
        <v>2.75</v>
      </c>
      <c r="H1014">
        <v>1</v>
      </c>
      <c r="I1014" t="s">
        <v>21</v>
      </c>
      <c r="J1014">
        <v>5</v>
      </c>
      <c r="K1014">
        <v>4</v>
      </c>
      <c r="L1014">
        <v>8</v>
      </c>
      <c r="M1014">
        <v>0</v>
      </c>
    </row>
    <row r="1015" spans="1:13" x14ac:dyDescent="0.25">
      <c r="A1015">
        <v>13</v>
      </c>
      <c r="B1015" t="s">
        <v>16</v>
      </c>
      <c r="C1015">
        <v>1.6</v>
      </c>
      <c r="D1015" t="s">
        <v>20</v>
      </c>
      <c r="E1015">
        <v>5</v>
      </c>
      <c r="F1015">
        <v>2.7</v>
      </c>
      <c r="G1015">
        <v>2.31</v>
      </c>
      <c r="H1015">
        <v>1.9</v>
      </c>
      <c r="I1015" t="s">
        <v>18</v>
      </c>
      <c r="J1015">
        <v>8</v>
      </c>
      <c r="K1015">
        <v>9</v>
      </c>
      <c r="L1015">
        <v>5</v>
      </c>
      <c r="M1015">
        <v>0</v>
      </c>
    </row>
    <row r="1016" spans="1:13" x14ac:dyDescent="0.25">
      <c r="A1016">
        <v>18</v>
      </c>
      <c r="B1016" t="s">
        <v>16</v>
      </c>
      <c r="C1016">
        <v>5.3</v>
      </c>
      <c r="D1016" t="s">
        <v>23</v>
      </c>
      <c r="E1016">
        <v>8.1999999999999993</v>
      </c>
      <c r="F1016">
        <v>1.9</v>
      </c>
      <c r="G1016">
        <v>3.87</v>
      </c>
      <c r="H1016">
        <v>1.9</v>
      </c>
      <c r="I1016" t="s">
        <v>18</v>
      </c>
      <c r="J1016">
        <v>2</v>
      </c>
      <c r="K1016">
        <v>9</v>
      </c>
      <c r="L1016">
        <v>8</v>
      </c>
      <c r="M1016">
        <v>0</v>
      </c>
    </row>
    <row r="1017" spans="1:13" x14ac:dyDescent="0.25">
      <c r="A1017">
        <v>19</v>
      </c>
      <c r="B1017" t="s">
        <v>19</v>
      </c>
      <c r="C1017">
        <v>7.4</v>
      </c>
      <c r="D1017" t="s">
        <v>23</v>
      </c>
      <c r="E1017">
        <v>4.4000000000000004</v>
      </c>
      <c r="F1017">
        <v>1.4</v>
      </c>
      <c r="G1017">
        <v>3.78</v>
      </c>
      <c r="H1017">
        <v>1.1000000000000001</v>
      </c>
      <c r="I1017" t="s">
        <v>18</v>
      </c>
      <c r="J1017">
        <v>9</v>
      </c>
      <c r="K1017">
        <v>7</v>
      </c>
      <c r="L1017">
        <v>5</v>
      </c>
      <c r="M1017">
        <v>1</v>
      </c>
    </row>
    <row r="1018" spans="1:13" x14ac:dyDescent="0.25">
      <c r="A1018">
        <v>18</v>
      </c>
      <c r="B1018" t="s">
        <v>19</v>
      </c>
      <c r="C1018">
        <v>2.2999999999999998</v>
      </c>
      <c r="D1018" t="s">
        <v>17</v>
      </c>
      <c r="E1018">
        <v>8.6999999999999993</v>
      </c>
      <c r="F1018">
        <v>0.6</v>
      </c>
      <c r="G1018">
        <v>2.76</v>
      </c>
      <c r="H1018">
        <v>1.9</v>
      </c>
      <c r="I1018" t="s">
        <v>21</v>
      </c>
      <c r="J1018">
        <v>4</v>
      </c>
      <c r="K1018">
        <v>8</v>
      </c>
      <c r="L1018">
        <v>7</v>
      </c>
      <c r="M1018">
        <v>0</v>
      </c>
    </row>
    <row r="1019" spans="1:13" x14ac:dyDescent="0.25">
      <c r="A1019">
        <v>16</v>
      </c>
      <c r="B1019" t="s">
        <v>16</v>
      </c>
      <c r="C1019">
        <v>7.6</v>
      </c>
      <c r="D1019" t="s">
        <v>23</v>
      </c>
      <c r="E1019">
        <v>6.1</v>
      </c>
      <c r="F1019">
        <v>0.8</v>
      </c>
      <c r="G1019">
        <v>3.09</v>
      </c>
      <c r="H1019">
        <v>1.3</v>
      </c>
      <c r="I1019" t="s">
        <v>18</v>
      </c>
      <c r="J1019">
        <v>8</v>
      </c>
      <c r="K1019">
        <v>4</v>
      </c>
      <c r="L1019">
        <v>4</v>
      </c>
      <c r="M1019">
        <v>0</v>
      </c>
    </row>
    <row r="1020" spans="1:13" x14ac:dyDescent="0.25">
      <c r="A1020">
        <v>16</v>
      </c>
      <c r="B1020" t="s">
        <v>19</v>
      </c>
      <c r="C1020">
        <v>7.6</v>
      </c>
      <c r="D1020" t="s">
        <v>20</v>
      </c>
      <c r="E1020">
        <v>7.6</v>
      </c>
      <c r="F1020">
        <v>2.4</v>
      </c>
      <c r="G1020">
        <v>2.2400000000000002</v>
      </c>
      <c r="H1020">
        <v>1.1000000000000001</v>
      </c>
      <c r="I1020" t="s">
        <v>22</v>
      </c>
      <c r="J1020">
        <v>1</v>
      </c>
      <c r="K1020">
        <v>5</v>
      </c>
      <c r="L1020">
        <v>5</v>
      </c>
      <c r="M1020">
        <v>0</v>
      </c>
    </row>
    <row r="1021" spans="1:13" x14ac:dyDescent="0.25">
      <c r="A1021">
        <v>17</v>
      </c>
      <c r="B1021" t="s">
        <v>19</v>
      </c>
      <c r="C1021">
        <v>3.4</v>
      </c>
      <c r="D1021" t="s">
        <v>23</v>
      </c>
      <c r="E1021">
        <v>4.7</v>
      </c>
      <c r="F1021">
        <v>0.5</v>
      </c>
      <c r="G1021">
        <v>2.91</v>
      </c>
      <c r="H1021">
        <v>2</v>
      </c>
      <c r="I1021" t="s">
        <v>21</v>
      </c>
      <c r="J1021">
        <v>2</v>
      </c>
      <c r="K1021">
        <v>8</v>
      </c>
      <c r="L1021">
        <v>1</v>
      </c>
      <c r="M1021">
        <v>0</v>
      </c>
    </row>
    <row r="1022" spans="1:13" x14ac:dyDescent="0.25">
      <c r="A1022">
        <v>18</v>
      </c>
      <c r="B1022" t="s">
        <v>19</v>
      </c>
      <c r="C1022">
        <v>2.2999999999999998</v>
      </c>
      <c r="D1022" t="s">
        <v>17</v>
      </c>
      <c r="E1022">
        <v>4.2</v>
      </c>
      <c r="F1022">
        <v>0.9</v>
      </c>
      <c r="G1022">
        <v>3.84</v>
      </c>
      <c r="H1022">
        <v>1.3</v>
      </c>
      <c r="I1022" t="s">
        <v>21</v>
      </c>
      <c r="J1022">
        <v>6</v>
      </c>
      <c r="K1022">
        <v>6</v>
      </c>
      <c r="L1022">
        <v>10</v>
      </c>
      <c r="M1022">
        <v>0</v>
      </c>
    </row>
    <row r="1023" spans="1:13" x14ac:dyDescent="0.25">
      <c r="A1023">
        <v>18</v>
      </c>
      <c r="B1023" t="s">
        <v>16</v>
      </c>
      <c r="C1023">
        <v>5</v>
      </c>
      <c r="D1023" t="s">
        <v>17</v>
      </c>
      <c r="E1023">
        <v>4.3</v>
      </c>
      <c r="F1023">
        <v>1.1000000000000001</v>
      </c>
      <c r="G1023">
        <v>2.2200000000000002</v>
      </c>
      <c r="H1023">
        <v>0.1</v>
      </c>
      <c r="I1023" t="s">
        <v>21</v>
      </c>
      <c r="J1023">
        <v>7</v>
      </c>
      <c r="K1023">
        <v>2</v>
      </c>
      <c r="L1023">
        <v>2</v>
      </c>
      <c r="M1023">
        <v>0</v>
      </c>
    </row>
    <row r="1024" spans="1:13" x14ac:dyDescent="0.25">
      <c r="A1024">
        <v>15</v>
      </c>
      <c r="B1024" t="s">
        <v>16</v>
      </c>
      <c r="C1024">
        <v>3.8</v>
      </c>
      <c r="D1024" t="s">
        <v>20</v>
      </c>
      <c r="E1024">
        <v>7.1</v>
      </c>
      <c r="F1024">
        <v>0.5</v>
      </c>
      <c r="G1024">
        <v>3.08</v>
      </c>
      <c r="H1024">
        <v>0.2</v>
      </c>
      <c r="I1024" t="s">
        <v>22</v>
      </c>
      <c r="J1024">
        <v>2</v>
      </c>
      <c r="K1024">
        <v>9</v>
      </c>
      <c r="L1024">
        <v>7</v>
      </c>
      <c r="M1024">
        <v>0</v>
      </c>
    </row>
    <row r="1025" spans="1:13" x14ac:dyDescent="0.25">
      <c r="A1025">
        <v>16</v>
      </c>
      <c r="B1025" t="s">
        <v>16</v>
      </c>
      <c r="C1025">
        <v>3.7</v>
      </c>
      <c r="D1025" t="s">
        <v>17</v>
      </c>
      <c r="E1025">
        <v>7.6</v>
      </c>
      <c r="F1025">
        <v>1.2</v>
      </c>
      <c r="G1025">
        <v>3.2</v>
      </c>
      <c r="H1025">
        <v>1</v>
      </c>
      <c r="I1025" t="s">
        <v>22</v>
      </c>
      <c r="J1025">
        <v>4</v>
      </c>
      <c r="K1025">
        <v>8</v>
      </c>
      <c r="L1025">
        <v>6</v>
      </c>
      <c r="M1025">
        <v>0</v>
      </c>
    </row>
    <row r="1026" spans="1:13" x14ac:dyDescent="0.25">
      <c r="A1026">
        <v>13</v>
      </c>
      <c r="B1026" t="s">
        <v>16</v>
      </c>
      <c r="C1026">
        <v>1.4</v>
      </c>
      <c r="D1026" t="s">
        <v>23</v>
      </c>
      <c r="E1026">
        <v>8.6</v>
      </c>
      <c r="F1026">
        <v>2.4</v>
      </c>
      <c r="G1026">
        <v>3.31</v>
      </c>
      <c r="H1026">
        <v>0.7</v>
      </c>
      <c r="I1026" t="s">
        <v>18</v>
      </c>
      <c r="J1026">
        <v>2</v>
      </c>
      <c r="K1026">
        <v>6</v>
      </c>
      <c r="L1026">
        <v>2</v>
      </c>
      <c r="M1026">
        <v>0</v>
      </c>
    </row>
    <row r="1027" spans="1:13" x14ac:dyDescent="0.25">
      <c r="A1027">
        <v>18</v>
      </c>
      <c r="B1027" t="s">
        <v>16</v>
      </c>
      <c r="C1027">
        <v>1.8</v>
      </c>
      <c r="D1027" t="s">
        <v>23</v>
      </c>
      <c r="E1027">
        <v>4.9000000000000004</v>
      </c>
      <c r="F1027">
        <v>2.7</v>
      </c>
      <c r="G1027">
        <v>2.12</v>
      </c>
      <c r="H1027">
        <v>0.2</v>
      </c>
      <c r="I1027" t="s">
        <v>18</v>
      </c>
      <c r="J1027">
        <v>1</v>
      </c>
      <c r="K1027">
        <v>3</v>
      </c>
      <c r="L1027">
        <v>8</v>
      </c>
      <c r="M1027">
        <v>0</v>
      </c>
    </row>
    <row r="1028" spans="1:13" x14ac:dyDescent="0.25">
      <c r="A1028">
        <v>19</v>
      </c>
      <c r="B1028" t="s">
        <v>16</v>
      </c>
      <c r="C1028">
        <v>1.5</v>
      </c>
      <c r="D1028" t="s">
        <v>20</v>
      </c>
      <c r="E1028">
        <v>5.8</v>
      </c>
      <c r="F1028">
        <v>1.1000000000000001</v>
      </c>
      <c r="G1028">
        <v>3.29</v>
      </c>
      <c r="H1028">
        <v>1.7</v>
      </c>
      <c r="I1028" t="s">
        <v>21</v>
      </c>
      <c r="J1028">
        <v>6</v>
      </c>
      <c r="K1028">
        <v>4</v>
      </c>
      <c r="L1028">
        <v>2</v>
      </c>
      <c r="M1028">
        <v>0</v>
      </c>
    </row>
    <row r="1029" spans="1:13" x14ac:dyDescent="0.25">
      <c r="A1029">
        <v>18</v>
      </c>
      <c r="B1029" t="s">
        <v>19</v>
      </c>
      <c r="C1029">
        <v>5.5</v>
      </c>
      <c r="D1029" t="s">
        <v>23</v>
      </c>
      <c r="E1029">
        <v>5.5</v>
      </c>
      <c r="F1029">
        <v>1.8</v>
      </c>
      <c r="G1029">
        <v>2.2400000000000002</v>
      </c>
      <c r="H1029">
        <v>0</v>
      </c>
      <c r="I1029" t="s">
        <v>21</v>
      </c>
      <c r="J1029">
        <v>3</v>
      </c>
      <c r="K1029">
        <v>4</v>
      </c>
      <c r="L1029">
        <v>10</v>
      </c>
      <c r="M1029">
        <v>0</v>
      </c>
    </row>
    <row r="1030" spans="1:13" x14ac:dyDescent="0.25">
      <c r="A1030">
        <v>15</v>
      </c>
      <c r="B1030" t="s">
        <v>16</v>
      </c>
      <c r="C1030">
        <v>4.9000000000000004</v>
      </c>
      <c r="D1030" t="s">
        <v>23</v>
      </c>
      <c r="E1030">
        <v>5.2</v>
      </c>
      <c r="F1030">
        <v>0.7</v>
      </c>
      <c r="G1030">
        <v>2.5499999999999998</v>
      </c>
      <c r="H1030">
        <v>0.1</v>
      </c>
      <c r="I1030" t="s">
        <v>18</v>
      </c>
      <c r="J1030">
        <v>10</v>
      </c>
      <c r="K1030">
        <v>6</v>
      </c>
      <c r="L1030">
        <v>4</v>
      </c>
      <c r="M1030">
        <v>0</v>
      </c>
    </row>
    <row r="1031" spans="1:13" x14ac:dyDescent="0.25">
      <c r="A1031">
        <v>14</v>
      </c>
      <c r="B1031" t="s">
        <v>19</v>
      </c>
      <c r="C1031">
        <v>7.2</v>
      </c>
      <c r="D1031" t="s">
        <v>23</v>
      </c>
      <c r="E1031">
        <v>7</v>
      </c>
      <c r="F1031">
        <v>2.2999999999999998</v>
      </c>
      <c r="G1031">
        <v>3.74</v>
      </c>
      <c r="H1031">
        <v>0.7</v>
      </c>
      <c r="I1031" t="s">
        <v>18</v>
      </c>
      <c r="J1031">
        <v>8</v>
      </c>
      <c r="K1031">
        <v>4</v>
      </c>
      <c r="L1031">
        <v>7</v>
      </c>
      <c r="M1031">
        <v>0</v>
      </c>
    </row>
    <row r="1032" spans="1:13" x14ac:dyDescent="0.25">
      <c r="A1032">
        <v>16</v>
      </c>
      <c r="B1032" t="s">
        <v>19</v>
      </c>
      <c r="C1032">
        <v>6.8</v>
      </c>
      <c r="D1032" t="s">
        <v>17</v>
      </c>
      <c r="E1032">
        <v>7.2</v>
      </c>
      <c r="F1032">
        <v>1.1000000000000001</v>
      </c>
      <c r="G1032">
        <v>2.29</v>
      </c>
      <c r="H1032">
        <v>1.9</v>
      </c>
      <c r="I1032" t="s">
        <v>18</v>
      </c>
      <c r="J1032">
        <v>8</v>
      </c>
      <c r="K1032">
        <v>5</v>
      </c>
      <c r="L1032">
        <v>9</v>
      </c>
      <c r="M1032">
        <v>0</v>
      </c>
    </row>
    <row r="1033" spans="1:13" x14ac:dyDescent="0.25">
      <c r="A1033">
        <v>13</v>
      </c>
      <c r="B1033" t="s">
        <v>19</v>
      </c>
      <c r="C1033">
        <v>2.2000000000000002</v>
      </c>
      <c r="D1033" t="s">
        <v>23</v>
      </c>
      <c r="E1033">
        <v>7.7</v>
      </c>
      <c r="F1033">
        <v>2.1</v>
      </c>
      <c r="G1033">
        <v>2.33</v>
      </c>
      <c r="H1033">
        <v>1.7</v>
      </c>
      <c r="I1033" t="s">
        <v>18</v>
      </c>
      <c r="J1033">
        <v>2</v>
      </c>
      <c r="K1033">
        <v>8</v>
      </c>
      <c r="L1033">
        <v>7</v>
      </c>
      <c r="M1033">
        <v>0</v>
      </c>
    </row>
    <row r="1034" spans="1:13" x14ac:dyDescent="0.25">
      <c r="A1034">
        <v>16</v>
      </c>
      <c r="B1034" t="s">
        <v>19</v>
      </c>
      <c r="C1034">
        <v>5.9</v>
      </c>
      <c r="D1034" t="s">
        <v>20</v>
      </c>
      <c r="E1034">
        <v>7</v>
      </c>
      <c r="F1034">
        <v>0.8</v>
      </c>
      <c r="G1034">
        <v>2.29</v>
      </c>
      <c r="H1034">
        <v>1.6</v>
      </c>
      <c r="I1034" t="s">
        <v>18</v>
      </c>
      <c r="J1034">
        <v>6</v>
      </c>
      <c r="K1034">
        <v>8</v>
      </c>
      <c r="L1034">
        <v>1</v>
      </c>
      <c r="M1034">
        <v>0</v>
      </c>
    </row>
    <row r="1035" spans="1:13" x14ac:dyDescent="0.25">
      <c r="A1035">
        <v>15</v>
      </c>
      <c r="B1035" t="s">
        <v>19</v>
      </c>
      <c r="C1035">
        <v>2.2000000000000002</v>
      </c>
      <c r="D1035" t="s">
        <v>17</v>
      </c>
      <c r="E1035">
        <v>7.5</v>
      </c>
      <c r="F1035">
        <v>1.4</v>
      </c>
      <c r="G1035">
        <v>3.19</v>
      </c>
      <c r="H1035">
        <v>1.8</v>
      </c>
      <c r="I1035" t="s">
        <v>18</v>
      </c>
      <c r="J1035">
        <v>6</v>
      </c>
      <c r="K1035">
        <v>1</v>
      </c>
      <c r="L1035">
        <v>7</v>
      </c>
      <c r="M1035">
        <v>0</v>
      </c>
    </row>
    <row r="1036" spans="1:13" x14ac:dyDescent="0.25">
      <c r="A1036">
        <v>19</v>
      </c>
      <c r="B1036" t="s">
        <v>19</v>
      </c>
      <c r="C1036">
        <v>2.4</v>
      </c>
      <c r="D1036" t="s">
        <v>17</v>
      </c>
      <c r="E1036">
        <v>4.2</v>
      </c>
      <c r="F1036">
        <v>1.2</v>
      </c>
      <c r="G1036">
        <v>3.87</v>
      </c>
      <c r="H1036">
        <v>1.3</v>
      </c>
      <c r="I1036" t="s">
        <v>18</v>
      </c>
      <c r="J1036">
        <v>1</v>
      </c>
      <c r="K1036">
        <v>9</v>
      </c>
      <c r="L1036">
        <v>5</v>
      </c>
      <c r="M1036">
        <v>0</v>
      </c>
    </row>
    <row r="1037" spans="1:13" x14ac:dyDescent="0.25">
      <c r="A1037">
        <v>15</v>
      </c>
      <c r="B1037" t="s">
        <v>16</v>
      </c>
      <c r="C1037">
        <v>4.0999999999999996</v>
      </c>
      <c r="D1037" t="s">
        <v>17</v>
      </c>
      <c r="E1037">
        <v>7.6</v>
      </c>
      <c r="F1037">
        <v>1</v>
      </c>
      <c r="G1037">
        <v>2.17</v>
      </c>
      <c r="H1037">
        <v>1.1000000000000001</v>
      </c>
      <c r="I1037" t="s">
        <v>18</v>
      </c>
      <c r="J1037">
        <v>4</v>
      </c>
      <c r="K1037">
        <v>5</v>
      </c>
      <c r="L1037">
        <v>1</v>
      </c>
      <c r="M1037">
        <v>0</v>
      </c>
    </row>
    <row r="1038" spans="1:13" x14ac:dyDescent="0.25">
      <c r="A1038">
        <v>18</v>
      </c>
      <c r="B1038" t="s">
        <v>19</v>
      </c>
      <c r="C1038">
        <v>4.5</v>
      </c>
      <c r="D1038" t="s">
        <v>17</v>
      </c>
      <c r="E1038">
        <v>7</v>
      </c>
      <c r="F1038">
        <v>2.7</v>
      </c>
      <c r="G1038">
        <v>2.89</v>
      </c>
      <c r="H1038">
        <v>1.8</v>
      </c>
      <c r="I1038" t="s">
        <v>21</v>
      </c>
      <c r="J1038">
        <v>1</v>
      </c>
      <c r="K1038">
        <v>1</v>
      </c>
      <c r="L1038">
        <v>2</v>
      </c>
      <c r="M1038">
        <v>0</v>
      </c>
    </row>
    <row r="1039" spans="1:13" x14ac:dyDescent="0.25">
      <c r="A1039">
        <v>14</v>
      </c>
      <c r="B1039" t="s">
        <v>19</v>
      </c>
      <c r="C1039">
        <v>4.5999999999999996</v>
      </c>
      <c r="D1039" t="s">
        <v>17</v>
      </c>
      <c r="E1039">
        <v>5.9</v>
      </c>
      <c r="F1039">
        <v>1.4</v>
      </c>
      <c r="G1039">
        <v>2.15</v>
      </c>
      <c r="H1039">
        <v>0.3</v>
      </c>
      <c r="I1039" t="s">
        <v>21</v>
      </c>
      <c r="J1039">
        <v>3</v>
      </c>
      <c r="K1039">
        <v>10</v>
      </c>
      <c r="L1039">
        <v>2</v>
      </c>
      <c r="M1039">
        <v>0</v>
      </c>
    </row>
    <row r="1040" spans="1:13" x14ac:dyDescent="0.25">
      <c r="A1040">
        <v>17</v>
      </c>
      <c r="B1040" t="s">
        <v>19</v>
      </c>
      <c r="C1040">
        <v>4.5</v>
      </c>
      <c r="D1040" t="s">
        <v>23</v>
      </c>
      <c r="E1040">
        <v>6.1</v>
      </c>
      <c r="F1040">
        <v>2.8</v>
      </c>
      <c r="G1040">
        <v>3.38</v>
      </c>
      <c r="H1040">
        <v>1.2</v>
      </c>
      <c r="I1040" t="s">
        <v>18</v>
      </c>
      <c r="J1040">
        <v>10</v>
      </c>
      <c r="K1040">
        <v>4</v>
      </c>
      <c r="L1040">
        <v>2</v>
      </c>
      <c r="M1040">
        <v>0</v>
      </c>
    </row>
    <row r="1041" spans="1:13" x14ac:dyDescent="0.25">
      <c r="A1041">
        <v>13</v>
      </c>
      <c r="B1041" t="s">
        <v>16</v>
      </c>
      <c r="C1041">
        <v>5</v>
      </c>
      <c r="D1041" t="s">
        <v>17</v>
      </c>
      <c r="E1041">
        <v>5.2</v>
      </c>
      <c r="F1041">
        <v>2.6</v>
      </c>
      <c r="G1041">
        <v>2.04</v>
      </c>
      <c r="H1041">
        <v>1.7</v>
      </c>
      <c r="I1041" t="s">
        <v>22</v>
      </c>
      <c r="J1041">
        <v>4</v>
      </c>
      <c r="K1041">
        <v>4</v>
      </c>
      <c r="L1041">
        <v>5</v>
      </c>
      <c r="M1041">
        <v>0</v>
      </c>
    </row>
    <row r="1042" spans="1:13" x14ac:dyDescent="0.25">
      <c r="A1042">
        <v>19</v>
      </c>
      <c r="B1042" t="s">
        <v>19</v>
      </c>
      <c r="C1042">
        <v>4.0999999999999996</v>
      </c>
      <c r="D1042" t="s">
        <v>23</v>
      </c>
      <c r="E1042">
        <v>6.4</v>
      </c>
      <c r="F1042">
        <v>1.4</v>
      </c>
      <c r="G1042">
        <v>2.2599999999999998</v>
      </c>
      <c r="H1042">
        <v>1.6</v>
      </c>
      <c r="I1042" t="s">
        <v>21</v>
      </c>
      <c r="J1042">
        <v>2</v>
      </c>
      <c r="K1042">
        <v>3</v>
      </c>
      <c r="L1042">
        <v>6</v>
      </c>
      <c r="M1042">
        <v>0</v>
      </c>
    </row>
    <row r="1043" spans="1:13" x14ac:dyDescent="0.25">
      <c r="A1043">
        <v>18</v>
      </c>
      <c r="B1043" t="s">
        <v>16</v>
      </c>
      <c r="C1043">
        <v>7.5</v>
      </c>
      <c r="D1043" t="s">
        <v>20</v>
      </c>
      <c r="E1043">
        <v>7.6</v>
      </c>
      <c r="F1043">
        <v>1.8</v>
      </c>
      <c r="G1043">
        <v>3.19</v>
      </c>
      <c r="H1043">
        <v>1.7</v>
      </c>
      <c r="I1043" t="s">
        <v>21</v>
      </c>
      <c r="J1043">
        <v>2</v>
      </c>
      <c r="K1043">
        <v>6</v>
      </c>
      <c r="L1043">
        <v>6</v>
      </c>
      <c r="M1043">
        <v>0</v>
      </c>
    </row>
    <row r="1044" spans="1:13" x14ac:dyDescent="0.25">
      <c r="A1044">
        <v>18</v>
      </c>
      <c r="B1044" t="s">
        <v>16</v>
      </c>
      <c r="C1044">
        <v>4.2</v>
      </c>
      <c r="D1044" t="s">
        <v>17</v>
      </c>
      <c r="E1044">
        <v>5.5</v>
      </c>
      <c r="F1044">
        <v>1.8</v>
      </c>
      <c r="G1044">
        <v>3.83</v>
      </c>
      <c r="H1044">
        <v>1.9</v>
      </c>
      <c r="I1044" t="s">
        <v>18</v>
      </c>
      <c r="J1044">
        <v>3</v>
      </c>
      <c r="K1044">
        <v>8</v>
      </c>
      <c r="L1044">
        <v>8</v>
      </c>
      <c r="M1044">
        <v>0</v>
      </c>
    </row>
    <row r="1045" spans="1:13" x14ac:dyDescent="0.25">
      <c r="A1045">
        <v>14</v>
      </c>
      <c r="B1045" t="s">
        <v>19</v>
      </c>
      <c r="C1045">
        <v>7.2</v>
      </c>
      <c r="D1045" t="s">
        <v>23</v>
      </c>
      <c r="E1045">
        <v>5</v>
      </c>
      <c r="F1045">
        <v>2.9</v>
      </c>
      <c r="G1045">
        <v>3.76</v>
      </c>
      <c r="H1045">
        <v>0.4</v>
      </c>
      <c r="I1045" t="s">
        <v>22</v>
      </c>
      <c r="J1045">
        <v>7</v>
      </c>
      <c r="K1045">
        <v>4</v>
      </c>
      <c r="L1045">
        <v>2</v>
      </c>
      <c r="M1045">
        <v>0</v>
      </c>
    </row>
    <row r="1046" spans="1:13" x14ac:dyDescent="0.25">
      <c r="A1046">
        <v>13</v>
      </c>
      <c r="B1046" t="s">
        <v>16</v>
      </c>
      <c r="C1046">
        <v>4.8</v>
      </c>
      <c r="D1046" t="s">
        <v>17</v>
      </c>
      <c r="E1046">
        <v>6</v>
      </c>
      <c r="F1046">
        <v>0.6</v>
      </c>
      <c r="G1046">
        <v>2.41</v>
      </c>
      <c r="H1046">
        <v>0</v>
      </c>
      <c r="I1046" t="s">
        <v>21</v>
      </c>
      <c r="J1046">
        <v>3</v>
      </c>
      <c r="K1046">
        <v>6</v>
      </c>
      <c r="L1046">
        <v>9</v>
      </c>
      <c r="M1046">
        <v>0</v>
      </c>
    </row>
    <row r="1047" spans="1:13" x14ac:dyDescent="0.25">
      <c r="A1047">
        <v>17</v>
      </c>
      <c r="B1047" t="s">
        <v>19</v>
      </c>
      <c r="C1047">
        <v>7.3</v>
      </c>
      <c r="D1047" t="s">
        <v>17</v>
      </c>
      <c r="E1047">
        <v>6.7</v>
      </c>
      <c r="F1047">
        <v>1</v>
      </c>
      <c r="G1047">
        <v>3.41</v>
      </c>
      <c r="H1047">
        <v>1.7</v>
      </c>
      <c r="I1047" t="s">
        <v>22</v>
      </c>
      <c r="J1047">
        <v>6</v>
      </c>
      <c r="K1047">
        <v>5</v>
      </c>
      <c r="L1047">
        <v>2</v>
      </c>
      <c r="M1047">
        <v>0</v>
      </c>
    </row>
    <row r="1048" spans="1:13" x14ac:dyDescent="0.25">
      <c r="A1048">
        <v>13</v>
      </c>
      <c r="B1048" t="s">
        <v>16</v>
      </c>
      <c r="C1048">
        <v>3.9</v>
      </c>
      <c r="D1048" t="s">
        <v>23</v>
      </c>
      <c r="E1048">
        <v>4.5</v>
      </c>
      <c r="F1048">
        <v>1.6</v>
      </c>
      <c r="G1048">
        <v>2.02</v>
      </c>
      <c r="H1048">
        <v>0.6</v>
      </c>
      <c r="I1048" t="s">
        <v>21</v>
      </c>
      <c r="J1048">
        <v>6</v>
      </c>
      <c r="K1048">
        <v>6</v>
      </c>
      <c r="L1048">
        <v>5</v>
      </c>
      <c r="M1048">
        <v>0</v>
      </c>
    </row>
    <row r="1049" spans="1:13" x14ac:dyDescent="0.25">
      <c r="A1049">
        <v>15</v>
      </c>
      <c r="B1049" t="s">
        <v>19</v>
      </c>
      <c r="C1049">
        <v>5.5</v>
      </c>
      <c r="D1049" t="s">
        <v>23</v>
      </c>
      <c r="E1049">
        <v>4</v>
      </c>
      <c r="F1049">
        <v>2.4</v>
      </c>
      <c r="G1049">
        <v>3.01</v>
      </c>
      <c r="H1049">
        <v>0.9</v>
      </c>
      <c r="I1049" t="s">
        <v>18</v>
      </c>
      <c r="J1049">
        <v>10</v>
      </c>
      <c r="K1049">
        <v>3</v>
      </c>
      <c r="L1049">
        <v>2</v>
      </c>
      <c r="M1049">
        <v>0</v>
      </c>
    </row>
    <row r="1050" spans="1:13" x14ac:dyDescent="0.25">
      <c r="A1050">
        <v>15</v>
      </c>
      <c r="B1050" t="s">
        <v>16</v>
      </c>
      <c r="C1050">
        <v>7.5</v>
      </c>
      <c r="D1050" t="s">
        <v>23</v>
      </c>
      <c r="E1050">
        <v>6.3</v>
      </c>
      <c r="F1050">
        <v>2.8</v>
      </c>
      <c r="G1050">
        <v>3.04</v>
      </c>
      <c r="H1050">
        <v>1.8</v>
      </c>
      <c r="I1050" t="s">
        <v>18</v>
      </c>
      <c r="J1050">
        <v>1</v>
      </c>
      <c r="K1050">
        <v>5</v>
      </c>
      <c r="L1050">
        <v>8</v>
      </c>
      <c r="M1050">
        <v>0</v>
      </c>
    </row>
    <row r="1051" spans="1:13" x14ac:dyDescent="0.25">
      <c r="A1051">
        <v>17</v>
      </c>
      <c r="B1051" t="s">
        <v>16</v>
      </c>
      <c r="C1051">
        <v>1.8</v>
      </c>
      <c r="D1051" t="s">
        <v>17</v>
      </c>
      <c r="E1051">
        <v>6.9</v>
      </c>
      <c r="F1051">
        <v>2.7</v>
      </c>
      <c r="G1051">
        <v>2.5299999999999998</v>
      </c>
      <c r="H1051">
        <v>1.7</v>
      </c>
      <c r="I1051" t="s">
        <v>21</v>
      </c>
      <c r="J1051">
        <v>2</v>
      </c>
      <c r="K1051">
        <v>2</v>
      </c>
      <c r="L1051">
        <v>7</v>
      </c>
      <c r="M1051">
        <v>0</v>
      </c>
    </row>
    <row r="1052" spans="1:13" x14ac:dyDescent="0.25">
      <c r="A1052">
        <v>16</v>
      </c>
      <c r="B1052" t="s">
        <v>16</v>
      </c>
      <c r="C1052">
        <v>2.6</v>
      </c>
      <c r="D1052" t="s">
        <v>17</v>
      </c>
      <c r="E1052">
        <v>5.0999999999999996</v>
      </c>
      <c r="F1052">
        <v>0.9</v>
      </c>
      <c r="G1052">
        <v>2.57</v>
      </c>
      <c r="H1052">
        <v>1.4</v>
      </c>
      <c r="I1052" t="s">
        <v>22</v>
      </c>
      <c r="J1052">
        <v>8</v>
      </c>
      <c r="K1052">
        <v>5</v>
      </c>
      <c r="L1052">
        <v>8</v>
      </c>
      <c r="M1052">
        <v>0</v>
      </c>
    </row>
    <row r="1053" spans="1:13" x14ac:dyDescent="0.25">
      <c r="A1053">
        <v>17</v>
      </c>
      <c r="B1053" t="s">
        <v>19</v>
      </c>
      <c r="C1053">
        <v>5.5</v>
      </c>
      <c r="D1053" t="s">
        <v>23</v>
      </c>
      <c r="E1053">
        <v>6</v>
      </c>
      <c r="F1053">
        <v>2.8</v>
      </c>
      <c r="G1053">
        <v>3.4</v>
      </c>
      <c r="H1053">
        <v>0</v>
      </c>
      <c r="I1053" t="s">
        <v>22</v>
      </c>
      <c r="J1053">
        <v>2</v>
      </c>
      <c r="K1053">
        <v>3</v>
      </c>
      <c r="L1053">
        <v>8</v>
      </c>
      <c r="M1053">
        <v>0</v>
      </c>
    </row>
    <row r="1054" spans="1:13" x14ac:dyDescent="0.25">
      <c r="A1054">
        <v>15</v>
      </c>
      <c r="B1054" t="s">
        <v>19</v>
      </c>
      <c r="C1054">
        <v>3.6</v>
      </c>
      <c r="D1054" t="s">
        <v>20</v>
      </c>
      <c r="E1054">
        <v>7.1</v>
      </c>
      <c r="F1054">
        <v>0.9</v>
      </c>
      <c r="G1054">
        <v>2.84</v>
      </c>
      <c r="H1054">
        <v>0.3</v>
      </c>
      <c r="I1054" t="s">
        <v>18</v>
      </c>
      <c r="J1054">
        <v>1</v>
      </c>
      <c r="K1054">
        <v>9</v>
      </c>
      <c r="L1054">
        <v>4</v>
      </c>
      <c r="M1054">
        <v>0</v>
      </c>
    </row>
    <row r="1055" spans="1:13" x14ac:dyDescent="0.25">
      <c r="A1055">
        <v>19</v>
      </c>
      <c r="B1055" t="s">
        <v>19</v>
      </c>
      <c r="C1055">
        <v>7.6</v>
      </c>
      <c r="D1055" t="s">
        <v>23</v>
      </c>
      <c r="E1055">
        <v>5.4</v>
      </c>
      <c r="F1055">
        <v>1.9</v>
      </c>
      <c r="G1055">
        <v>2.56</v>
      </c>
      <c r="H1055">
        <v>1.4</v>
      </c>
      <c r="I1055" t="s">
        <v>18</v>
      </c>
      <c r="J1055">
        <v>2</v>
      </c>
      <c r="K1055">
        <v>7</v>
      </c>
      <c r="L1055">
        <v>9</v>
      </c>
      <c r="M1055">
        <v>0</v>
      </c>
    </row>
    <row r="1056" spans="1:13" x14ac:dyDescent="0.25">
      <c r="A1056">
        <v>13</v>
      </c>
      <c r="B1056" t="s">
        <v>16</v>
      </c>
      <c r="C1056">
        <v>7.9</v>
      </c>
      <c r="D1056" t="s">
        <v>17</v>
      </c>
      <c r="E1056">
        <v>7.1</v>
      </c>
      <c r="F1056">
        <v>0.7</v>
      </c>
      <c r="G1056">
        <v>2.8</v>
      </c>
      <c r="H1056">
        <v>0.3</v>
      </c>
      <c r="I1056" t="s">
        <v>22</v>
      </c>
      <c r="J1056">
        <v>6</v>
      </c>
      <c r="K1056">
        <v>8</v>
      </c>
      <c r="L1056">
        <v>8</v>
      </c>
      <c r="M1056">
        <v>0</v>
      </c>
    </row>
    <row r="1057" spans="1:13" x14ac:dyDescent="0.25">
      <c r="A1057">
        <v>15</v>
      </c>
      <c r="B1057" t="s">
        <v>16</v>
      </c>
      <c r="C1057">
        <v>2.6</v>
      </c>
      <c r="D1057" t="s">
        <v>23</v>
      </c>
      <c r="E1057">
        <v>6.8</v>
      </c>
      <c r="F1057">
        <v>1.7</v>
      </c>
      <c r="G1057">
        <v>2.06</v>
      </c>
      <c r="H1057">
        <v>0.4</v>
      </c>
      <c r="I1057" t="s">
        <v>22</v>
      </c>
      <c r="J1057">
        <v>8</v>
      </c>
      <c r="K1057">
        <v>6</v>
      </c>
      <c r="L1057">
        <v>6</v>
      </c>
      <c r="M1057">
        <v>0</v>
      </c>
    </row>
    <row r="1058" spans="1:13" x14ac:dyDescent="0.25">
      <c r="A1058">
        <v>19</v>
      </c>
      <c r="B1058" t="s">
        <v>16</v>
      </c>
      <c r="C1058">
        <v>5.7</v>
      </c>
      <c r="D1058" t="s">
        <v>20</v>
      </c>
      <c r="E1058">
        <v>6.4</v>
      </c>
      <c r="F1058">
        <v>0.9</v>
      </c>
      <c r="G1058">
        <v>3.57</v>
      </c>
      <c r="H1058">
        <v>1.5</v>
      </c>
      <c r="I1058" t="s">
        <v>21</v>
      </c>
      <c r="J1058">
        <v>3</v>
      </c>
      <c r="K1058">
        <v>7</v>
      </c>
      <c r="L1058">
        <v>2</v>
      </c>
      <c r="M1058">
        <v>0</v>
      </c>
    </row>
    <row r="1059" spans="1:13" x14ac:dyDescent="0.25">
      <c r="A1059">
        <v>13</v>
      </c>
      <c r="B1059" t="s">
        <v>19</v>
      </c>
      <c r="C1059">
        <v>7.1</v>
      </c>
      <c r="D1059" t="s">
        <v>17</v>
      </c>
      <c r="E1059">
        <v>5.7</v>
      </c>
      <c r="F1059">
        <v>1.2</v>
      </c>
      <c r="G1059">
        <v>3.83</v>
      </c>
      <c r="H1059">
        <v>2</v>
      </c>
      <c r="I1059" t="s">
        <v>22</v>
      </c>
      <c r="J1059">
        <v>2</v>
      </c>
      <c r="K1059">
        <v>8</v>
      </c>
      <c r="L1059">
        <v>7</v>
      </c>
      <c r="M1059">
        <v>0</v>
      </c>
    </row>
    <row r="1060" spans="1:13" x14ac:dyDescent="0.25">
      <c r="A1060">
        <v>13</v>
      </c>
      <c r="B1060" t="s">
        <v>19</v>
      </c>
      <c r="C1060">
        <v>1.3</v>
      </c>
      <c r="D1060" t="s">
        <v>20</v>
      </c>
      <c r="E1060">
        <v>8.6999999999999993</v>
      </c>
      <c r="F1060">
        <v>0.9</v>
      </c>
      <c r="G1060">
        <v>4</v>
      </c>
      <c r="H1060">
        <v>0.1</v>
      </c>
      <c r="I1060" t="s">
        <v>18</v>
      </c>
      <c r="J1060">
        <v>10</v>
      </c>
      <c r="K1060">
        <v>9</v>
      </c>
      <c r="L1060">
        <v>9</v>
      </c>
      <c r="M1060">
        <v>0</v>
      </c>
    </row>
    <row r="1061" spans="1:13" x14ac:dyDescent="0.25">
      <c r="A1061">
        <v>13</v>
      </c>
      <c r="B1061" t="s">
        <v>19</v>
      </c>
      <c r="C1061">
        <v>1.1000000000000001</v>
      </c>
      <c r="D1061" t="s">
        <v>23</v>
      </c>
      <c r="E1061">
        <v>6.7</v>
      </c>
      <c r="F1061">
        <v>2</v>
      </c>
      <c r="G1061">
        <v>3.63</v>
      </c>
      <c r="H1061">
        <v>0.2</v>
      </c>
      <c r="I1061" t="s">
        <v>22</v>
      </c>
      <c r="J1061">
        <v>3</v>
      </c>
      <c r="K1061">
        <v>10</v>
      </c>
      <c r="L1061">
        <v>5</v>
      </c>
      <c r="M1061">
        <v>0</v>
      </c>
    </row>
    <row r="1062" spans="1:13" x14ac:dyDescent="0.25">
      <c r="A1062">
        <v>13</v>
      </c>
      <c r="B1062" t="s">
        <v>19</v>
      </c>
      <c r="C1062">
        <v>3.3</v>
      </c>
      <c r="D1062" t="s">
        <v>20</v>
      </c>
      <c r="E1062">
        <v>9</v>
      </c>
      <c r="F1062">
        <v>0.7</v>
      </c>
      <c r="G1062">
        <v>2.4900000000000002</v>
      </c>
      <c r="H1062">
        <v>0.6</v>
      </c>
      <c r="I1062" t="s">
        <v>22</v>
      </c>
      <c r="J1062">
        <v>3</v>
      </c>
      <c r="K1062">
        <v>6</v>
      </c>
      <c r="L1062">
        <v>4</v>
      </c>
      <c r="M1062">
        <v>0</v>
      </c>
    </row>
    <row r="1063" spans="1:13" x14ac:dyDescent="0.25">
      <c r="A1063">
        <v>16</v>
      </c>
      <c r="B1063" t="s">
        <v>16</v>
      </c>
      <c r="C1063">
        <v>7.4</v>
      </c>
      <c r="D1063" t="s">
        <v>23</v>
      </c>
      <c r="E1063">
        <v>7.2</v>
      </c>
      <c r="F1063">
        <v>1.8</v>
      </c>
      <c r="G1063">
        <v>2.11</v>
      </c>
      <c r="H1063">
        <v>1.4</v>
      </c>
      <c r="I1063" t="s">
        <v>22</v>
      </c>
      <c r="J1063">
        <v>3</v>
      </c>
      <c r="K1063">
        <v>7</v>
      </c>
      <c r="L1063">
        <v>3</v>
      </c>
      <c r="M1063">
        <v>0</v>
      </c>
    </row>
    <row r="1064" spans="1:13" x14ac:dyDescent="0.25">
      <c r="A1064">
        <v>13</v>
      </c>
      <c r="B1064" t="s">
        <v>16</v>
      </c>
      <c r="C1064">
        <v>5.8</v>
      </c>
      <c r="D1064" t="s">
        <v>20</v>
      </c>
      <c r="E1064">
        <v>8.3000000000000007</v>
      </c>
      <c r="F1064">
        <v>2.8</v>
      </c>
      <c r="G1064">
        <v>2.63</v>
      </c>
      <c r="H1064">
        <v>0.6</v>
      </c>
      <c r="I1064" t="s">
        <v>21</v>
      </c>
      <c r="J1064">
        <v>5</v>
      </c>
      <c r="K1064">
        <v>3</v>
      </c>
      <c r="L1064">
        <v>7</v>
      </c>
      <c r="M1064">
        <v>0</v>
      </c>
    </row>
    <row r="1065" spans="1:13" x14ac:dyDescent="0.25">
      <c r="A1065">
        <v>18</v>
      </c>
      <c r="B1065" t="s">
        <v>19</v>
      </c>
      <c r="C1065">
        <v>4.5999999999999996</v>
      </c>
      <c r="D1065" t="s">
        <v>20</v>
      </c>
      <c r="E1065">
        <v>6.8</v>
      </c>
      <c r="F1065">
        <v>1.5</v>
      </c>
      <c r="G1065">
        <v>2.4</v>
      </c>
      <c r="H1065">
        <v>1.4</v>
      </c>
      <c r="I1065" t="s">
        <v>22</v>
      </c>
      <c r="J1065">
        <v>5</v>
      </c>
      <c r="K1065">
        <v>10</v>
      </c>
      <c r="L1065">
        <v>2</v>
      </c>
      <c r="M1065">
        <v>0</v>
      </c>
    </row>
    <row r="1066" spans="1:13" x14ac:dyDescent="0.25">
      <c r="A1066">
        <v>18</v>
      </c>
      <c r="B1066" t="s">
        <v>19</v>
      </c>
      <c r="C1066">
        <v>2.5</v>
      </c>
      <c r="D1066" t="s">
        <v>20</v>
      </c>
      <c r="E1066">
        <v>7.1</v>
      </c>
      <c r="F1066">
        <v>1.6</v>
      </c>
      <c r="G1066">
        <v>3.97</v>
      </c>
      <c r="H1066">
        <v>0.7</v>
      </c>
      <c r="I1066" t="s">
        <v>22</v>
      </c>
      <c r="J1066">
        <v>10</v>
      </c>
      <c r="K1066">
        <v>7</v>
      </c>
      <c r="L1066">
        <v>3</v>
      </c>
      <c r="M1066">
        <v>0</v>
      </c>
    </row>
    <row r="1067" spans="1:13" x14ac:dyDescent="0.25">
      <c r="A1067">
        <v>18</v>
      </c>
      <c r="B1067" t="s">
        <v>16</v>
      </c>
      <c r="C1067">
        <v>4</v>
      </c>
      <c r="D1067" t="s">
        <v>23</v>
      </c>
      <c r="E1067">
        <v>8</v>
      </c>
      <c r="F1067">
        <v>2</v>
      </c>
      <c r="G1067">
        <v>3.04</v>
      </c>
      <c r="H1067">
        <v>1.4</v>
      </c>
      <c r="I1067" t="s">
        <v>21</v>
      </c>
      <c r="J1067">
        <v>3</v>
      </c>
      <c r="K1067">
        <v>1</v>
      </c>
      <c r="L1067">
        <v>8</v>
      </c>
      <c r="M1067">
        <v>0</v>
      </c>
    </row>
    <row r="1068" spans="1:13" x14ac:dyDescent="0.25">
      <c r="A1068">
        <v>17</v>
      </c>
      <c r="B1068" t="s">
        <v>19</v>
      </c>
      <c r="C1068">
        <v>6.6</v>
      </c>
      <c r="D1068" t="s">
        <v>23</v>
      </c>
      <c r="E1068">
        <v>8</v>
      </c>
      <c r="F1068">
        <v>1.9</v>
      </c>
      <c r="G1068">
        <v>2.86</v>
      </c>
      <c r="H1068">
        <v>0.4</v>
      </c>
      <c r="I1068" t="s">
        <v>22</v>
      </c>
      <c r="J1068">
        <v>4</v>
      </c>
      <c r="K1068">
        <v>8</v>
      </c>
      <c r="L1068">
        <v>5</v>
      </c>
      <c r="M1068">
        <v>0</v>
      </c>
    </row>
    <row r="1069" spans="1:13" x14ac:dyDescent="0.25">
      <c r="A1069">
        <v>14</v>
      </c>
      <c r="B1069" t="s">
        <v>19</v>
      </c>
      <c r="C1069">
        <v>2.9</v>
      </c>
      <c r="D1069" t="s">
        <v>20</v>
      </c>
      <c r="E1069">
        <v>5.8</v>
      </c>
      <c r="F1069">
        <v>1.6</v>
      </c>
      <c r="G1069">
        <v>3.34</v>
      </c>
      <c r="H1069">
        <v>1.1000000000000001</v>
      </c>
      <c r="I1069" t="s">
        <v>22</v>
      </c>
      <c r="J1069">
        <v>6</v>
      </c>
      <c r="K1069">
        <v>10</v>
      </c>
      <c r="L1069">
        <v>3</v>
      </c>
      <c r="M1069">
        <v>0</v>
      </c>
    </row>
    <row r="1070" spans="1:13" x14ac:dyDescent="0.25">
      <c r="A1070">
        <v>14</v>
      </c>
      <c r="B1070" t="s">
        <v>16</v>
      </c>
      <c r="C1070">
        <v>7.2</v>
      </c>
      <c r="D1070" t="s">
        <v>20</v>
      </c>
      <c r="E1070">
        <v>5.7</v>
      </c>
      <c r="F1070">
        <v>2.7</v>
      </c>
      <c r="G1070">
        <v>2.76</v>
      </c>
      <c r="H1070">
        <v>0.4</v>
      </c>
      <c r="I1070" t="s">
        <v>18</v>
      </c>
      <c r="J1070">
        <v>7</v>
      </c>
      <c r="K1070">
        <v>3</v>
      </c>
      <c r="L1070">
        <v>7</v>
      </c>
      <c r="M1070">
        <v>0</v>
      </c>
    </row>
    <row r="1071" spans="1:13" x14ac:dyDescent="0.25">
      <c r="A1071">
        <v>13</v>
      </c>
      <c r="B1071" t="s">
        <v>19</v>
      </c>
      <c r="C1071">
        <v>2.9</v>
      </c>
      <c r="D1071" t="s">
        <v>17</v>
      </c>
      <c r="E1071">
        <v>5.3</v>
      </c>
      <c r="F1071">
        <v>1</v>
      </c>
      <c r="G1071">
        <v>3.89</v>
      </c>
      <c r="H1071">
        <v>1.7</v>
      </c>
      <c r="I1071" t="s">
        <v>21</v>
      </c>
      <c r="J1071">
        <v>9</v>
      </c>
      <c r="K1071">
        <v>2</v>
      </c>
      <c r="L1071">
        <v>4</v>
      </c>
      <c r="M1071">
        <v>0</v>
      </c>
    </row>
    <row r="1072" spans="1:13" x14ac:dyDescent="0.25">
      <c r="A1072">
        <v>15</v>
      </c>
      <c r="B1072" t="s">
        <v>19</v>
      </c>
      <c r="C1072">
        <v>7.3</v>
      </c>
      <c r="D1072" t="s">
        <v>23</v>
      </c>
      <c r="E1072">
        <v>5.7</v>
      </c>
      <c r="F1072">
        <v>2.9</v>
      </c>
      <c r="G1072">
        <v>3.48</v>
      </c>
      <c r="H1072">
        <v>1.8</v>
      </c>
      <c r="I1072" t="s">
        <v>22</v>
      </c>
      <c r="J1072">
        <v>2</v>
      </c>
      <c r="K1072">
        <v>7</v>
      </c>
      <c r="L1072">
        <v>8</v>
      </c>
      <c r="M1072">
        <v>0</v>
      </c>
    </row>
    <row r="1073" spans="1:13" x14ac:dyDescent="0.25">
      <c r="A1073">
        <v>16</v>
      </c>
      <c r="B1073" t="s">
        <v>19</v>
      </c>
      <c r="C1073">
        <v>3.7</v>
      </c>
      <c r="D1073" t="s">
        <v>20</v>
      </c>
      <c r="E1073">
        <v>9</v>
      </c>
      <c r="F1073">
        <v>1.5</v>
      </c>
      <c r="G1073">
        <v>3.37</v>
      </c>
      <c r="H1073">
        <v>1.9</v>
      </c>
      <c r="I1073" t="s">
        <v>18</v>
      </c>
      <c r="J1073">
        <v>4</v>
      </c>
      <c r="K1073">
        <v>3</v>
      </c>
      <c r="L1073">
        <v>1</v>
      </c>
      <c r="M1073">
        <v>0</v>
      </c>
    </row>
    <row r="1074" spans="1:13" x14ac:dyDescent="0.25">
      <c r="A1074">
        <v>16</v>
      </c>
      <c r="B1074" t="s">
        <v>16</v>
      </c>
      <c r="C1074">
        <v>7</v>
      </c>
      <c r="D1074" t="s">
        <v>17</v>
      </c>
      <c r="E1074">
        <v>4.8</v>
      </c>
      <c r="F1074">
        <v>1.7</v>
      </c>
      <c r="G1074">
        <v>2.9</v>
      </c>
      <c r="H1074">
        <v>0.3</v>
      </c>
      <c r="I1074" t="s">
        <v>18</v>
      </c>
      <c r="J1074">
        <v>4</v>
      </c>
      <c r="K1074">
        <v>1</v>
      </c>
      <c r="L1074">
        <v>8</v>
      </c>
      <c r="M1074">
        <v>0</v>
      </c>
    </row>
    <row r="1075" spans="1:13" x14ac:dyDescent="0.25">
      <c r="A1075">
        <v>15</v>
      </c>
      <c r="B1075" t="s">
        <v>16</v>
      </c>
      <c r="C1075">
        <v>4</v>
      </c>
      <c r="D1075" t="s">
        <v>20</v>
      </c>
      <c r="E1075">
        <v>8.4</v>
      </c>
      <c r="F1075">
        <v>2.2999999999999998</v>
      </c>
      <c r="G1075">
        <v>2.52</v>
      </c>
      <c r="H1075">
        <v>0.9</v>
      </c>
      <c r="I1075" t="s">
        <v>18</v>
      </c>
      <c r="J1075">
        <v>4</v>
      </c>
      <c r="K1075">
        <v>5</v>
      </c>
      <c r="L1075">
        <v>3</v>
      </c>
      <c r="M1075">
        <v>0</v>
      </c>
    </row>
    <row r="1076" spans="1:13" x14ac:dyDescent="0.25">
      <c r="A1076">
        <v>16</v>
      </c>
      <c r="B1076" t="s">
        <v>16</v>
      </c>
      <c r="C1076">
        <v>2.7</v>
      </c>
      <c r="D1076" t="s">
        <v>23</v>
      </c>
      <c r="E1076">
        <v>7.5</v>
      </c>
      <c r="F1076">
        <v>2.8</v>
      </c>
      <c r="G1076">
        <v>3.53</v>
      </c>
      <c r="H1076">
        <v>0.9</v>
      </c>
      <c r="I1076" t="s">
        <v>22</v>
      </c>
      <c r="J1076">
        <v>3</v>
      </c>
      <c r="K1076">
        <v>1</v>
      </c>
      <c r="L1076">
        <v>5</v>
      </c>
      <c r="M1076">
        <v>0</v>
      </c>
    </row>
    <row r="1077" spans="1:13" x14ac:dyDescent="0.25">
      <c r="A1077">
        <v>15</v>
      </c>
      <c r="B1077" t="s">
        <v>16</v>
      </c>
      <c r="C1077">
        <v>7.2</v>
      </c>
      <c r="D1077" t="s">
        <v>23</v>
      </c>
      <c r="E1077">
        <v>5.7</v>
      </c>
      <c r="F1077">
        <v>0.7</v>
      </c>
      <c r="G1077">
        <v>3.89</v>
      </c>
      <c r="H1077">
        <v>1</v>
      </c>
      <c r="I1077" t="s">
        <v>22</v>
      </c>
      <c r="J1077">
        <v>1</v>
      </c>
      <c r="K1077">
        <v>3</v>
      </c>
      <c r="L1077">
        <v>6</v>
      </c>
      <c r="M1077">
        <v>0</v>
      </c>
    </row>
    <row r="1078" spans="1:13" x14ac:dyDescent="0.25">
      <c r="A1078">
        <v>18</v>
      </c>
      <c r="B1078" t="s">
        <v>16</v>
      </c>
      <c r="C1078">
        <v>7.9</v>
      </c>
      <c r="D1078" t="s">
        <v>23</v>
      </c>
      <c r="E1078">
        <v>7</v>
      </c>
      <c r="F1078">
        <v>2.7</v>
      </c>
      <c r="G1078">
        <v>3.9</v>
      </c>
      <c r="H1078">
        <v>1</v>
      </c>
      <c r="I1078" t="s">
        <v>22</v>
      </c>
      <c r="J1078">
        <v>1</v>
      </c>
      <c r="K1078">
        <v>2</v>
      </c>
      <c r="L1078">
        <v>10</v>
      </c>
      <c r="M1078">
        <v>0</v>
      </c>
    </row>
    <row r="1079" spans="1:13" x14ac:dyDescent="0.25">
      <c r="A1079">
        <v>14</v>
      </c>
      <c r="B1079" t="s">
        <v>19</v>
      </c>
      <c r="C1079">
        <v>5.0999999999999996</v>
      </c>
      <c r="D1079" t="s">
        <v>17</v>
      </c>
      <c r="E1079">
        <v>5.3</v>
      </c>
      <c r="F1079">
        <v>2.2999999999999998</v>
      </c>
      <c r="G1079">
        <v>2.31</v>
      </c>
      <c r="H1079">
        <v>0.2</v>
      </c>
      <c r="I1079" t="s">
        <v>21</v>
      </c>
      <c r="J1079">
        <v>3</v>
      </c>
      <c r="K1079">
        <v>3</v>
      </c>
      <c r="L1079">
        <v>6</v>
      </c>
      <c r="M1079">
        <v>0</v>
      </c>
    </row>
    <row r="1080" spans="1:13" x14ac:dyDescent="0.25">
      <c r="A1080">
        <v>15</v>
      </c>
      <c r="B1080" t="s">
        <v>19</v>
      </c>
      <c r="C1080">
        <v>6.4</v>
      </c>
      <c r="D1080" t="s">
        <v>23</v>
      </c>
      <c r="E1080">
        <v>7.7</v>
      </c>
      <c r="F1080">
        <v>0.7</v>
      </c>
      <c r="G1080">
        <v>3.86</v>
      </c>
      <c r="H1080">
        <v>1.5</v>
      </c>
      <c r="I1080" t="s">
        <v>21</v>
      </c>
      <c r="J1080">
        <v>10</v>
      </c>
      <c r="K1080">
        <v>2</v>
      </c>
      <c r="L1080">
        <v>7</v>
      </c>
      <c r="M1080">
        <v>0</v>
      </c>
    </row>
    <row r="1081" spans="1:13" x14ac:dyDescent="0.25">
      <c r="A1081">
        <v>16</v>
      </c>
      <c r="B1081" t="s">
        <v>19</v>
      </c>
      <c r="C1081">
        <v>4.4000000000000004</v>
      </c>
      <c r="D1081" t="s">
        <v>23</v>
      </c>
      <c r="E1081">
        <v>4.2</v>
      </c>
      <c r="F1081">
        <v>2</v>
      </c>
      <c r="G1081">
        <v>3.89</v>
      </c>
      <c r="H1081">
        <v>1.1000000000000001</v>
      </c>
      <c r="I1081" t="s">
        <v>22</v>
      </c>
      <c r="J1081">
        <v>2</v>
      </c>
      <c r="K1081">
        <v>9</v>
      </c>
      <c r="L1081">
        <v>8</v>
      </c>
      <c r="M1081">
        <v>0</v>
      </c>
    </row>
    <row r="1082" spans="1:13" x14ac:dyDescent="0.25">
      <c r="A1082">
        <v>16</v>
      </c>
      <c r="B1082" t="s">
        <v>16</v>
      </c>
      <c r="C1082">
        <v>7</v>
      </c>
      <c r="D1082" t="s">
        <v>20</v>
      </c>
      <c r="E1082">
        <v>7.4</v>
      </c>
      <c r="F1082">
        <v>2.6</v>
      </c>
      <c r="G1082">
        <v>2.92</v>
      </c>
      <c r="H1082">
        <v>1</v>
      </c>
      <c r="I1082" t="s">
        <v>22</v>
      </c>
      <c r="J1082">
        <v>10</v>
      </c>
      <c r="K1082">
        <v>6</v>
      </c>
      <c r="L1082">
        <v>3</v>
      </c>
      <c r="M1082">
        <v>0</v>
      </c>
    </row>
    <row r="1083" spans="1:13" x14ac:dyDescent="0.25">
      <c r="A1083">
        <v>17</v>
      </c>
      <c r="B1083" t="s">
        <v>19</v>
      </c>
      <c r="C1083">
        <v>7.8</v>
      </c>
      <c r="D1083" t="s">
        <v>20</v>
      </c>
      <c r="E1083">
        <v>5.7</v>
      </c>
      <c r="F1083">
        <v>1.2</v>
      </c>
      <c r="G1083">
        <v>3.72</v>
      </c>
      <c r="H1083">
        <v>1.2</v>
      </c>
      <c r="I1083" t="s">
        <v>21</v>
      </c>
      <c r="J1083">
        <v>10</v>
      </c>
      <c r="K1083">
        <v>2</v>
      </c>
      <c r="L1083">
        <v>6</v>
      </c>
      <c r="M1083">
        <v>0</v>
      </c>
    </row>
    <row r="1084" spans="1:13" x14ac:dyDescent="0.25">
      <c r="A1084">
        <v>14</v>
      </c>
      <c r="B1084" t="s">
        <v>19</v>
      </c>
      <c r="C1084">
        <v>5</v>
      </c>
      <c r="D1084" t="s">
        <v>17</v>
      </c>
      <c r="E1084">
        <v>6.2</v>
      </c>
      <c r="F1084">
        <v>1</v>
      </c>
      <c r="G1084">
        <v>2</v>
      </c>
      <c r="H1084">
        <v>1.5</v>
      </c>
      <c r="I1084" t="s">
        <v>18</v>
      </c>
      <c r="J1084">
        <v>5</v>
      </c>
      <c r="K1084">
        <v>6</v>
      </c>
      <c r="L1084">
        <v>1</v>
      </c>
      <c r="M1084">
        <v>0</v>
      </c>
    </row>
    <row r="1085" spans="1:13" x14ac:dyDescent="0.25">
      <c r="A1085">
        <v>17</v>
      </c>
      <c r="B1085" t="s">
        <v>16</v>
      </c>
      <c r="C1085">
        <v>6.6</v>
      </c>
      <c r="D1085" t="s">
        <v>20</v>
      </c>
      <c r="E1085">
        <v>5.3</v>
      </c>
      <c r="F1085">
        <v>1.1000000000000001</v>
      </c>
      <c r="G1085">
        <v>3.5</v>
      </c>
      <c r="H1085">
        <v>1.7</v>
      </c>
      <c r="I1085" t="s">
        <v>22</v>
      </c>
      <c r="J1085">
        <v>1</v>
      </c>
      <c r="K1085">
        <v>10</v>
      </c>
      <c r="L1085">
        <v>7</v>
      </c>
      <c r="M1085">
        <v>0</v>
      </c>
    </row>
    <row r="1086" spans="1:13" x14ac:dyDescent="0.25">
      <c r="A1086">
        <v>18</v>
      </c>
      <c r="B1086" t="s">
        <v>16</v>
      </c>
      <c r="C1086">
        <v>2.6</v>
      </c>
      <c r="D1086" t="s">
        <v>23</v>
      </c>
      <c r="E1086">
        <v>8.6</v>
      </c>
      <c r="F1086">
        <v>2.7</v>
      </c>
      <c r="G1086">
        <v>3.28</v>
      </c>
      <c r="H1086">
        <v>0.8</v>
      </c>
      <c r="I1086" t="s">
        <v>21</v>
      </c>
      <c r="J1086">
        <v>5</v>
      </c>
      <c r="K1086">
        <v>4</v>
      </c>
      <c r="L1086">
        <v>6</v>
      </c>
      <c r="M1086">
        <v>0</v>
      </c>
    </row>
    <row r="1087" spans="1:13" x14ac:dyDescent="0.25">
      <c r="A1087">
        <v>13</v>
      </c>
      <c r="B1087" t="s">
        <v>19</v>
      </c>
      <c r="C1087">
        <v>5.8</v>
      </c>
      <c r="D1087" t="s">
        <v>17</v>
      </c>
      <c r="E1087">
        <v>4.4000000000000004</v>
      </c>
      <c r="F1087">
        <v>1.8</v>
      </c>
      <c r="G1087">
        <v>3.8</v>
      </c>
      <c r="H1087">
        <v>1</v>
      </c>
      <c r="I1087" t="s">
        <v>21</v>
      </c>
      <c r="J1087">
        <v>2</v>
      </c>
      <c r="K1087">
        <v>2</v>
      </c>
      <c r="L1087">
        <v>1</v>
      </c>
      <c r="M1087">
        <v>0</v>
      </c>
    </row>
    <row r="1088" spans="1:13" x14ac:dyDescent="0.25">
      <c r="A1088">
        <v>14</v>
      </c>
      <c r="B1088" t="s">
        <v>19</v>
      </c>
      <c r="C1088">
        <v>5.6</v>
      </c>
      <c r="D1088" t="s">
        <v>20</v>
      </c>
      <c r="E1088">
        <v>6.8</v>
      </c>
      <c r="F1088">
        <v>2.2999999999999998</v>
      </c>
      <c r="G1088">
        <v>2.66</v>
      </c>
      <c r="H1088">
        <v>1.1000000000000001</v>
      </c>
      <c r="I1088" t="s">
        <v>21</v>
      </c>
      <c r="J1088">
        <v>7</v>
      </c>
      <c r="K1088">
        <v>6</v>
      </c>
      <c r="L1088">
        <v>2</v>
      </c>
      <c r="M1088">
        <v>0</v>
      </c>
    </row>
    <row r="1089" spans="1:13" x14ac:dyDescent="0.25">
      <c r="A1089">
        <v>18</v>
      </c>
      <c r="B1089" t="s">
        <v>16</v>
      </c>
      <c r="C1089">
        <v>4.5999999999999996</v>
      </c>
      <c r="D1089" t="s">
        <v>23</v>
      </c>
      <c r="E1089">
        <v>4.3</v>
      </c>
      <c r="F1089">
        <v>2.9</v>
      </c>
      <c r="G1089">
        <v>2.95</v>
      </c>
      <c r="H1089">
        <v>0.6</v>
      </c>
      <c r="I1089" t="s">
        <v>22</v>
      </c>
      <c r="J1089">
        <v>7</v>
      </c>
      <c r="K1089">
        <v>9</v>
      </c>
      <c r="L1089">
        <v>8</v>
      </c>
      <c r="M1089">
        <v>0</v>
      </c>
    </row>
    <row r="1090" spans="1:13" x14ac:dyDescent="0.25">
      <c r="A1090">
        <v>19</v>
      </c>
      <c r="B1090" t="s">
        <v>16</v>
      </c>
      <c r="C1090">
        <v>1.4</v>
      </c>
      <c r="D1090" t="s">
        <v>23</v>
      </c>
      <c r="E1090">
        <v>4.7</v>
      </c>
      <c r="F1090">
        <v>0.5</v>
      </c>
      <c r="G1090">
        <v>3.57</v>
      </c>
      <c r="H1090">
        <v>1.7</v>
      </c>
      <c r="I1090" t="s">
        <v>21</v>
      </c>
      <c r="J1090">
        <v>1</v>
      </c>
      <c r="K1090">
        <v>5</v>
      </c>
      <c r="L1090">
        <v>6</v>
      </c>
      <c r="M1090">
        <v>0</v>
      </c>
    </row>
    <row r="1091" spans="1:13" x14ac:dyDescent="0.25">
      <c r="A1091">
        <v>13</v>
      </c>
      <c r="B1091" t="s">
        <v>19</v>
      </c>
      <c r="C1091">
        <v>2.9</v>
      </c>
      <c r="D1091" t="s">
        <v>23</v>
      </c>
      <c r="E1091">
        <v>8.1999999999999993</v>
      </c>
      <c r="F1091">
        <v>2.2999999999999998</v>
      </c>
      <c r="G1091">
        <v>2.48</v>
      </c>
      <c r="H1091">
        <v>0.9</v>
      </c>
      <c r="I1091" t="s">
        <v>18</v>
      </c>
      <c r="J1091">
        <v>5</v>
      </c>
      <c r="K1091">
        <v>8</v>
      </c>
      <c r="L1091">
        <v>9</v>
      </c>
      <c r="M1091">
        <v>0</v>
      </c>
    </row>
    <row r="1092" spans="1:13" x14ac:dyDescent="0.25">
      <c r="A1092">
        <v>16</v>
      </c>
      <c r="B1092" t="s">
        <v>19</v>
      </c>
      <c r="C1092">
        <v>7.9</v>
      </c>
      <c r="D1092" t="s">
        <v>17</v>
      </c>
      <c r="E1092">
        <v>6.3</v>
      </c>
      <c r="F1092">
        <v>2.7</v>
      </c>
      <c r="G1092">
        <v>2.88</v>
      </c>
      <c r="H1092">
        <v>0.2</v>
      </c>
      <c r="I1092" t="s">
        <v>21</v>
      </c>
      <c r="J1092">
        <v>2</v>
      </c>
      <c r="K1092">
        <v>7</v>
      </c>
      <c r="L1092">
        <v>5</v>
      </c>
      <c r="M1092">
        <v>0</v>
      </c>
    </row>
    <row r="1093" spans="1:13" x14ac:dyDescent="0.25">
      <c r="A1093">
        <v>13</v>
      </c>
      <c r="B1093" t="s">
        <v>16</v>
      </c>
      <c r="C1093">
        <v>3.5</v>
      </c>
      <c r="D1093" t="s">
        <v>23</v>
      </c>
      <c r="E1093">
        <v>6.8</v>
      </c>
      <c r="F1093">
        <v>2.2999999999999998</v>
      </c>
      <c r="G1093">
        <v>2.2799999999999998</v>
      </c>
      <c r="H1093">
        <v>1</v>
      </c>
      <c r="I1093" t="s">
        <v>18</v>
      </c>
      <c r="J1093">
        <v>7</v>
      </c>
      <c r="K1093">
        <v>2</v>
      </c>
      <c r="L1093">
        <v>6</v>
      </c>
      <c r="M1093">
        <v>0</v>
      </c>
    </row>
    <row r="1094" spans="1:13" x14ac:dyDescent="0.25">
      <c r="A1094">
        <v>14</v>
      </c>
      <c r="B1094" t="s">
        <v>19</v>
      </c>
      <c r="C1094">
        <v>3.8</v>
      </c>
      <c r="D1094" t="s">
        <v>17</v>
      </c>
      <c r="E1094">
        <v>7.9</v>
      </c>
      <c r="F1094">
        <v>1.2</v>
      </c>
      <c r="G1094">
        <v>3.24</v>
      </c>
      <c r="H1094">
        <v>1.6</v>
      </c>
      <c r="I1094" t="s">
        <v>21</v>
      </c>
      <c r="J1094">
        <v>6</v>
      </c>
      <c r="K1094">
        <v>10</v>
      </c>
      <c r="L1094">
        <v>5</v>
      </c>
      <c r="M1094">
        <v>0</v>
      </c>
    </row>
    <row r="1095" spans="1:13" x14ac:dyDescent="0.25">
      <c r="A1095">
        <v>19</v>
      </c>
      <c r="B1095" t="s">
        <v>16</v>
      </c>
      <c r="C1095">
        <v>2.9</v>
      </c>
      <c r="D1095" t="s">
        <v>17</v>
      </c>
      <c r="E1095">
        <v>8.6999999999999993</v>
      </c>
      <c r="F1095">
        <v>0.9</v>
      </c>
      <c r="G1095">
        <v>2.99</v>
      </c>
      <c r="H1095">
        <v>0.8</v>
      </c>
      <c r="I1095" t="s">
        <v>22</v>
      </c>
      <c r="J1095">
        <v>7</v>
      </c>
      <c r="K1095">
        <v>8</v>
      </c>
      <c r="L1095">
        <v>2</v>
      </c>
      <c r="M1095">
        <v>0</v>
      </c>
    </row>
    <row r="1096" spans="1:13" x14ac:dyDescent="0.25">
      <c r="A1096">
        <v>17</v>
      </c>
      <c r="B1096" t="s">
        <v>16</v>
      </c>
      <c r="C1096">
        <v>3.5</v>
      </c>
      <c r="D1096" t="s">
        <v>23</v>
      </c>
      <c r="E1096">
        <v>4.5999999999999996</v>
      </c>
      <c r="F1096">
        <v>0.7</v>
      </c>
      <c r="G1096">
        <v>3.9</v>
      </c>
      <c r="H1096">
        <v>0.6</v>
      </c>
      <c r="I1096" t="s">
        <v>21</v>
      </c>
      <c r="J1096">
        <v>7</v>
      </c>
      <c r="K1096">
        <v>3</v>
      </c>
      <c r="L1096">
        <v>1</v>
      </c>
      <c r="M1096">
        <v>0</v>
      </c>
    </row>
    <row r="1097" spans="1:13" x14ac:dyDescent="0.25">
      <c r="A1097">
        <v>16</v>
      </c>
      <c r="B1097" t="s">
        <v>16</v>
      </c>
      <c r="C1097">
        <v>4.8</v>
      </c>
      <c r="D1097" t="s">
        <v>17</v>
      </c>
      <c r="E1097">
        <v>8.6</v>
      </c>
      <c r="F1097">
        <v>1.8</v>
      </c>
      <c r="G1097">
        <v>2.44</v>
      </c>
      <c r="H1097">
        <v>1.7</v>
      </c>
      <c r="I1097" t="s">
        <v>21</v>
      </c>
      <c r="J1097">
        <v>8</v>
      </c>
      <c r="K1097">
        <v>7</v>
      </c>
      <c r="L1097">
        <v>3</v>
      </c>
      <c r="M1097">
        <v>0</v>
      </c>
    </row>
    <row r="1098" spans="1:13" x14ac:dyDescent="0.25">
      <c r="A1098">
        <v>13</v>
      </c>
      <c r="B1098" t="s">
        <v>16</v>
      </c>
      <c r="C1098">
        <v>5.8</v>
      </c>
      <c r="D1098" t="s">
        <v>20</v>
      </c>
      <c r="E1098">
        <v>7.2</v>
      </c>
      <c r="F1098">
        <v>1.1000000000000001</v>
      </c>
      <c r="G1098">
        <v>2.69</v>
      </c>
      <c r="H1098">
        <v>0.4</v>
      </c>
      <c r="I1098" t="s">
        <v>18</v>
      </c>
      <c r="J1098">
        <v>7</v>
      </c>
      <c r="K1098">
        <v>3</v>
      </c>
      <c r="L1098">
        <v>7</v>
      </c>
      <c r="M1098">
        <v>0</v>
      </c>
    </row>
    <row r="1099" spans="1:13" x14ac:dyDescent="0.25">
      <c r="A1099">
        <v>16</v>
      </c>
      <c r="B1099" t="s">
        <v>19</v>
      </c>
      <c r="C1099">
        <v>6.1</v>
      </c>
      <c r="D1099" t="s">
        <v>23</v>
      </c>
      <c r="E1099">
        <v>7.5</v>
      </c>
      <c r="F1099">
        <v>2.5</v>
      </c>
      <c r="G1099">
        <v>3.14</v>
      </c>
      <c r="H1099">
        <v>0.5</v>
      </c>
      <c r="I1099" t="s">
        <v>18</v>
      </c>
      <c r="J1099">
        <v>9</v>
      </c>
      <c r="K1099">
        <v>6</v>
      </c>
      <c r="L1099">
        <v>10</v>
      </c>
      <c r="M1099">
        <v>0</v>
      </c>
    </row>
    <row r="1100" spans="1:13" x14ac:dyDescent="0.25">
      <c r="A1100">
        <v>14</v>
      </c>
      <c r="B1100" t="s">
        <v>19</v>
      </c>
      <c r="C1100">
        <v>4.3</v>
      </c>
      <c r="D1100" t="s">
        <v>23</v>
      </c>
      <c r="E1100">
        <v>7.8</v>
      </c>
      <c r="F1100">
        <v>0.5</v>
      </c>
      <c r="G1100">
        <v>3.92</v>
      </c>
      <c r="H1100">
        <v>0.7</v>
      </c>
      <c r="I1100" t="s">
        <v>21</v>
      </c>
      <c r="J1100">
        <v>3</v>
      </c>
      <c r="K1100">
        <v>4</v>
      </c>
      <c r="L1100">
        <v>8</v>
      </c>
      <c r="M1100">
        <v>0</v>
      </c>
    </row>
    <row r="1101" spans="1:13" x14ac:dyDescent="0.25">
      <c r="A1101">
        <v>15</v>
      </c>
      <c r="B1101" t="s">
        <v>19</v>
      </c>
      <c r="C1101">
        <v>7.8</v>
      </c>
      <c r="D1101" t="s">
        <v>17</v>
      </c>
      <c r="E1101">
        <v>4.5999999999999996</v>
      </c>
      <c r="F1101">
        <v>3</v>
      </c>
      <c r="G1101">
        <v>2.44</v>
      </c>
      <c r="H1101">
        <v>1.4</v>
      </c>
      <c r="I1101" t="s">
        <v>22</v>
      </c>
      <c r="J1101">
        <v>8</v>
      </c>
      <c r="K1101">
        <v>10</v>
      </c>
      <c r="L1101">
        <v>6</v>
      </c>
      <c r="M1101">
        <v>1</v>
      </c>
    </row>
    <row r="1102" spans="1:13" x14ac:dyDescent="0.25">
      <c r="A1102">
        <v>15</v>
      </c>
      <c r="B1102" t="s">
        <v>19</v>
      </c>
      <c r="C1102">
        <v>5.2</v>
      </c>
      <c r="D1102" t="s">
        <v>20</v>
      </c>
      <c r="E1102">
        <v>7.5</v>
      </c>
      <c r="F1102">
        <v>1.1000000000000001</v>
      </c>
      <c r="G1102">
        <v>3.61</v>
      </c>
      <c r="H1102">
        <v>0.1</v>
      </c>
      <c r="I1102" t="s">
        <v>18</v>
      </c>
      <c r="J1102">
        <v>4</v>
      </c>
      <c r="K1102">
        <v>6</v>
      </c>
      <c r="L1102">
        <v>7</v>
      </c>
      <c r="M1102">
        <v>0</v>
      </c>
    </row>
    <row r="1103" spans="1:13" x14ac:dyDescent="0.25">
      <c r="A1103">
        <v>17</v>
      </c>
      <c r="B1103" t="s">
        <v>16</v>
      </c>
      <c r="C1103">
        <v>3.5</v>
      </c>
      <c r="D1103" t="s">
        <v>17</v>
      </c>
      <c r="E1103">
        <v>4.3</v>
      </c>
      <c r="F1103">
        <v>2.2000000000000002</v>
      </c>
      <c r="G1103">
        <v>3.19</v>
      </c>
      <c r="H1103">
        <v>1</v>
      </c>
      <c r="I1103" t="s">
        <v>21</v>
      </c>
      <c r="J1103">
        <v>4</v>
      </c>
      <c r="K1103">
        <v>5</v>
      </c>
      <c r="L1103">
        <v>9</v>
      </c>
      <c r="M1103">
        <v>0</v>
      </c>
    </row>
    <row r="1104" spans="1:13" x14ac:dyDescent="0.25">
      <c r="A1104">
        <v>16</v>
      </c>
      <c r="B1104" t="s">
        <v>19</v>
      </c>
      <c r="C1104">
        <v>6.5</v>
      </c>
      <c r="D1104" t="s">
        <v>20</v>
      </c>
      <c r="E1104">
        <v>4.5999999999999996</v>
      </c>
      <c r="F1104">
        <v>1.8</v>
      </c>
      <c r="G1104">
        <v>2.2000000000000002</v>
      </c>
      <c r="H1104">
        <v>1.2</v>
      </c>
      <c r="I1104" t="s">
        <v>18</v>
      </c>
      <c r="J1104">
        <v>7</v>
      </c>
      <c r="K1104">
        <v>4</v>
      </c>
      <c r="L1104">
        <v>4</v>
      </c>
      <c r="M1104">
        <v>0</v>
      </c>
    </row>
    <row r="1105" spans="1:13" x14ac:dyDescent="0.25">
      <c r="A1105">
        <v>17</v>
      </c>
      <c r="B1105" t="s">
        <v>16</v>
      </c>
      <c r="C1105">
        <v>4.7</v>
      </c>
      <c r="D1105" t="s">
        <v>20</v>
      </c>
      <c r="E1105">
        <v>7.2</v>
      </c>
      <c r="F1105">
        <v>2.7</v>
      </c>
      <c r="G1105">
        <v>2.06</v>
      </c>
      <c r="H1105">
        <v>1.4</v>
      </c>
      <c r="I1105" t="s">
        <v>18</v>
      </c>
      <c r="J1105">
        <v>3</v>
      </c>
      <c r="K1105">
        <v>1</v>
      </c>
      <c r="L1105">
        <v>4</v>
      </c>
      <c r="M1105">
        <v>0</v>
      </c>
    </row>
    <row r="1106" spans="1:13" x14ac:dyDescent="0.25">
      <c r="A1106">
        <v>13</v>
      </c>
      <c r="B1106" t="s">
        <v>16</v>
      </c>
      <c r="C1106">
        <v>2.5</v>
      </c>
      <c r="D1106" t="s">
        <v>17</v>
      </c>
      <c r="E1106">
        <v>6.3</v>
      </c>
      <c r="F1106">
        <v>1.8</v>
      </c>
      <c r="G1106">
        <v>2.2000000000000002</v>
      </c>
      <c r="H1106">
        <v>0.1</v>
      </c>
      <c r="I1106" t="s">
        <v>21</v>
      </c>
      <c r="J1106">
        <v>9</v>
      </c>
      <c r="K1106">
        <v>3</v>
      </c>
      <c r="L1106">
        <v>9</v>
      </c>
      <c r="M1106">
        <v>0</v>
      </c>
    </row>
    <row r="1107" spans="1:13" x14ac:dyDescent="0.25">
      <c r="A1107">
        <v>19</v>
      </c>
      <c r="B1107" t="s">
        <v>19</v>
      </c>
      <c r="C1107">
        <v>5.5</v>
      </c>
      <c r="D1107" t="s">
        <v>20</v>
      </c>
      <c r="E1107">
        <v>7.4</v>
      </c>
      <c r="F1107">
        <v>2</v>
      </c>
      <c r="G1107">
        <v>2.8</v>
      </c>
      <c r="H1107">
        <v>1.8</v>
      </c>
      <c r="I1107" t="s">
        <v>21</v>
      </c>
      <c r="J1107">
        <v>9</v>
      </c>
      <c r="K1107">
        <v>8</v>
      </c>
      <c r="L1107">
        <v>10</v>
      </c>
      <c r="M1107">
        <v>0</v>
      </c>
    </row>
    <row r="1108" spans="1:13" x14ac:dyDescent="0.25">
      <c r="A1108">
        <v>15</v>
      </c>
      <c r="B1108" t="s">
        <v>19</v>
      </c>
      <c r="C1108">
        <v>3.5</v>
      </c>
      <c r="D1108" t="s">
        <v>17</v>
      </c>
      <c r="E1108">
        <v>8</v>
      </c>
      <c r="F1108">
        <v>1.9</v>
      </c>
      <c r="G1108">
        <v>3.45</v>
      </c>
      <c r="H1108">
        <v>1.5</v>
      </c>
      <c r="I1108" t="s">
        <v>21</v>
      </c>
      <c r="J1108">
        <v>10</v>
      </c>
      <c r="K1108">
        <v>4</v>
      </c>
      <c r="L1108">
        <v>1</v>
      </c>
      <c r="M1108">
        <v>0</v>
      </c>
    </row>
    <row r="1109" spans="1:13" x14ac:dyDescent="0.25">
      <c r="A1109">
        <v>14</v>
      </c>
      <c r="B1109" t="s">
        <v>19</v>
      </c>
      <c r="C1109">
        <v>4.5999999999999996</v>
      </c>
      <c r="D1109" t="s">
        <v>20</v>
      </c>
      <c r="E1109">
        <v>7</v>
      </c>
      <c r="F1109">
        <v>1.6</v>
      </c>
      <c r="G1109">
        <v>2.74</v>
      </c>
      <c r="H1109">
        <v>0.9</v>
      </c>
      <c r="I1109" t="s">
        <v>18</v>
      </c>
      <c r="J1109">
        <v>3</v>
      </c>
      <c r="K1109">
        <v>2</v>
      </c>
      <c r="L1109">
        <v>9</v>
      </c>
      <c r="M1109">
        <v>0</v>
      </c>
    </row>
    <row r="1110" spans="1:13" x14ac:dyDescent="0.25">
      <c r="A1110">
        <v>13</v>
      </c>
      <c r="B1110" t="s">
        <v>19</v>
      </c>
      <c r="C1110">
        <v>3.5</v>
      </c>
      <c r="D1110" t="s">
        <v>17</v>
      </c>
      <c r="E1110">
        <v>6.9</v>
      </c>
      <c r="F1110">
        <v>1.6</v>
      </c>
      <c r="G1110">
        <v>2.08</v>
      </c>
      <c r="H1110">
        <v>0.7</v>
      </c>
      <c r="I1110" t="s">
        <v>18</v>
      </c>
      <c r="J1110">
        <v>9</v>
      </c>
      <c r="K1110">
        <v>9</v>
      </c>
      <c r="L1110">
        <v>9</v>
      </c>
      <c r="M1110">
        <v>0</v>
      </c>
    </row>
    <row r="1111" spans="1:13" x14ac:dyDescent="0.25">
      <c r="A1111">
        <v>19</v>
      </c>
      <c r="B1111" t="s">
        <v>16</v>
      </c>
      <c r="C1111">
        <v>1.6</v>
      </c>
      <c r="D1111" t="s">
        <v>20</v>
      </c>
      <c r="E1111">
        <v>8.6</v>
      </c>
      <c r="F1111">
        <v>1.4</v>
      </c>
      <c r="G1111">
        <v>2.69</v>
      </c>
      <c r="H1111">
        <v>1.6</v>
      </c>
      <c r="I1111" t="s">
        <v>22</v>
      </c>
      <c r="J1111">
        <v>4</v>
      </c>
      <c r="K1111">
        <v>3</v>
      </c>
      <c r="L1111">
        <v>4</v>
      </c>
      <c r="M1111">
        <v>0</v>
      </c>
    </row>
    <row r="1112" spans="1:13" x14ac:dyDescent="0.25">
      <c r="A1112">
        <v>13</v>
      </c>
      <c r="B1112" t="s">
        <v>19</v>
      </c>
      <c r="C1112">
        <v>3.2</v>
      </c>
      <c r="D1112" t="s">
        <v>23</v>
      </c>
      <c r="E1112">
        <v>5.9</v>
      </c>
      <c r="F1112">
        <v>0.7</v>
      </c>
      <c r="G1112">
        <v>3.98</v>
      </c>
      <c r="H1112">
        <v>0.8</v>
      </c>
      <c r="I1112" t="s">
        <v>18</v>
      </c>
      <c r="J1112">
        <v>6</v>
      </c>
      <c r="K1112">
        <v>8</v>
      </c>
      <c r="L1112">
        <v>1</v>
      </c>
      <c r="M1112">
        <v>0</v>
      </c>
    </row>
    <row r="1113" spans="1:13" x14ac:dyDescent="0.25">
      <c r="A1113">
        <v>19</v>
      </c>
      <c r="B1113" t="s">
        <v>19</v>
      </c>
      <c r="C1113">
        <v>1.7</v>
      </c>
      <c r="D1113" t="s">
        <v>23</v>
      </c>
      <c r="E1113">
        <v>7</v>
      </c>
      <c r="F1113">
        <v>2.7</v>
      </c>
      <c r="G1113">
        <v>2.0699999999999998</v>
      </c>
      <c r="H1113">
        <v>0.5</v>
      </c>
      <c r="I1113" t="s">
        <v>21</v>
      </c>
      <c r="J1113">
        <v>6</v>
      </c>
      <c r="K1113">
        <v>4</v>
      </c>
      <c r="L1113">
        <v>10</v>
      </c>
      <c r="M1113">
        <v>0</v>
      </c>
    </row>
    <row r="1114" spans="1:13" x14ac:dyDescent="0.25">
      <c r="A1114">
        <v>14</v>
      </c>
      <c r="B1114" t="s">
        <v>16</v>
      </c>
      <c r="C1114">
        <v>6.4</v>
      </c>
      <c r="D1114" t="s">
        <v>17</v>
      </c>
      <c r="E1114">
        <v>4.3</v>
      </c>
      <c r="F1114">
        <v>2.2999999999999998</v>
      </c>
      <c r="G1114">
        <v>3.99</v>
      </c>
      <c r="H1114">
        <v>1.1000000000000001</v>
      </c>
      <c r="I1114" t="s">
        <v>18</v>
      </c>
      <c r="J1114">
        <v>7</v>
      </c>
      <c r="K1114">
        <v>4</v>
      </c>
      <c r="L1114">
        <v>3</v>
      </c>
      <c r="M1114">
        <v>0</v>
      </c>
    </row>
    <row r="1115" spans="1:13" x14ac:dyDescent="0.25">
      <c r="A1115">
        <v>13</v>
      </c>
      <c r="B1115" t="s">
        <v>19</v>
      </c>
      <c r="C1115">
        <v>3.3</v>
      </c>
      <c r="D1115" t="s">
        <v>20</v>
      </c>
      <c r="E1115">
        <v>6.4</v>
      </c>
      <c r="F1115">
        <v>1</v>
      </c>
      <c r="G1115">
        <v>2.4900000000000002</v>
      </c>
      <c r="H1115">
        <v>1</v>
      </c>
      <c r="I1115" t="s">
        <v>18</v>
      </c>
      <c r="J1115">
        <v>9</v>
      </c>
      <c r="K1115">
        <v>2</v>
      </c>
      <c r="L1115">
        <v>4</v>
      </c>
      <c r="M1115">
        <v>0</v>
      </c>
    </row>
    <row r="1116" spans="1:13" x14ac:dyDescent="0.25">
      <c r="A1116">
        <v>18</v>
      </c>
      <c r="B1116" t="s">
        <v>16</v>
      </c>
      <c r="C1116">
        <v>1.2</v>
      </c>
      <c r="D1116" t="s">
        <v>23</v>
      </c>
      <c r="E1116">
        <v>6.8</v>
      </c>
      <c r="F1116">
        <v>2.6</v>
      </c>
      <c r="G1116">
        <v>2.85</v>
      </c>
      <c r="H1116">
        <v>1.8</v>
      </c>
      <c r="I1116" t="s">
        <v>22</v>
      </c>
      <c r="J1116">
        <v>4</v>
      </c>
      <c r="K1116">
        <v>3</v>
      </c>
      <c r="L1116">
        <v>9</v>
      </c>
      <c r="M1116">
        <v>0</v>
      </c>
    </row>
    <row r="1117" spans="1:13" x14ac:dyDescent="0.25">
      <c r="A1117">
        <v>13</v>
      </c>
      <c r="B1117" t="s">
        <v>19</v>
      </c>
      <c r="C1117">
        <v>2.5</v>
      </c>
      <c r="D1117" t="s">
        <v>23</v>
      </c>
      <c r="E1117">
        <v>7.8</v>
      </c>
      <c r="F1117">
        <v>1.4</v>
      </c>
      <c r="G1117">
        <v>3.43</v>
      </c>
      <c r="H1117">
        <v>0.9</v>
      </c>
      <c r="I1117" t="s">
        <v>22</v>
      </c>
      <c r="J1117">
        <v>1</v>
      </c>
      <c r="K1117">
        <v>4</v>
      </c>
      <c r="L1117">
        <v>6</v>
      </c>
      <c r="M1117">
        <v>0</v>
      </c>
    </row>
    <row r="1118" spans="1:13" x14ac:dyDescent="0.25">
      <c r="A1118">
        <v>16</v>
      </c>
      <c r="B1118" t="s">
        <v>16</v>
      </c>
      <c r="C1118">
        <v>2.2000000000000002</v>
      </c>
      <c r="D1118" t="s">
        <v>20</v>
      </c>
      <c r="E1118">
        <v>5.0999999999999996</v>
      </c>
      <c r="F1118">
        <v>2.2999999999999998</v>
      </c>
      <c r="G1118">
        <v>3.6</v>
      </c>
      <c r="H1118">
        <v>1</v>
      </c>
      <c r="I1118" t="s">
        <v>21</v>
      </c>
      <c r="J1118">
        <v>4</v>
      </c>
      <c r="K1118">
        <v>7</v>
      </c>
      <c r="L1118">
        <v>6</v>
      </c>
      <c r="M1118">
        <v>0</v>
      </c>
    </row>
    <row r="1119" spans="1:13" x14ac:dyDescent="0.25">
      <c r="A1119">
        <v>18</v>
      </c>
      <c r="B1119" t="s">
        <v>19</v>
      </c>
      <c r="C1119">
        <v>5.2</v>
      </c>
      <c r="D1119" t="s">
        <v>23</v>
      </c>
      <c r="E1119">
        <v>7.1</v>
      </c>
      <c r="F1119">
        <v>1.9</v>
      </c>
      <c r="G1119">
        <v>2.87</v>
      </c>
      <c r="H1119">
        <v>1.7</v>
      </c>
      <c r="I1119" t="s">
        <v>22</v>
      </c>
      <c r="J1119">
        <v>5</v>
      </c>
      <c r="K1119">
        <v>8</v>
      </c>
      <c r="L1119">
        <v>6</v>
      </c>
      <c r="M1119">
        <v>0</v>
      </c>
    </row>
    <row r="1120" spans="1:13" x14ac:dyDescent="0.25">
      <c r="A1120">
        <v>16</v>
      </c>
      <c r="B1120" t="s">
        <v>16</v>
      </c>
      <c r="C1120">
        <v>7.9</v>
      </c>
      <c r="D1120" t="s">
        <v>17</v>
      </c>
      <c r="E1120">
        <v>8.6999999999999993</v>
      </c>
      <c r="F1120">
        <v>2.5</v>
      </c>
      <c r="G1120">
        <v>2.29</v>
      </c>
      <c r="H1120">
        <v>0.7</v>
      </c>
      <c r="I1120" t="s">
        <v>21</v>
      </c>
      <c r="J1120">
        <v>7</v>
      </c>
      <c r="K1120">
        <v>7</v>
      </c>
      <c r="L1120">
        <v>4</v>
      </c>
      <c r="M1120">
        <v>0</v>
      </c>
    </row>
    <row r="1121" spans="1:13" x14ac:dyDescent="0.25">
      <c r="A1121">
        <v>18</v>
      </c>
      <c r="B1121" t="s">
        <v>16</v>
      </c>
      <c r="C1121">
        <v>5.6</v>
      </c>
      <c r="D1121" t="s">
        <v>23</v>
      </c>
      <c r="E1121">
        <v>8</v>
      </c>
      <c r="F1121">
        <v>2.4</v>
      </c>
      <c r="G1121">
        <v>2.95</v>
      </c>
      <c r="H1121">
        <v>0</v>
      </c>
      <c r="I1121" t="s">
        <v>18</v>
      </c>
      <c r="J1121">
        <v>2</v>
      </c>
      <c r="K1121">
        <v>10</v>
      </c>
      <c r="L1121">
        <v>3</v>
      </c>
      <c r="M1121">
        <v>0</v>
      </c>
    </row>
    <row r="1122" spans="1:13" x14ac:dyDescent="0.25">
      <c r="A1122">
        <v>16</v>
      </c>
      <c r="B1122" t="s">
        <v>16</v>
      </c>
      <c r="C1122">
        <v>3.9</v>
      </c>
      <c r="D1122" t="s">
        <v>20</v>
      </c>
      <c r="E1122">
        <v>4.2</v>
      </c>
      <c r="F1122">
        <v>2.1</v>
      </c>
      <c r="G1122">
        <v>2.2799999999999998</v>
      </c>
      <c r="H1122">
        <v>1.1000000000000001</v>
      </c>
      <c r="I1122" t="s">
        <v>22</v>
      </c>
      <c r="J1122">
        <v>6</v>
      </c>
      <c r="K1122">
        <v>5</v>
      </c>
      <c r="L1122">
        <v>7</v>
      </c>
      <c r="M1122">
        <v>0</v>
      </c>
    </row>
    <row r="1123" spans="1:13" x14ac:dyDescent="0.25">
      <c r="A1123">
        <v>18</v>
      </c>
      <c r="B1123" t="s">
        <v>19</v>
      </c>
      <c r="C1123">
        <v>1.8</v>
      </c>
      <c r="D1123" t="s">
        <v>20</v>
      </c>
      <c r="E1123">
        <v>6.1</v>
      </c>
      <c r="F1123">
        <v>2.7</v>
      </c>
      <c r="G1123">
        <v>2.86</v>
      </c>
      <c r="H1123">
        <v>1.1000000000000001</v>
      </c>
      <c r="I1123" t="s">
        <v>18</v>
      </c>
      <c r="J1123">
        <v>4</v>
      </c>
      <c r="K1123">
        <v>2</v>
      </c>
      <c r="L1123">
        <v>4</v>
      </c>
      <c r="M1123">
        <v>0</v>
      </c>
    </row>
    <row r="1124" spans="1:13" x14ac:dyDescent="0.25">
      <c r="A1124">
        <v>18</v>
      </c>
      <c r="B1124" t="s">
        <v>19</v>
      </c>
      <c r="C1124">
        <v>5.8</v>
      </c>
      <c r="D1124" t="s">
        <v>23</v>
      </c>
      <c r="E1124">
        <v>5.0999999999999996</v>
      </c>
      <c r="F1124">
        <v>1.2</v>
      </c>
      <c r="G1124">
        <v>3.24</v>
      </c>
      <c r="H1124">
        <v>0.4</v>
      </c>
      <c r="I1124" t="s">
        <v>21</v>
      </c>
      <c r="J1124">
        <v>5</v>
      </c>
      <c r="K1124">
        <v>9</v>
      </c>
      <c r="L1124">
        <v>2</v>
      </c>
      <c r="M1124">
        <v>0</v>
      </c>
    </row>
    <row r="1125" spans="1:13" x14ac:dyDescent="0.25">
      <c r="A1125">
        <v>18</v>
      </c>
      <c r="B1125" t="s">
        <v>19</v>
      </c>
      <c r="C1125">
        <v>2.2000000000000002</v>
      </c>
      <c r="D1125" t="s">
        <v>17</v>
      </c>
      <c r="E1125">
        <v>4.4000000000000004</v>
      </c>
      <c r="F1125">
        <v>1.7</v>
      </c>
      <c r="G1125">
        <v>2.86</v>
      </c>
      <c r="H1125">
        <v>1.1000000000000001</v>
      </c>
      <c r="I1125" t="s">
        <v>21</v>
      </c>
      <c r="J1125">
        <v>8</v>
      </c>
      <c r="K1125">
        <v>9</v>
      </c>
      <c r="L1125">
        <v>7</v>
      </c>
      <c r="M1125">
        <v>0</v>
      </c>
    </row>
    <row r="1126" spans="1:13" x14ac:dyDescent="0.25">
      <c r="A1126">
        <v>17</v>
      </c>
      <c r="B1126" t="s">
        <v>16</v>
      </c>
      <c r="C1126">
        <v>6.9</v>
      </c>
      <c r="D1126" t="s">
        <v>23</v>
      </c>
      <c r="E1126">
        <v>4.5999999999999996</v>
      </c>
      <c r="F1126">
        <v>2.5</v>
      </c>
      <c r="G1126">
        <v>2.04</v>
      </c>
      <c r="H1126">
        <v>0.8</v>
      </c>
      <c r="I1126" t="s">
        <v>21</v>
      </c>
      <c r="J1126">
        <v>10</v>
      </c>
      <c r="K1126">
        <v>9</v>
      </c>
      <c r="L1126">
        <v>2</v>
      </c>
      <c r="M1126">
        <v>1</v>
      </c>
    </row>
    <row r="1127" spans="1:13" x14ac:dyDescent="0.25">
      <c r="A1127">
        <v>14</v>
      </c>
      <c r="B1127" t="s">
        <v>19</v>
      </c>
      <c r="C1127">
        <v>5.7</v>
      </c>
      <c r="D1127" t="s">
        <v>17</v>
      </c>
      <c r="E1127">
        <v>6.7</v>
      </c>
      <c r="F1127">
        <v>2.6</v>
      </c>
      <c r="G1127">
        <v>2.35</v>
      </c>
      <c r="H1127">
        <v>1.8</v>
      </c>
      <c r="I1127" t="s">
        <v>21</v>
      </c>
      <c r="J1127">
        <v>10</v>
      </c>
      <c r="K1127">
        <v>10</v>
      </c>
      <c r="L1127">
        <v>7</v>
      </c>
      <c r="M1127">
        <v>0</v>
      </c>
    </row>
    <row r="1128" spans="1:13" x14ac:dyDescent="0.25">
      <c r="A1128">
        <v>17</v>
      </c>
      <c r="B1128" t="s">
        <v>16</v>
      </c>
      <c r="C1128">
        <v>7.5</v>
      </c>
      <c r="D1128" t="s">
        <v>20</v>
      </c>
      <c r="E1128">
        <v>5.6</v>
      </c>
      <c r="F1128">
        <v>2.2999999999999998</v>
      </c>
      <c r="G1128">
        <v>2.37</v>
      </c>
      <c r="H1128">
        <v>0</v>
      </c>
      <c r="I1128" t="s">
        <v>21</v>
      </c>
      <c r="J1128">
        <v>3</v>
      </c>
      <c r="K1128">
        <v>10</v>
      </c>
      <c r="L1128">
        <v>8</v>
      </c>
      <c r="M1128">
        <v>0</v>
      </c>
    </row>
    <row r="1129" spans="1:13" x14ac:dyDescent="0.25">
      <c r="A1129">
        <v>13</v>
      </c>
      <c r="B1129" t="s">
        <v>16</v>
      </c>
      <c r="C1129">
        <v>5.2</v>
      </c>
      <c r="D1129" t="s">
        <v>23</v>
      </c>
      <c r="E1129">
        <v>6.4</v>
      </c>
      <c r="F1129">
        <v>2.5</v>
      </c>
      <c r="G1129">
        <v>3.13</v>
      </c>
      <c r="H1129">
        <v>0.3</v>
      </c>
      <c r="I1129" t="s">
        <v>22</v>
      </c>
      <c r="J1129">
        <v>8</v>
      </c>
      <c r="K1129">
        <v>6</v>
      </c>
      <c r="L1129">
        <v>7</v>
      </c>
      <c r="M1129">
        <v>0</v>
      </c>
    </row>
    <row r="1130" spans="1:13" x14ac:dyDescent="0.25">
      <c r="A1130">
        <v>16</v>
      </c>
      <c r="B1130" t="s">
        <v>16</v>
      </c>
      <c r="C1130">
        <v>7.2</v>
      </c>
      <c r="D1130" t="s">
        <v>23</v>
      </c>
      <c r="E1130">
        <v>6.9</v>
      </c>
      <c r="F1130">
        <v>2.1</v>
      </c>
      <c r="G1130">
        <v>2.3199999999999998</v>
      </c>
      <c r="H1130">
        <v>1.1000000000000001</v>
      </c>
      <c r="I1130" t="s">
        <v>18</v>
      </c>
      <c r="J1130">
        <v>3</v>
      </c>
      <c r="K1130">
        <v>4</v>
      </c>
      <c r="L1130">
        <v>10</v>
      </c>
      <c r="M1130">
        <v>0</v>
      </c>
    </row>
    <row r="1131" spans="1:13" x14ac:dyDescent="0.25">
      <c r="A1131">
        <v>19</v>
      </c>
      <c r="B1131" t="s">
        <v>16</v>
      </c>
      <c r="C1131">
        <v>2</v>
      </c>
      <c r="D1131" t="s">
        <v>20</v>
      </c>
      <c r="E1131">
        <v>4.3</v>
      </c>
      <c r="F1131">
        <v>0.8</v>
      </c>
      <c r="G1131">
        <v>3.4</v>
      </c>
      <c r="H1131">
        <v>0.7</v>
      </c>
      <c r="I1131" t="s">
        <v>18</v>
      </c>
      <c r="J1131">
        <v>8</v>
      </c>
      <c r="K1131">
        <v>1</v>
      </c>
      <c r="L1131">
        <v>1</v>
      </c>
      <c r="M1131">
        <v>0</v>
      </c>
    </row>
    <row r="1132" spans="1:13" x14ac:dyDescent="0.25">
      <c r="A1132">
        <v>13</v>
      </c>
      <c r="B1132" t="s">
        <v>19</v>
      </c>
      <c r="C1132">
        <v>4.7</v>
      </c>
      <c r="D1132" t="s">
        <v>23</v>
      </c>
      <c r="E1132">
        <v>6.8</v>
      </c>
      <c r="F1132">
        <v>1.4</v>
      </c>
      <c r="G1132">
        <v>3.91</v>
      </c>
      <c r="H1132">
        <v>0.8</v>
      </c>
      <c r="I1132" t="s">
        <v>21</v>
      </c>
      <c r="J1132">
        <v>10</v>
      </c>
      <c r="K1132">
        <v>6</v>
      </c>
      <c r="L1132">
        <v>9</v>
      </c>
      <c r="M1132">
        <v>0</v>
      </c>
    </row>
    <row r="1133" spans="1:13" x14ac:dyDescent="0.25">
      <c r="A1133">
        <v>14</v>
      </c>
      <c r="B1133" t="s">
        <v>16</v>
      </c>
      <c r="C1133">
        <v>5.6</v>
      </c>
      <c r="D1133" t="s">
        <v>23</v>
      </c>
      <c r="E1133">
        <v>4.5</v>
      </c>
      <c r="F1133">
        <v>1.4</v>
      </c>
      <c r="G1133">
        <v>2.44</v>
      </c>
      <c r="H1133">
        <v>1.2</v>
      </c>
      <c r="I1133" t="s">
        <v>18</v>
      </c>
      <c r="J1133">
        <v>5</v>
      </c>
      <c r="K1133">
        <v>10</v>
      </c>
      <c r="L1133">
        <v>9</v>
      </c>
      <c r="M1133">
        <v>0</v>
      </c>
    </row>
    <row r="1134" spans="1:13" x14ac:dyDescent="0.25">
      <c r="A1134">
        <v>18</v>
      </c>
      <c r="B1134" t="s">
        <v>19</v>
      </c>
      <c r="C1134">
        <v>4.5</v>
      </c>
      <c r="D1134" t="s">
        <v>17</v>
      </c>
      <c r="E1134">
        <v>4</v>
      </c>
      <c r="F1134">
        <v>2.9</v>
      </c>
      <c r="G1134">
        <v>3.15</v>
      </c>
      <c r="H1134">
        <v>1.9</v>
      </c>
      <c r="I1134" t="s">
        <v>22</v>
      </c>
      <c r="J1134">
        <v>8</v>
      </c>
      <c r="K1134">
        <v>6</v>
      </c>
      <c r="L1134">
        <v>5</v>
      </c>
      <c r="M1134">
        <v>0</v>
      </c>
    </row>
    <row r="1135" spans="1:13" x14ac:dyDescent="0.25">
      <c r="A1135">
        <v>15</v>
      </c>
      <c r="B1135" t="s">
        <v>19</v>
      </c>
      <c r="C1135">
        <v>1.1000000000000001</v>
      </c>
      <c r="D1135" t="s">
        <v>17</v>
      </c>
      <c r="E1135">
        <v>9</v>
      </c>
      <c r="F1135">
        <v>1.2</v>
      </c>
      <c r="G1135">
        <v>2.9</v>
      </c>
      <c r="H1135">
        <v>1.8</v>
      </c>
      <c r="I1135" t="s">
        <v>22</v>
      </c>
      <c r="J1135">
        <v>5</v>
      </c>
      <c r="K1135">
        <v>10</v>
      </c>
      <c r="L1135">
        <v>2</v>
      </c>
      <c r="M1135">
        <v>0</v>
      </c>
    </row>
    <row r="1136" spans="1:13" x14ac:dyDescent="0.25">
      <c r="A1136">
        <v>18</v>
      </c>
      <c r="B1136" t="s">
        <v>19</v>
      </c>
      <c r="C1136">
        <v>5.3</v>
      </c>
      <c r="D1136" t="s">
        <v>23</v>
      </c>
      <c r="E1136">
        <v>4.5999999999999996</v>
      </c>
      <c r="F1136">
        <v>1.5</v>
      </c>
      <c r="G1136">
        <v>2.54</v>
      </c>
      <c r="H1136">
        <v>0.6</v>
      </c>
      <c r="I1136" t="s">
        <v>22</v>
      </c>
      <c r="J1136">
        <v>4</v>
      </c>
      <c r="K1136">
        <v>3</v>
      </c>
      <c r="L1136">
        <v>4</v>
      </c>
      <c r="M1136">
        <v>0</v>
      </c>
    </row>
    <row r="1137" spans="1:13" x14ac:dyDescent="0.25">
      <c r="A1137">
        <v>14</v>
      </c>
      <c r="B1137" t="s">
        <v>19</v>
      </c>
      <c r="C1137">
        <v>3.5</v>
      </c>
      <c r="D1137" t="s">
        <v>23</v>
      </c>
      <c r="E1137">
        <v>5.3</v>
      </c>
      <c r="F1137">
        <v>2.5</v>
      </c>
      <c r="G1137">
        <v>2.29</v>
      </c>
      <c r="H1137">
        <v>0.7</v>
      </c>
      <c r="I1137" t="s">
        <v>18</v>
      </c>
      <c r="J1137">
        <v>1</v>
      </c>
      <c r="K1137">
        <v>10</v>
      </c>
      <c r="L1137">
        <v>3</v>
      </c>
      <c r="M1137">
        <v>0</v>
      </c>
    </row>
    <row r="1138" spans="1:13" x14ac:dyDescent="0.25">
      <c r="A1138">
        <v>15</v>
      </c>
      <c r="B1138" t="s">
        <v>16</v>
      </c>
      <c r="C1138">
        <v>6.5</v>
      </c>
      <c r="D1138" t="s">
        <v>23</v>
      </c>
      <c r="E1138">
        <v>6.2</v>
      </c>
      <c r="F1138">
        <v>1.2</v>
      </c>
      <c r="G1138">
        <v>3.19</v>
      </c>
      <c r="H1138">
        <v>0</v>
      </c>
      <c r="I1138" t="s">
        <v>22</v>
      </c>
      <c r="J1138">
        <v>6</v>
      </c>
      <c r="K1138">
        <v>5</v>
      </c>
      <c r="L1138">
        <v>2</v>
      </c>
      <c r="M1138">
        <v>0</v>
      </c>
    </row>
    <row r="1139" spans="1:13" x14ac:dyDescent="0.25">
      <c r="A1139">
        <v>14</v>
      </c>
      <c r="B1139" t="s">
        <v>16</v>
      </c>
      <c r="C1139">
        <v>7</v>
      </c>
      <c r="D1139" t="s">
        <v>23</v>
      </c>
      <c r="E1139">
        <v>6.7</v>
      </c>
      <c r="F1139">
        <v>1.9</v>
      </c>
      <c r="G1139">
        <v>2.48</v>
      </c>
      <c r="H1139">
        <v>1.3</v>
      </c>
      <c r="I1139" t="s">
        <v>18</v>
      </c>
      <c r="J1139">
        <v>7</v>
      </c>
      <c r="K1139">
        <v>1</v>
      </c>
      <c r="L1139">
        <v>5</v>
      </c>
      <c r="M1139">
        <v>0</v>
      </c>
    </row>
    <row r="1140" spans="1:13" x14ac:dyDescent="0.25">
      <c r="A1140">
        <v>14</v>
      </c>
      <c r="B1140" t="s">
        <v>19</v>
      </c>
      <c r="C1140">
        <v>4</v>
      </c>
      <c r="D1140" t="s">
        <v>20</v>
      </c>
      <c r="E1140">
        <v>4.0999999999999996</v>
      </c>
      <c r="F1140">
        <v>0.9</v>
      </c>
      <c r="G1140">
        <v>2.99</v>
      </c>
      <c r="H1140">
        <v>1.9</v>
      </c>
      <c r="I1140" t="s">
        <v>18</v>
      </c>
      <c r="J1140">
        <v>2</v>
      </c>
      <c r="K1140">
        <v>9</v>
      </c>
      <c r="L1140">
        <v>10</v>
      </c>
      <c r="M1140">
        <v>0</v>
      </c>
    </row>
    <row r="1141" spans="1:13" x14ac:dyDescent="0.25">
      <c r="A1141">
        <v>15</v>
      </c>
      <c r="B1141" t="s">
        <v>19</v>
      </c>
      <c r="C1141">
        <v>1.7</v>
      </c>
      <c r="D1141" t="s">
        <v>17</v>
      </c>
      <c r="E1141">
        <v>5.3</v>
      </c>
      <c r="F1141">
        <v>1.5</v>
      </c>
      <c r="G1141">
        <v>3.6</v>
      </c>
      <c r="H1141">
        <v>1.5</v>
      </c>
      <c r="I1141" t="s">
        <v>21</v>
      </c>
      <c r="J1141">
        <v>6</v>
      </c>
      <c r="K1141">
        <v>4</v>
      </c>
      <c r="L1141">
        <v>3</v>
      </c>
      <c r="M1141">
        <v>0</v>
      </c>
    </row>
    <row r="1142" spans="1:13" x14ac:dyDescent="0.25">
      <c r="A1142">
        <v>14</v>
      </c>
      <c r="B1142" t="s">
        <v>19</v>
      </c>
      <c r="C1142">
        <v>7.8</v>
      </c>
      <c r="D1142" t="s">
        <v>20</v>
      </c>
      <c r="E1142">
        <v>4.7</v>
      </c>
      <c r="F1142">
        <v>2.2000000000000002</v>
      </c>
      <c r="G1142">
        <v>3.53</v>
      </c>
      <c r="H1142">
        <v>0.6</v>
      </c>
      <c r="I1142" t="s">
        <v>18</v>
      </c>
      <c r="J1142">
        <v>5</v>
      </c>
      <c r="K1142">
        <v>8</v>
      </c>
      <c r="L1142">
        <v>2</v>
      </c>
      <c r="M1142">
        <v>0</v>
      </c>
    </row>
    <row r="1143" spans="1:13" x14ac:dyDescent="0.25">
      <c r="A1143">
        <v>15</v>
      </c>
      <c r="B1143" t="s">
        <v>19</v>
      </c>
      <c r="C1143">
        <v>5.2</v>
      </c>
      <c r="D1143" t="s">
        <v>17</v>
      </c>
      <c r="E1143">
        <v>6.7</v>
      </c>
      <c r="F1143">
        <v>3</v>
      </c>
      <c r="G1143">
        <v>3.18</v>
      </c>
      <c r="H1143">
        <v>0.6</v>
      </c>
      <c r="I1143" t="s">
        <v>18</v>
      </c>
      <c r="J1143">
        <v>9</v>
      </c>
      <c r="K1143">
        <v>7</v>
      </c>
      <c r="L1143">
        <v>9</v>
      </c>
      <c r="M1143">
        <v>0</v>
      </c>
    </row>
    <row r="1144" spans="1:13" x14ac:dyDescent="0.25">
      <c r="A1144">
        <v>19</v>
      </c>
      <c r="B1144" t="s">
        <v>19</v>
      </c>
      <c r="C1144">
        <v>7.9</v>
      </c>
      <c r="D1144" t="s">
        <v>20</v>
      </c>
      <c r="E1144">
        <v>5.8</v>
      </c>
      <c r="F1144">
        <v>2.1</v>
      </c>
      <c r="G1144">
        <v>3.91</v>
      </c>
      <c r="H1144">
        <v>1.4</v>
      </c>
      <c r="I1144" t="s">
        <v>21</v>
      </c>
      <c r="J1144">
        <v>7</v>
      </c>
      <c r="K1144">
        <v>1</v>
      </c>
      <c r="L1144">
        <v>10</v>
      </c>
      <c r="M1144">
        <v>0</v>
      </c>
    </row>
    <row r="1145" spans="1:13" x14ac:dyDescent="0.25">
      <c r="A1145">
        <v>17</v>
      </c>
      <c r="B1145" t="s">
        <v>16</v>
      </c>
      <c r="C1145">
        <v>5.9</v>
      </c>
      <c r="D1145" t="s">
        <v>23</v>
      </c>
      <c r="E1145">
        <v>6.6</v>
      </c>
      <c r="F1145">
        <v>1.3</v>
      </c>
      <c r="G1145">
        <v>2.11</v>
      </c>
      <c r="H1145">
        <v>1.4</v>
      </c>
      <c r="I1145" t="s">
        <v>18</v>
      </c>
      <c r="J1145">
        <v>10</v>
      </c>
      <c r="K1145">
        <v>4</v>
      </c>
      <c r="L1145">
        <v>9</v>
      </c>
      <c r="M1145">
        <v>0</v>
      </c>
    </row>
    <row r="1146" spans="1:13" x14ac:dyDescent="0.25">
      <c r="A1146">
        <v>13</v>
      </c>
      <c r="B1146" t="s">
        <v>19</v>
      </c>
      <c r="C1146">
        <v>2.6</v>
      </c>
      <c r="D1146" t="s">
        <v>20</v>
      </c>
      <c r="E1146">
        <v>8.5</v>
      </c>
      <c r="F1146">
        <v>1.9</v>
      </c>
      <c r="G1146">
        <v>3.06</v>
      </c>
      <c r="H1146">
        <v>1.9</v>
      </c>
      <c r="I1146" t="s">
        <v>21</v>
      </c>
      <c r="J1146">
        <v>5</v>
      </c>
      <c r="K1146">
        <v>7</v>
      </c>
      <c r="L1146">
        <v>6</v>
      </c>
      <c r="M1146">
        <v>0</v>
      </c>
    </row>
    <row r="1147" spans="1:13" x14ac:dyDescent="0.25">
      <c r="A1147">
        <v>18</v>
      </c>
      <c r="B1147" t="s">
        <v>19</v>
      </c>
      <c r="C1147">
        <v>6.3</v>
      </c>
      <c r="D1147" t="s">
        <v>20</v>
      </c>
      <c r="E1147">
        <v>4.8</v>
      </c>
      <c r="F1147">
        <v>1.2</v>
      </c>
      <c r="G1147">
        <v>2.91</v>
      </c>
      <c r="H1147">
        <v>1.3</v>
      </c>
      <c r="I1147" t="s">
        <v>22</v>
      </c>
      <c r="J1147">
        <v>9</v>
      </c>
      <c r="K1147">
        <v>10</v>
      </c>
      <c r="L1147">
        <v>3</v>
      </c>
      <c r="M1147">
        <v>1</v>
      </c>
    </row>
    <row r="1148" spans="1:13" x14ac:dyDescent="0.25">
      <c r="A1148">
        <v>19</v>
      </c>
      <c r="B1148" t="s">
        <v>19</v>
      </c>
      <c r="C1148">
        <v>4.5</v>
      </c>
      <c r="D1148" t="s">
        <v>20</v>
      </c>
      <c r="E1148">
        <v>8.4</v>
      </c>
      <c r="F1148">
        <v>2.1</v>
      </c>
      <c r="G1148">
        <v>2.62</v>
      </c>
      <c r="H1148">
        <v>2</v>
      </c>
      <c r="I1148" t="s">
        <v>18</v>
      </c>
      <c r="J1148">
        <v>5</v>
      </c>
      <c r="K1148">
        <v>10</v>
      </c>
      <c r="L1148">
        <v>5</v>
      </c>
      <c r="M1148">
        <v>0</v>
      </c>
    </row>
    <row r="1149" spans="1:13" x14ac:dyDescent="0.25">
      <c r="A1149">
        <v>19</v>
      </c>
      <c r="B1149" t="s">
        <v>16</v>
      </c>
      <c r="C1149">
        <v>5.3</v>
      </c>
      <c r="D1149" t="s">
        <v>17</v>
      </c>
      <c r="E1149">
        <v>4.7</v>
      </c>
      <c r="F1149">
        <v>2.8</v>
      </c>
      <c r="G1149">
        <v>2.82</v>
      </c>
      <c r="H1149">
        <v>0.3</v>
      </c>
      <c r="I1149" t="s">
        <v>21</v>
      </c>
      <c r="J1149">
        <v>1</v>
      </c>
      <c r="K1149">
        <v>9</v>
      </c>
      <c r="L1149">
        <v>6</v>
      </c>
      <c r="M1149">
        <v>0</v>
      </c>
    </row>
    <row r="1150" spans="1:13" x14ac:dyDescent="0.25">
      <c r="A1150">
        <v>13</v>
      </c>
      <c r="B1150" t="s">
        <v>19</v>
      </c>
      <c r="C1150">
        <v>5.2</v>
      </c>
      <c r="D1150" t="s">
        <v>23</v>
      </c>
      <c r="E1150">
        <v>7.4</v>
      </c>
      <c r="F1150">
        <v>2.5</v>
      </c>
      <c r="G1150">
        <v>3.93</v>
      </c>
      <c r="H1150">
        <v>0.8</v>
      </c>
      <c r="I1150" t="s">
        <v>18</v>
      </c>
      <c r="J1150">
        <v>4</v>
      </c>
      <c r="K1150">
        <v>4</v>
      </c>
      <c r="L1150">
        <v>8</v>
      </c>
      <c r="M1150">
        <v>0</v>
      </c>
    </row>
    <row r="1151" spans="1:13" x14ac:dyDescent="0.25">
      <c r="A1151">
        <v>15</v>
      </c>
      <c r="B1151" t="s">
        <v>16</v>
      </c>
      <c r="C1151">
        <v>3.3</v>
      </c>
      <c r="D1151" t="s">
        <v>23</v>
      </c>
      <c r="E1151">
        <v>6.1</v>
      </c>
      <c r="F1151">
        <v>1.2</v>
      </c>
      <c r="G1151">
        <v>2.56</v>
      </c>
      <c r="H1151">
        <v>1.4</v>
      </c>
      <c r="I1151" t="s">
        <v>18</v>
      </c>
      <c r="J1151">
        <v>8</v>
      </c>
      <c r="K1151">
        <v>6</v>
      </c>
      <c r="L1151">
        <v>3</v>
      </c>
      <c r="M1151">
        <v>0</v>
      </c>
    </row>
    <row r="1152" spans="1:13" x14ac:dyDescent="0.25">
      <c r="A1152">
        <v>14</v>
      </c>
      <c r="B1152" t="s">
        <v>19</v>
      </c>
      <c r="C1152">
        <v>1.1000000000000001</v>
      </c>
      <c r="D1152" t="s">
        <v>23</v>
      </c>
      <c r="E1152">
        <v>5.4</v>
      </c>
      <c r="F1152">
        <v>1.6</v>
      </c>
      <c r="G1152">
        <v>3.34</v>
      </c>
      <c r="H1152">
        <v>1.5</v>
      </c>
      <c r="I1152" t="s">
        <v>22</v>
      </c>
      <c r="J1152">
        <v>4</v>
      </c>
      <c r="K1152">
        <v>5</v>
      </c>
      <c r="L1152">
        <v>8</v>
      </c>
      <c r="M1152">
        <v>0</v>
      </c>
    </row>
    <row r="1153" spans="1:13" x14ac:dyDescent="0.25">
      <c r="A1153">
        <v>17</v>
      </c>
      <c r="B1153" t="s">
        <v>19</v>
      </c>
      <c r="C1153">
        <v>5</v>
      </c>
      <c r="D1153" t="s">
        <v>17</v>
      </c>
      <c r="E1153">
        <v>7.3</v>
      </c>
      <c r="F1153">
        <v>1.2</v>
      </c>
      <c r="G1153">
        <v>3.39</v>
      </c>
      <c r="H1153">
        <v>0.7</v>
      </c>
      <c r="I1153" t="s">
        <v>22</v>
      </c>
      <c r="J1153">
        <v>9</v>
      </c>
      <c r="K1153">
        <v>10</v>
      </c>
      <c r="L1153">
        <v>8</v>
      </c>
      <c r="M1153">
        <v>0</v>
      </c>
    </row>
    <row r="1154" spans="1:13" x14ac:dyDescent="0.25">
      <c r="A1154">
        <v>15</v>
      </c>
      <c r="B1154" t="s">
        <v>19</v>
      </c>
      <c r="C1154">
        <v>7.4</v>
      </c>
      <c r="D1154" t="s">
        <v>20</v>
      </c>
      <c r="E1154">
        <v>8.6</v>
      </c>
      <c r="F1154">
        <v>1.4</v>
      </c>
      <c r="G1154">
        <v>2.19</v>
      </c>
      <c r="H1154">
        <v>1.8</v>
      </c>
      <c r="I1154" t="s">
        <v>18</v>
      </c>
      <c r="J1154">
        <v>10</v>
      </c>
      <c r="K1154">
        <v>10</v>
      </c>
      <c r="L1154">
        <v>1</v>
      </c>
      <c r="M1154">
        <v>0</v>
      </c>
    </row>
    <row r="1155" spans="1:13" x14ac:dyDescent="0.25">
      <c r="A1155">
        <v>15</v>
      </c>
      <c r="B1155" t="s">
        <v>19</v>
      </c>
      <c r="C1155">
        <v>7.4</v>
      </c>
      <c r="D1155" t="s">
        <v>20</v>
      </c>
      <c r="E1155">
        <v>8.9</v>
      </c>
      <c r="F1155">
        <v>2.9</v>
      </c>
      <c r="G1155">
        <v>3.39</v>
      </c>
      <c r="H1155">
        <v>1.1000000000000001</v>
      </c>
      <c r="I1155" t="s">
        <v>21</v>
      </c>
      <c r="J1155">
        <v>4</v>
      </c>
      <c r="K1155">
        <v>9</v>
      </c>
      <c r="L1155">
        <v>1</v>
      </c>
      <c r="M1155">
        <v>0</v>
      </c>
    </row>
    <row r="1156" spans="1:13" x14ac:dyDescent="0.25">
      <c r="A1156">
        <v>17</v>
      </c>
      <c r="B1156" t="s">
        <v>16</v>
      </c>
      <c r="C1156">
        <v>6.6</v>
      </c>
      <c r="D1156" t="s">
        <v>20</v>
      </c>
      <c r="E1156">
        <v>5.2</v>
      </c>
      <c r="F1156">
        <v>2.2000000000000002</v>
      </c>
      <c r="G1156">
        <v>2.98</v>
      </c>
      <c r="H1156">
        <v>0.8</v>
      </c>
      <c r="I1156" t="s">
        <v>21</v>
      </c>
      <c r="J1156">
        <v>6</v>
      </c>
      <c r="K1156">
        <v>8</v>
      </c>
      <c r="L1156">
        <v>7</v>
      </c>
      <c r="M1156">
        <v>0</v>
      </c>
    </row>
    <row r="1157" spans="1:13" x14ac:dyDescent="0.25">
      <c r="A1157">
        <v>13</v>
      </c>
      <c r="B1157" t="s">
        <v>19</v>
      </c>
      <c r="C1157">
        <v>7.1</v>
      </c>
      <c r="D1157" t="s">
        <v>23</v>
      </c>
      <c r="E1157">
        <v>7.2</v>
      </c>
      <c r="F1157">
        <v>1.1000000000000001</v>
      </c>
      <c r="G1157">
        <v>3.69</v>
      </c>
      <c r="H1157">
        <v>1</v>
      </c>
      <c r="I1157" t="s">
        <v>18</v>
      </c>
      <c r="J1157">
        <v>4</v>
      </c>
      <c r="K1157">
        <v>6</v>
      </c>
      <c r="L1157">
        <v>3</v>
      </c>
      <c r="M1157">
        <v>0</v>
      </c>
    </row>
    <row r="1158" spans="1:13" x14ac:dyDescent="0.25">
      <c r="A1158">
        <v>15</v>
      </c>
      <c r="B1158" t="s">
        <v>19</v>
      </c>
      <c r="C1158">
        <v>1.1000000000000001</v>
      </c>
      <c r="D1158" t="s">
        <v>20</v>
      </c>
      <c r="E1158">
        <v>8.6</v>
      </c>
      <c r="F1158">
        <v>2.2999999999999998</v>
      </c>
      <c r="G1158">
        <v>3.68</v>
      </c>
      <c r="H1158">
        <v>0.5</v>
      </c>
      <c r="I1158" t="s">
        <v>18</v>
      </c>
      <c r="J1158">
        <v>1</v>
      </c>
      <c r="K1158">
        <v>2</v>
      </c>
      <c r="L1158">
        <v>7</v>
      </c>
      <c r="M1158">
        <v>0</v>
      </c>
    </row>
    <row r="1159" spans="1:13" x14ac:dyDescent="0.25">
      <c r="A1159">
        <v>13</v>
      </c>
      <c r="B1159" t="s">
        <v>19</v>
      </c>
      <c r="C1159">
        <v>3.6</v>
      </c>
      <c r="D1159" t="s">
        <v>20</v>
      </c>
      <c r="E1159">
        <v>8.6999999999999993</v>
      </c>
      <c r="F1159">
        <v>0.8</v>
      </c>
      <c r="G1159">
        <v>2.41</v>
      </c>
      <c r="H1159">
        <v>1.3</v>
      </c>
      <c r="I1159" t="s">
        <v>18</v>
      </c>
      <c r="J1159">
        <v>4</v>
      </c>
      <c r="K1159">
        <v>6</v>
      </c>
      <c r="L1159">
        <v>8</v>
      </c>
      <c r="M1159">
        <v>0</v>
      </c>
    </row>
    <row r="1160" spans="1:13" x14ac:dyDescent="0.25">
      <c r="A1160">
        <v>16</v>
      </c>
      <c r="B1160" t="s">
        <v>16</v>
      </c>
      <c r="C1160">
        <v>5.0999999999999996</v>
      </c>
      <c r="D1160" t="s">
        <v>20</v>
      </c>
      <c r="E1160">
        <v>4.5999999999999996</v>
      </c>
      <c r="F1160">
        <v>1.1000000000000001</v>
      </c>
      <c r="G1160">
        <v>2.75</v>
      </c>
      <c r="H1160">
        <v>1.5</v>
      </c>
      <c r="I1160" t="s">
        <v>22</v>
      </c>
      <c r="J1160">
        <v>6</v>
      </c>
      <c r="K1160">
        <v>3</v>
      </c>
      <c r="L1160">
        <v>6</v>
      </c>
      <c r="M1160">
        <v>0</v>
      </c>
    </row>
    <row r="1161" spans="1:13" x14ac:dyDescent="0.25">
      <c r="A1161">
        <v>19</v>
      </c>
      <c r="B1161" t="s">
        <v>19</v>
      </c>
      <c r="C1161">
        <v>7.3</v>
      </c>
      <c r="D1161" t="s">
        <v>17</v>
      </c>
      <c r="E1161">
        <v>7.8</v>
      </c>
      <c r="F1161">
        <v>1</v>
      </c>
      <c r="G1161">
        <v>2.91</v>
      </c>
      <c r="H1161">
        <v>0.8</v>
      </c>
      <c r="I1161" t="s">
        <v>22</v>
      </c>
      <c r="J1161">
        <v>9</v>
      </c>
      <c r="K1161">
        <v>7</v>
      </c>
      <c r="L1161">
        <v>5</v>
      </c>
      <c r="M1161">
        <v>0</v>
      </c>
    </row>
    <row r="1162" spans="1:13" x14ac:dyDescent="0.25">
      <c r="A1162">
        <v>13</v>
      </c>
      <c r="B1162" t="s">
        <v>19</v>
      </c>
      <c r="C1162">
        <v>7.7</v>
      </c>
      <c r="D1162" t="s">
        <v>23</v>
      </c>
      <c r="E1162">
        <v>7.5</v>
      </c>
      <c r="F1162">
        <v>1.4</v>
      </c>
      <c r="G1162">
        <v>2.2400000000000002</v>
      </c>
      <c r="H1162">
        <v>0.1</v>
      </c>
      <c r="I1162" t="s">
        <v>18</v>
      </c>
      <c r="J1162">
        <v>5</v>
      </c>
      <c r="K1162">
        <v>3</v>
      </c>
      <c r="L1162">
        <v>3</v>
      </c>
      <c r="M1162">
        <v>0</v>
      </c>
    </row>
    <row r="1163" spans="1:13" x14ac:dyDescent="0.25">
      <c r="A1163">
        <v>13</v>
      </c>
      <c r="B1163" t="s">
        <v>19</v>
      </c>
      <c r="C1163">
        <v>7.9</v>
      </c>
      <c r="D1163" t="s">
        <v>20</v>
      </c>
      <c r="E1163">
        <v>4.0999999999999996</v>
      </c>
      <c r="F1163">
        <v>1.6</v>
      </c>
      <c r="G1163">
        <v>2.74</v>
      </c>
      <c r="H1163">
        <v>0.9</v>
      </c>
      <c r="I1163" t="s">
        <v>22</v>
      </c>
      <c r="J1163">
        <v>9</v>
      </c>
      <c r="K1163">
        <v>3</v>
      </c>
      <c r="L1163">
        <v>5</v>
      </c>
      <c r="M1163">
        <v>0</v>
      </c>
    </row>
    <row r="1164" spans="1:13" x14ac:dyDescent="0.25">
      <c r="A1164">
        <v>16</v>
      </c>
      <c r="B1164" t="s">
        <v>19</v>
      </c>
      <c r="C1164">
        <v>5.5</v>
      </c>
      <c r="D1164" t="s">
        <v>23</v>
      </c>
      <c r="E1164">
        <v>5.8</v>
      </c>
      <c r="F1164">
        <v>2.5</v>
      </c>
      <c r="G1164">
        <v>2.34</v>
      </c>
      <c r="H1164">
        <v>1</v>
      </c>
      <c r="I1164" t="s">
        <v>18</v>
      </c>
      <c r="J1164">
        <v>5</v>
      </c>
      <c r="K1164">
        <v>2</v>
      </c>
      <c r="L1164">
        <v>8</v>
      </c>
      <c r="M1164">
        <v>0</v>
      </c>
    </row>
    <row r="1165" spans="1:13" x14ac:dyDescent="0.25">
      <c r="A1165">
        <v>19</v>
      </c>
      <c r="B1165" t="s">
        <v>16</v>
      </c>
      <c r="C1165">
        <v>4</v>
      </c>
      <c r="D1165" t="s">
        <v>17</v>
      </c>
      <c r="E1165">
        <v>7.8</v>
      </c>
      <c r="F1165">
        <v>0.6</v>
      </c>
      <c r="G1165">
        <v>3.61</v>
      </c>
      <c r="H1165">
        <v>1.7</v>
      </c>
      <c r="I1165" t="s">
        <v>21</v>
      </c>
      <c r="J1165">
        <v>2</v>
      </c>
      <c r="K1165">
        <v>7</v>
      </c>
      <c r="L1165">
        <v>9</v>
      </c>
      <c r="M1165">
        <v>0</v>
      </c>
    </row>
    <row r="1166" spans="1:13" x14ac:dyDescent="0.25">
      <c r="A1166">
        <v>15</v>
      </c>
      <c r="B1166" t="s">
        <v>19</v>
      </c>
      <c r="C1166">
        <v>7.9</v>
      </c>
      <c r="D1166" t="s">
        <v>20</v>
      </c>
      <c r="E1166">
        <v>4.7</v>
      </c>
      <c r="F1166">
        <v>1.5</v>
      </c>
      <c r="G1166">
        <v>3.3</v>
      </c>
      <c r="H1166">
        <v>0</v>
      </c>
      <c r="I1166" t="s">
        <v>18</v>
      </c>
      <c r="J1166">
        <v>5</v>
      </c>
      <c r="K1166">
        <v>8</v>
      </c>
      <c r="L1166">
        <v>5</v>
      </c>
      <c r="M1166">
        <v>0</v>
      </c>
    </row>
    <row r="1167" spans="1:13" x14ac:dyDescent="0.25">
      <c r="A1167">
        <v>18</v>
      </c>
      <c r="B1167" t="s">
        <v>19</v>
      </c>
      <c r="C1167">
        <v>5.5</v>
      </c>
      <c r="D1167" t="s">
        <v>23</v>
      </c>
      <c r="E1167">
        <v>8.1999999999999993</v>
      </c>
      <c r="F1167">
        <v>0.5</v>
      </c>
      <c r="G1167">
        <v>3.15</v>
      </c>
      <c r="H1167">
        <v>1.2</v>
      </c>
      <c r="I1167" t="s">
        <v>22</v>
      </c>
      <c r="J1167">
        <v>8</v>
      </c>
      <c r="K1167">
        <v>7</v>
      </c>
      <c r="L1167">
        <v>7</v>
      </c>
      <c r="M1167">
        <v>0</v>
      </c>
    </row>
    <row r="1168" spans="1:13" x14ac:dyDescent="0.25">
      <c r="A1168">
        <v>17</v>
      </c>
      <c r="B1168" t="s">
        <v>19</v>
      </c>
      <c r="C1168">
        <v>7.6</v>
      </c>
      <c r="D1168" t="s">
        <v>23</v>
      </c>
      <c r="E1168">
        <v>7.1</v>
      </c>
      <c r="F1168">
        <v>1.1000000000000001</v>
      </c>
      <c r="G1168">
        <v>2.0699999999999998</v>
      </c>
      <c r="H1168">
        <v>1.9</v>
      </c>
      <c r="I1168" t="s">
        <v>21</v>
      </c>
      <c r="J1168">
        <v>3</v>
      </c>
      <c r="K1168">
        <v>2</v>
      </c>
      <c r="L1168">
        <v>6</v>
      </c>
      <c r="M1168">
        <v>0</v>
      </c>
    </row>
    <row r="1169" spans="1:13" x14ac:dyDescent="0.25">
      <c r="A1169">
        <v>13</v>
      </c>
      <c r="B1169" t="s">
        <v>16</v>
      </c>
      <c r="C1169">
        <v>1.3</v>
      </c>
      <c r="D1169" t="s">
        <v>20</v>
      </c>
      <c r="E1169">
        <v>4.4000000000000004</v>
      </c>
      <c r="F1169">
        <v>0.9</v>
      </c>
      <c r="G1169">
        <v>2.99</v>
      </c>
      <c r="H1169">
        <v>0</v>
      </c>
      <c r="I1169" t="s">
        <v>21</v>
      </c>
      <c r="J1169">
        <v>8</v>
      </c>
      <c r="K1169">
        <v>2</v>
      </c>
      <c r="L1169">
        <v>5</v>
      </c>
      <c r="M1169">
        <v>0</v>
      </c>
    </row>
    <row r="1170" spans="1:13" x14ac:dyDescent="0.25">
      <c r="A1170">
        <v>16</v>
      </c>
      <c r="B1170" t="s">
        <v>16</v>
      </c>
      <c r="C1170">
        <v>7.3</v>
      </c>
      <c r="D1170" t="s">
        <v>20</v>
      </c>
      <c r="E1170">
        <v>7</v>
      </c>
      <c r="F1170">
        <v>2.2000000000000002</v>
      </c>
      <c r="G1170">
        <v>2.0699999999999998</v>
      </c>
      <c r="H1170">
        <v>1</v>
      </c>
      <c r="I1170" t="s">
        <v>22</v>
      </c>
      <c r="J1170">
        <v>3</v>
      </c>
      <c r="K1170">
        <v>7</v>
      </c>
      <c r="L1170">
        <v>1</v>
      </c>
      <c r="M1170">
        <v>0</v>
      </c>
    </row>
    <row r="1171" spans="1:13" x14ac:dyDescent="0.25">
      <c r="A1171">
        <v>18</v>
      </c>
      <c r="B1171" t="s">
        <v>16</v>
      </c>
      <c r="C1171">
        <v>4.3</v>
      </c>
      <c r="D1171" t="s">
        <v>17</v>
      </c>
      <c r="E1171">
        <v>6.7</v>
      </c>
      <c r="F1171">
        <v>2.5</v>
      </c>
      <c r="G1171">
        <v>3.19</v>
      </c>
      <c r="H1171">
        <v>1</v>
      </c>
      <c r="I1171" t="s">
        <v>21</v>
      </c>
      <c r="J1171">
        <v>5</v>
      </c>
      <c r="K1171">
        <v>5</v>
      </c>
      <c r="L1171">
        <v>5</v>
      </c>
      <c r="M1171">
        <v>0</v>
      </c>
    </row>
    <row r="1172" spans="1:13" x14ac:dyDescent="0.25">
      <c r="A1172">
        <v>16</v>
      </c>
      <c r="B1172" t="s">
        <v>16</v>
      </c>
      <c r="C1172">
        <v>7.1</v>
      </c>
      <c r="D1172" t="s">
        <v>20</v>
      </c>
      <c r="E1172">
        <v>7.7</v>
      </c>
      <c r="F1172">
        <v>1.9</v>
      </c>
      <c r="G1172">
        <v>2.2400000000000002</v>
      </c>
      <c r="H1172">
        <v>0.6</v>
      </c>
      <c r="I1172" t="s">
        <v>21</v>
      </c>
      <c r="J1172">
        <v>8</v>
      </c>
      <c r="K1172">
        <v>10</v>
      </c>
      <c r="L1172">
        <v>5</v>
      </c>
      <c r="M1172">
        <v>0</v>
      </c>
    </row>
    <row r="1173" spans="1:13" x14ac:dyDescent="0.25">
      <c r="A1173">
        <v>14</v>
      </c>
      <c r="B1173" t="s">
        <v>19</v>
      </c>
      <c r="C1173">
        <v>5.7</v>
      </c>
      <c r="D1173" t="s">
        <v>20</v>
      </c>
      <c r="E1173">
        <v>6.4</v>
      </c>
      <c r="F1173">
        <v>1.9</v>
      </c>
      <c r="G1173">
        <v>3.3</v>
      </c>
      <c r="H1173">
        <v>1.3</v>
      </c>
      <c r="I1173" t="s">
        <v>21</v>
      </c>
      <c r="J1173">
        <v>6</v>
      </c>
      <c r="K1173">
        <v>8</v>
      </c>
      <c r="L1173">
        <v>5</v>
      </c>
      <c r="M1173">
        <v>0</v>
      </c>
    </row>
    <row r="1174" spans="1:13" x14ac:dyDescent="0.25">
      <c r="A1174">
        <v>18</v>
      </c>
      <c r="B1174" t="s">
        <v>19</v>
      </c>
      <c r="C1174">
        <v>5.2</v>
      </c>
      <c r="D1174" t="s">
        <v>23</v>
      </c>
      <c r="E1174">
        <v>7.3</v>
      </c>
      <c r="F1174">
        <v>1.7</v>
      </c>
      <c r="G1174">
        <v>3.33</v>
      </c>
      <c r="H1174">
        <v>0.9</v>
      </c>
      <c r="I1174" t="s">
        <v>18</v>
      </c>
      <c r="J1174">
        <v>7</v>
      </c>
      <c r="K1174">
        <v>4</v>
      </c>
      <c r="L1174">
        <v>9</v>
      </c>
      <c r="M1174">
        <v>0</v>
      </c>
    </row>
    <row r="1175" spans="1:13" x14ac:dyDescent="0.25">
      <c r="A1175">
        <v>17</v>
      </c>
      <c r="B1175" t="s">
        <v>16</v>
      </c>
      <c r="C1175">
        <v>3.1</v>
      </c>
      <c r="D1175" t="s">
        <v>20</v>
      </c>
      <c r="E1175">
        <v>7.7</v>
      </c>
      <c r="F1175">
        <v>2.2000000000000002</v>
      </c>
      <c r="G1175">
        <v>3.72</v>
      </c>
      <c r="H1175">
        <v>1.4</v>
      </c>
      <c r="I1175" t="s">
        <v>22</v>
      </c>
      <c r="J1175">
        <v>1</v>
      </c>
      <c r="K1175">
        <v>5</v>
      </c>
      <c r="L1175">
        <v>8</v>
      </c>
      <c r="M1175">
        <v>0</v>
      </c>
    </row>
    <row r="1176" spans="1:13" x14ac:dyDescent="0.25">
      <c r="A1176">
        <v>13</v>
      </c>
      <c r="B1176" t="s">
        <v>16</v>
      </c>
      <c r="C1176">
        <v>3</v>
      </c>
      <c r="D1176" t="s">
        <v>23</v>
      </c>
      <c r="E1176">
        <v>6.2</v>
      </c>
      <c r="F1176">
        <v>0.8</v>
      </c>
      <c r="G1176">
        <v>3.96</v>
      </c>
      <c r="H1176">
        <v>1.1000000000000001</v>
      </c>
      <c r="I1176" t="s">
        <v>18</v>
      </c>
      <c r="J1176">
        <v>9</v>
      </c>
      <c r="K1176">
        <v>10</v>
      </c>
      <c r="L1176">
        <v>3</v>
      </c>
      <c r="M1176">
        <v>0</v>
      </c>
    </row>
    <row r="1177" spans="1:13" x14ac:dyDescent="0.25">
      <c r="A1177">
        <v>17</v>
      </c>
      <c r="B1177" t="s">
        <v>19</v>
      </c>
      <c r="C1177">
        <v>6</v>
      </c>
      <c r="D1177" t="s">
        <v>23</v>
      </c>
      <c r="E1177">
        <v>4.2</v>
      </c>
      <c r="F1177">
        <v>2.2000000000000002</v>
      </c>
      <c r="G1177">
        <v>2.27</v>
      </c>
      <c r="H1177">
        <v>0.5</v>
      </c>
      <c r="I1177" t="s">
        <v>22</v>
      </c>
      <c r="J1177">
        <v>1</v>
      </c>
      <c r="K1177">
        <v>4</v>
      </c>
      <c r="L1177">
        <v>5</v>
      </c>
      <c r="M1177">
        <v>0</v>
      </c>
    </row>
    <row r="1178" spans="1:13" x14ac:dyDescent="0.25">
      <c r="A1178">
        <v>13</v>
      </c>
      <c r="B1178" t="s">
        <v>16</v>
      </c>
      <c r="C1178">
        <v>5.9</v>
      </c>
      <c r="D1178" t="s">
        <v>17</v>
      </c>
      <c r="E1178">
        <v>8.6</v>
      </c>
      <c r="F1178">
        <v>1.9</v>
      </c>
      <c r="G1178">
        <v>3.88</v>
      </c>
      <c r="H1178">
        <v>0.2</v>
      </c>
      <c r="I1178" t="s">
        <v>22</v>
      </c>
      <c r="J1178">
        <v>1</v>
      </c>
      <c r="K1178">
        <v>6</v>
      </c>
      <c r="L1178">
        <v>9</v>
      </c>
      <c r="M1178">
        <v>0</v>
      </c>
    </row>
    <row r="1179" spans="1:13" x14ac:dyDescent="0.25">
      <c r="A1179">
        <v>15</v>
      </c>
      <c r="B1179" t="s">
        <v>16</v>
      </c>
      <c r="C1179">
        <v>5.0999999999999996</v>
      </c>
      <c r="D1179" t="s">
        <v>20</v>
      </c>
      <c r="E1179">
        <v>5.5</v>
      </c>
      <c r="F1179">
        <v>0.7</v>
      </c>
      <c r="G1179">
        <v>2.13</v>
      </c>
      <c r="H1179">
        <v>0.5</v>
      </c>
      <c r="I1179" t="s">
        <v>22</v>
      </c>
      <c r="J1179">
        <v>6</v>
      </c>
      <c r="K1179">
        <v>10</v>
      </c>
      <c r="L1179">
        <v>8</v>
      </c>
      <c r="M1179">
        <v>0</v>
      </c>
    </row>
    <row r="1180" spans="1:13" x14ac:dyDescent="0.25">
      <c r="A1180">
        <v>19</v>
      </c>
      <c r="B1180" t="s">
        <v>19</v>
      </c>
      <c r="C1180">
        <v>3.5</v>
      </c>
      <c r="D1180" t="s">
        <v>17</v>
      </c>
      <c r="E1180">
        <v>4.9000000000000004</v>
      </c>
      <c r="F1180">
        <v>0.5</v>
      </c>
      <c r="G1180">
        <v>3.68</v>
      </c>
      <c r="H1180">
        <v>1.7</v>
      </c>
      <c r="I1180" t="s">
        <v>21</v>
      </c>
      <c r="J1180">
        <v>8</v>
      </c>
      <c r="K1180">
        <v>4</v>
      </c>
      <c r="L1180">
        <v>3</v>
      </c>
      <c r="M1180">
        <v>0</v>
      </c>
    </row>
    <row r="1181" spans="1:13" x14ac:dyDescent="0.25">
      <c r="A1181">
        <v>16</v>
      </c>
      <c r="B1181" t="s">
        <v>16</v>
      </c>
      <c r="C1181">
        <v>5.3</v>
      </c>
      <c r="D1181" t="s">
        <v>20</v>
      </c>
      <c r="E1181">
        <v>5.3</v>
      </c>
      <c r="F1181">
        <v>2.4</v>
      </c>
      <c r="G1181">
        <v>3.01</v>
      </c>
      <c r="H1181">
        <v>1.6</v>
      </c>
      <c r="I1181" t="s">
        <v>22</v>
      </c>
      <c r="J1181">
        <v>2</v>
      </c>
      <c r="K1181">
        <v>9</v>
      </c>
      <c r="L1181">
        <v>1</v>
      </c>
      <c r="M1181">
        <v>0</v>
      </c>
    </row>
    <row r="1182" spans="1:13" x14ac:dyDescent="0.25">
      <c r="A1182">
        <v>13</v>
      </c>
      <c r="B1182" t="s">
        <v>19</v>
      </c>
      <c r="C1182">
        <v>4.0999999999999996</v>
      </c>
      <c r="D1182" t="s">
        <v>17</v>
      </c>
      <c r="E1182">
        <v>7.5</v>
      </c>
      <c r="F1182">
        <v>1.7</v>
      </c>
      <c r="G1182">
        <v>3.12</v>
      </c>
      <c r="H1182">
        <v>2</v>
      </c>
      <c r="I1182" t="s">
        <v>22</v>
      </c>
      <c r="J1182">
        <v>1</v>
      </c>
      <c r="K1182">
        <v>4</v>
      </c>
      <c r="L1182">
        <v>9</v>
      </c>
      <c r="M1182">
        <v>0</v>
      </c>
    </row>
    <row r="1183" spans="1:13" x14ac:dyDescent="0.25">
      <c r="A1183">
        <v>18</v>
      </c>
      <c r="B1183" t="s">
        <v>16</v>
      </c>
      <c r="C1183">
        <v>4.0999999999999996</v>
      </c>
      <c r="D1183" t="s">
        <v>17</v>
      </c>
      <c r="E1183">
        <v>6.7</v>
      </c>
      <c r="F1183">
        <v>2.1</v>
      </c>
      <c r="G1183">
        <v>2.5</v>
      </c>
      <c r="H1183">
        <v>0.1</v>
      </c>
      <c r="I1183" t="s">
        <v>22</v>
      </c>
      <c r="J1183">
        <v>8</v>
      </c>
      <c r="K1183">
        <v>1</v>
      </c>
      <c r="L1183">
        <v>5</v>
      </c>
      <c r="M1183">
        <v>0</v>
      </c>
    </row>
    <row r="1184" spans="1:13" x14ac:dyDescent="0.25">
      <c r="A1184">
        <v>15</v>
      </c>
      <c r="B1184" t="s">
        <v>16</v>
      </c>
      <c r="C1184">
        <v>6.3</v>
      </c>
      <c r="D1184" t="s">
        <v>20</v>
      </c>
      <c r="E1184">
        <v>6.8</v>
      </c>
      <c r="F1184">
        <v>1.8</v>
      </c>
      <c r="G1184">
        <v>2.59</v>
      </c>
      <c r="H1184">
        <v>1.9</v>
      </c>
      <c r="I1184" t="s">
        <v>21</v>
      </c>
      <c r="J1184">
        <v>10</v>
      </c>
      <c r="K1184">
        <v>5</v>
      </c>
      <c r="L1184">
        <v>5</v>
      </c>
      <c r="M1184">
        <v>0</v>
      </c>
    </row>
    <row r="1185" spans="1:13" x14ac:dyDescent="0.25">
      <c r="A1185">
        <v>19</v>
      </c>
      <c r="B1185" t="s">
        <v>19</v>
      </c>
      <c r="C1185">
        <v>6.6</v>
      </c>
      <c r="D1185" t="s">
        <v>23</v>
      </c>
      <c r="E1185">
        <v>9</v>
      </c>
      <c r="F1185">
        <v>2.9</v>
      </c>
      <c r="G1185">
        <v>2.4700000000000002</v>
      </c>
      <c r="H1185">
        <v>1.7</v>
      </c>
      <c r="I1185" t="s">
        <v>22</v>
      </c>
      <c r="J1185">
        <v>3</v>
      </c>
      <c r="K1185">
        <v>7</v>
      </c>
      <c r="L1185">
        <v>9</v>
      </c>
      <c r="M1185">
        <v>0</v>
      </c>
    </row>
    <row r="1186" spans="1:13" x14ac:dyDescent="0.25">
      <c r="A1186">
        <v>19</v>
      </c>
      <c r="B1186" t="s">
        <v>16</v>
      </c>
      <c r="C1186">
        <v>1.4</v>
      </c>
      <c r="D1186" t="s">
        <v>23</v>
      </c>
      <c r="E1186">
        <v>4.5</v>
      </c>
      <c r="F1186">
        <v>2.2999999999999998</v>
      </c>
      <c r="G1186">
        <v>3.9</v>
      </c>
      <c r="H1186">
        <v>0</v>
      </c>
      <c r="I1186" t="s">
        <v>22</v>
      </c>
      <c r="J1186">
        <v>2</v>
      </c>
      <c r="K1186">
        <v>8</v>
      </c>
      <c r="L1186">
        <v>10</v>
      </c>
      <c r="M1186">
        <v>0</v>
      </c>
    </row>
    <row r="1187" spans="1:13" x14ac:dyDescent="0.25">
      <c r="A1187">
        <v>19</v>
      </c>
      <c r="B1187" t="s">
        <v>16</v>
      </c>
      <c r="C1187">
        <v>2.4</v>
      </c>
      <c r="D1187" t="s">
        <v>20</v>
      </c>
      <c r="E1187">
        <v>9</v>
      </c>
      <c r="F1187">
        <v>2.4</v>
      </c>
      <c r="G1187">
        <v>3.13</v>
      </c>
      <c r="H1187">
        <v>0.5</v>
      </c>
      <c r="I1187" t="s">
        <v>21</v>
      </c>
      <c r="J1187">
        <v>5</v>
      </c>
      <c r="K1187">
        <v>3</v>
      </c>
      <c r="L1187">
        <v>3</v>
      </c>
      <c r="M1187">
        <v>0</v>
      </c>
    </row>
    <row r="1188" spans="1:13" x14ac:dyDescent="0.25">
      <c r="A1188">
        <v>18</v>
      </c>
      <c r="B1188" t="s">
        <v>16</v>
      </c>
      <c r="C1188">
        <v>1.6</v>
      </c>
      <c r="D1188" t="s">
        <v>23</v>
      </c>
      <c r="E1188">
        <v>5.4</v>
      </c>
      <c r="F1188">
        <v>2</v>
      </c>
      <c r="G1188">
        <v>3.2</v>
      </c>
      <c r="H1188">
        <v>1.8</v>
      </c>
      <c r="I1188" t="s">
        <v>18</v>
      </c>
      <c r="J1188">
        <v>8</v>
      </c>
      <c r="K1188">
        <v>8</v>
      </c>
      <c r="L1188">
        <v>3</v>
      </c>
      <c r="M1188">
        <v>0</v>
      </c>
    </row>
    <row r="1189" spans="1:13" x14ac:dyDescent="0.25">
      <c r="A1189">
        <v>18</v>
      </c>
      <c r="B1189" t="s">
        <v>16</v>
      </c>
      <c r="C1189">
        <v>2</v>
      </c>
      <c r="D1189" t="s">
        <v>17</v>
      </c>
      <c r="E1189">
        <v>8.9</v>
      </c>
      <c r="F1189">
        <v>0.8</v>
      </c>
      <c r="G1189">
        <v>2.96</v>
      </c>
      <c r="H1189">
        <v>0.5</v>
      </c>
      <c r="I1189" t="s">
        <v>22</v>
      </c>
      <c r="J1189">
        <v>6</v>
      </c>
      <c r="K1189">
        <v>2</v>
      </c>
      <c r="L1189">
        <v>2</v>
      </c>
      <c r="M1189">
        <v>0</v>
      </c>
    </row>
    <row r="1190" spans="1:13" x14ac:dyDescent="0.25">
      <c r="A1190">
        <v>17</v>
      </c>
      <c r="B1190" t="s">
        <v>19</v>
      </c>
      <c r="C1190">
        <v>7.4</v>
      </c>
      <c r="D1190" t="s">
        <v>17</v>
      </c>
      <c r="E1190">
        <v>7.4</v>
      </c>
      <c r="F1190">
        <v>2</v>
      </c>
      <c r="G1190">
        <v>3.76</v>
      </c>
      <c r="H1190">
        <v>1.7</v>
      </c>
      <c r="I1190" t="s">
        <v>21</v>
      </c>
      <c r="J1190">
        <v>10</v>
      </c>
      <c r="K1190">
        <v>1</v>
      </c>
      <c r="L1190">
        <v>4</v>
      </c>
      <c r="M1190">
        <v>0</v>
      </c>
    </row>
    <row r="1191" spans="1:13" x14ac:dyDescent="0.25">
      <c r="A1191">
        <v>14</v>
      </c>
      <c r="B1191" t="s">
        <v>19</v>
      </c>
      <c r="C1191">
        <v>1.6</v>
      </c>
      <c r="D1191" t="s">
        <v>20</v>
      </c>
      <c r="E1191">
        <v>4.8</v>
      </c>
      <c r="F1191">
        <v>2.4</v>
      </c>
      <c r="G1191">
        <v>2.97</v>
      </c>
      <c r="H1191">
        <v>1.9</v>
      </c>
      <c r="I1191" t="s">
        <v>18</v>
      </c>
      <c r="J1191">
        <v>9</v>
      </c>
      <c r="K1191">
        <v>9</v>
      </c>
      <c r="L1191">
        <v>10</v>
      </c>
      <c r="M1191">
        <v>0</v>
      </c>
    </row>
    <row r="1192" spans="1:13" x14ac:dyDescent="0.25">
      <c r="A1192">
        <v>17</v>
      </c>
      <c r="B1192" t="s">
        <v>19</v>
      </c>
      <c r="C1192">
        <v>3.8</v>
      </c>
      <c r="D1192" t="s">
        <v>17</v>
      </c>
      <c r="E1192">
        <v>8.4</v>
      </c>
      <c r="F1192">
        <v>0.9</v>
      </c>
      <c r="G1192">
        <v>3.6</v>
      </c>
      <c r="H1192">
        <v>1.9</v>
      </c>
      <c r="I1192" t="s">
        <v>21</v>
      </c>
      <c r="J1192">
        <v>1</v>
      </c>
      <c r="K1192">
        <v>2</v>
      </c>
      <c r="L1192">
        <v>2</v>
      </c>
      <c r="M1192">
        <v>0</v>
      </c>
    </row>
    <row r="1193" spans="1:13" x14ac:dyDescent="0.25">
      <c r="A1193">
        <v>19</v>
      </c>
      <c r="B1193" t="s">
        <v>16</v>
      </c>
      <c r="C1193">
        <v>8</v>
      </c>
      <c r="D1193" t="s">
        <v>20</v>
      </c>
      <c r="E1193">
        <v>4.7</v>
      </c>
      <c r="F1193">
        <v>0.5</v>
      </c>
      <c r="G1193">
        <v>2.1800000000000002</v>
      </c>
      <c r="H1193">
        <v>0.6</v>
      </c>
      <c r="I1193" t="s">
        <v>22</v>
      </c>
      <c r="J1193">
        <v>8</v>
      </c>
      <c r="K1193">
        <v>8</v>
      </c>
      <c r="L1193">
        <v>6</v>
      </c>
      <c r="M1193">
        <v>1</v>
      </c>
    </row>
    <row r="1194" spans="1:13" x14ac:dyDescent="0.25">
      <c r="A1194">
        <v>13</v>
      </c>
      <c r="B1194" t="s">
        <v>16</v>
      </c>
      <c r="C1194">
        <v>7.8</v>
      </c>
      <c r="D1194" t="s">
        <v>20</v>
      </c>
      <c r="E1194">
        <v>5.9</v>
      </c>
      <c r="F1194">
        <v>1.5</v>
      </c>
      <c r="G1194">
        <v>3.31</v>
      </c>
      <c r="H1194">
        <v>1.9</v>
      </c>
      <c r="I1194" t="s">
        <v>21</v>
      </c>
      <c r="J1194">
        <v>10</v>
      </c>
      <c r="K1194">
        <v>1</v>
      </c>
      <c r="L1194">
        <v>10</v>
      </c>
      <c r="M1194">
        <v>0</v>
      </c>
    </row>
    <row r="1195" spans="1:13" x14ac:dyDescent="0.25">
      <c r="A1195">
        <v>13</v>
      </c>
      <c r="B1195" t="s">
        <v>19</v>
      </c>
      <c r="C1195">
        <v>7.2</v>
      </c>
      <c r="D1195" t="s">
        <v>17</v>
      </c>
      <c r="E1195">
        <v>8.1</v>
      </c>
      <c r="F1195">
        <v>2.1</v>
      </c>
      <c r="G1195">
        <v>2.52</v>
      </c>
      <c r="H1195">
        <v>0.4</v>
      </c>
      <c r="I1195" t="s">
        <v>22</v>
      </c>
      <c r="J1195">
        <v>3</v>
      </c>
      <c r="K1195">
        <v>3</v>
      </c>
      <c r="L1195">
        <v>7</v>
      </c>
      <c r="M1195">
        <v>0</v>
      </c>
    </row>
    <row r="1196" spans="1:13" x14ac:dyDescent="0.25">
      <c r="A1196">
        <v>17</v>
      </c>
      <c r="B1196" t="s">
        <v>16</v>
      </c>
      <c r="C1196">
        <v>2</v>
      </c>
      <c r="D1196" t="s">
        <v>23</v>
      </c>
      <c r="E1196">
        <v>4.5</v>
      </c>
      <c r="F1196">
        <v>1.7</v>
      </c>
      <c r="G1196">
        <v>2.65</v>
      </c>
      <c r="H1196">
        <v>0</v>
      </c>
      <c r="I1196" t="s">
        <v>22</v>
      </c>
      <c r="J1196">
        <v>9</v>
      </c>
      <c r="K1196">
        <v>4</v>
      </c>
      <c r="L1196">
        <v>2</v>
      </c>
      <c r="M1196">
        <v>0</v>
      </c>
    </row>
    <row r="1197" spans="1:13" x14ac:dyDescent="0.25">
      <c r="A1197">
        <v>18</v>
      </c>
      <c r="B1197" t="s">
        <v>19</v>
      </c>
      <c r="C1197">
        <v>6.8</v>
      </c>
      <c r="D1197" t="s">
        <v>17</v>
      </c>
      <c r="E1197">
        <v>6.6</v>
      </c>
      <c r="F1197">
        <v>2</v>
      </c>
      <c r="G1197">
        <v>2.76</v>
      </c>
      <c r="H1197">
        <v>1</v>
      </c>
      <c r="I1197" t="s">
        <v>18</v>
      </c>
      <c r="J1197">
        <v>3</v>
      </c>
      <c r="K1197">
        <v>4</v>
      </c>
      <c r="L1197">
        <v>4</v>
      </c>
      <c r="M1197">
        <v>0</v>
      </c>
    </row>
    <row r="1198" spans="1:13" x14ac:dyDescent="0.25">
      <c r="A1198">
        <v>16</v>
      </c>
      <c r="B1198" t="s">
        <v>16</v>
      </c>
      <c r="C1198">
        <v>2.2999999999999998</v>
      </c>
      <c r="D1198" t="s">
        <v>23</v>
      </c>
      <c r="E1198">
        <v>8</v>
      </c>
      <c r="F1198">
        <v>1.9</v>
      </c>
      <c r="G1198">
        <v>2.12</v>
      </c>
      <c r="H1198">
        <v>0.4</v>
      </c>
      <c r="I1198" t="s">
        <v>21</v>
      </c>
      <c r="J1198">
        <v>7</v>
      </c>
      <c r="K1198">
        <v>4</v>
      </c>
      <c r="L1198">
        <v>4</v>
      </c>
      <c r="M1198">
        <v>0</v>
      </c>
    </row>
    <row r="1199" spans="1:13" x14ac:dyDescent="0.25">
      <c r="A1199">
        <v>14</v>
      </c>
      <c r="B1199" t="s">
        <v>19</v>
      </c>
      <c r="C1199">
        <v>1.7</v>
      </c>
      <c r="D1199" t="s">
        <v>23</v>
      </c>
      <c r="E1199">
        <v>8.6999999999999993</v>
      </c>
      <c r="F1199">
        <v>0.7</v>
      </c>
      <c r="G1199">
        <v>3.98</v>
      </c>
      <c r="H1199">
        <v>0.8</v>
      </c>
      <c r="I1199" t="s">
        <v>21</v>
      </c>
      <c r="J1199">
        <v>1</v>
      </c>
      <c r="K1199">
        <v>1</v>
      </c>
      <c r="L1199">
        <v>1</v>
      </c>
      <c r="M1199">
        <v>0</v>
      </c>
    </row>
    <row r="1200" spans="1:13" x14ac:dyDescent="0.25">
      <c r="A1200">
        <v>15</v>
      </c>
      <c r="B1200" t="s">
        <v>16</v>
      </c>
      <c r="C1200">
        <v>3.9</v>
      </c>
      <c r="D1200" t="s">
        <v>23</v>
      </c>
      <c r="E1200">
        <v>8.5</v>
      </c>
      <c r="F1200">
        <v>2.1</v>
      </c>
      <c r="G1200">
        <v>3.19</v>
      </c>
      <c r="H1200">
        <v>0.6</v>
      </c>
      <c r="I1200" t="s">
        <v>21</v>
      </c>
      <c r="J1200">
        <v>7</v>
      </c>
      <c r="K1200">
        <v>9</v>
      </c>
      <c r="L1200">
        <v>9</v>
      </c>
      <c r="M1200">
        <v>0</v>
      </c>
    </row>
    <row r="1201" spans="1:13" x14ac:dyDescent="0.25">
      <c r="A1201">
        <v>16</v>
      </c>
      <c r="B1201" t="s">
        <v>19</v>
      </c>
      <c r="C1201">
        <v>4.7</v>
      </c>
      <c r="D1201" t="s">
        <v>20</v>
      </c>
      <c r="E1201">
        <v>6.5</v>
      </c>
      <c r="F1201">
        <v>1</v>
      </c>
      <c r="G1201">
        <v>2.91</v>
      </c>
      <c r="H1201">
        <v>0.9</v>
      </c>
      <c r="I1201" t="s">
        <v>22</v>
      </c>
      <c r="J1201">
        <v>5</v>
      </c>
      <c r="K1201">
        <v>7</v>
      </c>
      <c r="L1201">
        <v>3</v>
      </c>
      <c r="M1201">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C7897-5BF6-41E1-8BFF-770AD4D51E29}">
  <dimension ref="A1:S1201"/>
  <sheetViews>
    <sheetView topLeftCell="E1" zoomScale="150" zoomScaleNormal="150" workbookViewId="0">
      <selection activeCell="J2" sqref="J2:J1201"/>
    </sheetView>
  </sheetViews>
  <sheetFormatPr defaultRowHeight="15" x14ac:dyDescent="0.25"/>
  <cols>
    <col min="1" max="1" width="4.140625" bestFit="1" customWidth="1"/>
    <col min="2" max="2" width="15" bestFit="1" customWidth="1"/>
    <col min="3" max="3" width="7" bestFit="1" customWidth="1"/>
    <col min="4" max="4" width="24.42578125" bestFit="1" customWidth="1"/>
    <col min="5" max="5" width="14.85546875" bestFit="1" customWidth="1"/>
    <col min="6" max="6" width="11.7109375" bestFit="1" customWidth="1"/>
    <col min="7" max="7" width="24" bestFit="1" customWidth="1"/>
    <col min="8" max="8" width="24" customWidth="1"/>
    <col min="9" max="9" width="22.28515625" bestFit="1" customWidth="1"/>
    <col min="10" max="10" width="22.28515625" customWidth="1"/>
    <col min="11" max="11" width="15.5703125" bestFit="1" customWidth="1"/>
    <col min="12" max="12" width="22.140625" bestFit="1" customWidth="1"/>
    <col min="13" max="13" width="11.140625" bestFit="1" customWidth="1"/>
    <col min="14" max="14" width="12" bestFit="1" customWidth="1"/>
    <col min="15" max="15" width="14.42578125" bestFit="1" customWidth="1"/>
    <col min="16" max="16" width="16.28515625" bestFit="1" customWidth="1"/>
    <col min="17" max="17" width="20.140625" bestFit="1" customWidth="1"/>
    <col min="18" max="18" width="12" bestFit="1" customWidth="1"/>
    <col min="19" max="19" width="16.85546875" bestFit="1" customWidth="1"/>
  </cols>
  <sheetData>
    <row r="1" spans="1:19" x14ac:dyDescent="0.25">
      <c r="A1" t="s">
        <v>0</v>
      </c>
      <c r="B1" t="s">
        <v>25</v>
      </c>
      <c r="C1" t="s">
        <v>1</v>
      </c>
      <c r="D1" t="s">
        <v>2</v>
      </c>
      <c r="E1" t="s">
        <v>3</v>
      </c>
      <c r="F1" t="s">
        <v>4</v>
      </c>
      <c r="G1" t="s">
        <v>5</v>
      </c>
      <c r="H1" t="s">
        <v>32</v>
      </c>
      <c r="I1" t="s">
        <v>6</v>
      </c>
      <c r="J1" t="s">
        <v>34</v>
      </c>
      <c r="K1" t="s">
        <v>7</v>
      </c>
      <c r="L1" t="s">
        <v>8</v>
      </c>
      <c r="M1" t="s">
        <v>9</v>
      </c>
      <c r="N1" t="s">
        <v>10</v>
      </c>
      <c r="O1" t="s">
        <v>11</v>
      </c>
      <c r="P1" t="s">
        <v>12</v>
      </c>
      <c r="Q1" t="s">
        <v>13</v>
      </c>
      <c r="R1" t="s">
        <v>14</v>
      </c>
      <c r="S1" t="s">
        <v>15</v>
      </c>
    </row>
    <row r="2" spans="1:19" x14ac:dyDescent="0.25">
      <c r="A2">
        <v>14</v>
      </c>
      <c r="B2" t="str">
        <f>IF(A2&lt;=15,"Young Teenager","Old Teenager")</f>
        <v>Young Teenager</v>
      </c>
      <c r="C2" t="s">
        <v>16</v>
      </c>
      <c r="D2">
        <v>7.9</v>
      </c>
      <c r="E2" t="s">
        <v>17</v>
      </c>
      <c r="F2">
        <v>7.4</v>
      </c>
      <c r="G2">
        <v>2.9</v>
      </c>
      <c r="H2">
        <f>SUM(D2,G2)</f>
        <v>10.8</v>
      </c>
      <c r="I2">
        <v>3.01</v>
      </c>
      <c r="J2" t="str">
        <f>IF(I2&lt;=2.49,"third class",IF(I2&lt;3,"Second class lower",IF(I2&lt;3.6,"Second class upper","first class")))</f>
        <v>Second class upper</v>
      </c>
      <c r="K2">
        <v>1.5</v>
      </c>
      <c r="L2" t="s">
        <v>18</v>
      </c>
      <c r="M2">
        <v>2</v>
      </c>
      <c r="N2">
        <v>2</v>
      </c>
      <c r="O2">
        <v>1</v>
      </c>
      <c r="P2">
        <v>0</v>
      </c>
      <c r="Q2">
        <f>SUM(M2:P2)</f>
        <v>5</v>
      </c>
      <c r="R2">
        <f>AVERAGE(Q2:Q1201)</f>
        <v>16.673333333333332</v>
      </c>
      <c r="S2" t="str">
        <f>IF(Q2&lt;10,"Mentally Sound",IF(Q2&gt;=20,"Mentally Unstable","Mentally Strained"))</f>
        <v>Mentally Sound</v>
      </c>
    </row>
    <row r="3" spans="1:19" x14ac:dyDescent="0.25">
      <c r="A3">
        <v>19</v>
      </c>
      <c r="B3" t="str">
        <f t="shared" ref="B3:B66" si="0">IF(A3&lt;=15,"Young Teenager","Old Teenager")</f>
        <v>Old Teenager</v>
      </c>
      <c r="C3" t="s">
        <v>19</v>
      </c>
      <c r="D3">
        <v>1.9</v>
      </c>
      <c r="E3" t="s">
        <v>20</v>
      </c>
      <c r="F3">
        <v>8</v>
      </c>
      <c r="G3">
        <v>2.9</v>
      </c>
      <c r="H3">
        <f t="shared" ref="H3:H66" si="1">SUM(D3,G3)</f>
        <v>4.8</v>
      </c>
      <c r="I3">
        <v>3.22</v>
      </c>
      <c r="J3" t="str">
        <f t="shared" ref="J3:J66" si="2">IF(I3&lt;=2.49,"third class",IF(I3&lt;3,"Second class lower",IF(I3&lt;3.6,"Second class upper","first class")))</f>
        <v>Second class upper</v>
      </c>
      <c r="K3">
        <v>0.8</v>
      </c>
      <c r="L3" t="s">
        <v>21</v>
      </c>
      <c r="M3">
        <v>8</v>
      </c>
      <c r="N3">
        <v>1</v>
      </c>
      <c r="O3">
        <v>10</v>
      </c>
      <c r="P3">
        <v>0</v>
      </c>
      <c r="Q3">
        <f t="shared" ref="Q3:Q66" si="3">SUM(M3:P3)</f>
        <v>19</v>
      </c>
      <c r="S3" t="str">
        <f t="shared" ref="S3:S66" si="4">IF(Q3&lt;10,"Mentally Sound",IF(Q3&gt;=20,"Mentally Unstable","Mentally Strained"))</f>
        <v>Mentally Strained</v>
      </c>
    </row>
    <row r="4" spans="1:19" x14ac:dyDescent="0.25">
      <c r="A4">
        <v>17</v>
      </c>
      <c r="B4" t="str">
        <f t="shared" si="0"/>
        <v>Old Teenager</v>
      </c>
      <c r="C4" t="s">
        <v>19</v>
      </c>
      <c r="D4">
        <v>1.3</v>
      </c>
      <c r="E4" t="s">
        <v>17</v>
      </c>
      <c r="F4">
        <v>7.6</v>
      </c>
      <c r="G4">
        <v>0.5</v>
      </c>
      <c r="H4">
        <f t="shared" si="1"/>
        <v>1.8</v>
      </c>
      <c r="I4">
        <v>3.92</v>
      </c>
      <c r="J4" t="str">
        <f t="shared" si="2"/>
        <v>first class</v>
      </c>
      <c r="K4">
        <v>0</v>
      </c>
      <c r="L4" t="s">
        <v>21</v>
      </c>
      <c r="M4">
        <v>2</v>
      </c>
      <c r="N4">
        <v>4</v>
      </c>
      <c r="O4">
        <v>2</v>
      </c>
      <c r="P4">
        <v>0</v>
      </c>
      <c r="Q4">
        <f t="shared" si="3"/>
        <v>8</v>
      </c>
      <c r="S4" t="str">
        <f t="shared" si="4"/>
        <v>Mentally Sound</v>
      </c>
    </row>
    <row r="5" spans="1:19" x14ac:dyDescent="0.25">
      <c r="A5">
        <v>15</v>
      </c>
      <c r="B5" t="str">
        <f t="shared" si="0"/>
        <v>Young Teenager</v>
      </c>
      <c r="C5" t="s">
        <v>16</v>
      </c>
      <c r="D5">
        <v>7.4</v>
      </c>
      <c r="E5" t="s">
        <v>20</v>
      </c>
      <c r="F5">
        <v>6.9</v>
      </c>
      <c r="G5">
        <v>1.6</v>
      </c>
      <c r="H5">
        <f t="shared" si="1"/>
        <v>9</v>
      </c>
      <c r="I5">
        <v>3.48</v>
      </c>
      <c r="J5" t="str">
        <f t="shared" si="2"/>
        <v>Second class upper</v>
      </c>
      <c r="K5">
        <v>0.8</v>
      </c>
      <c r="L5" t="s">
        <v>22</v>
      </c>
      <c r="M5">
        <v>1</v>
      </c>
      <c r="N5">
        <v>7</v>
      </c>
      <c r="O5">
        <v>9</v>
      </c>
      <c r="P5">
        <v>0</v>
      </c>
      <c r="Q5">
        <f t="shared" si="3"/>
        <v>17</v>
      </c>
      <c r="S5" t="str">
        <f t="shared" si="4"/>
        <v>Mentally Strained</v>
      </c>
    </row>
    <row r="6" spans="1:19" x14ac:dyDescent="0.25">
      <c r="A6">
        <v>15</v>
      </c>
      <c r="B6" t="str">
        <f t="shared" si="0"/>
        <v>Young Teenager</v>
      </c>
      <c r="C6" t="s">
        <v>19</v>
      </c>
      <c r="D6">
        <v>4.7</v>
      </c>
      <c r="E6" t="s">
        <v>23</v>
      </c>
      <c r="F6">
        <v>4.9000000000000004</v>
      </c>
      <c r="G6">
        <v>3</v>
      </c>
      <c r="H6">
        <f t="shared" si="1"/>
        <v>7.7</v>
      </c>
      <c r="I6">
        <v>2.37</v>
      </c>
      <c r="J6" t="str">
        <f t="shared" si="2"/>
        <v>third class</v>
      </c>
      <c r="K6">
        <v>1.4</v>
      </c>
      <c r="L6" t="s">
        <v>22</v>
      </c>
      <c r="M6">
        <v>3</v>
      </c>
      <c r="N6">
        <v>5</v>
      </c>
      <c r="O6">
        <v>2</v>
      </c>
      <c r="P6">
        <v>0</v>
      </c>
      <c r="Q6">
        <f t="shared" si="3"/>
        <v>10</v>
      </c>
      <c r="S6" t="str">
        <f t="shared" si="4"/>
        <v>Mentally Strained</v>
      </c>
    </row>
    <row r="7" spans="1:19" x14ac:dyDescent="0.25">
      <c r="A7">
        <v>19</v>
      </c>
      <c r="B7" t="str">
        <f t="shared" si="0"/>
        <v>Old Teenager</v>
      </c>
      <c r="C7" t="s">
        <v>19</v>
      </c>
      <c r="D7">
        <v>7.4</v>
      </c>
      <c r="E7" t="s">
        <v>23</v>
      </c>
      <c r="F7">
        <v>4.4000000000000004</v>
      </c>
      <c r="G7">
        <v>2.4</v>
      </c>
      <c r="H7">
        <f t="shared" si="1"/>
        <v>9.8000000000000007</v>
      </c>
      <c r="I7">
        <v>2.63</v>
      </c>
      <c r="J7" t="str">
        <f t="shared" si="2"/>
        <v>Second class lower</v>
      </c>
      <c r="K7">
        <v>0.6</v>
      </c>
      <c r="L7" t="s">
        <v>21</v>
      </c>
      <c r="M7">
        <v>3</v>
      </c>
      <c r="N7">
        <v>5</v>
      </c>
      <c r="O7">
        <v>7</v>
      </c>
      <c r="P7">
        <v>0</v>
      </c>
      <c r="Q7">
        <f t="shared" si="3"/>
        <v>15</v>
      </c>
      <c r="S7" t="str">
        <f t="shared" si="4"/>
        <v>Mentally Strained</v>
      </c>
    </row>
    <row r="8" spans="1:19" x14ac:dyDescent="0.25">
      <c r="A8">
        <v>18</v>
      </c>
      <c r="B8" t="str">
        <f t="shared" si="0"/>
        <v>Old Teenager</v>
      </c>
      <c r="C8" t="s">
        <v>19</v>
      </c>
      <c r="D8">
        <v>2.5</v>
      </c>
      <c r="E8" t="s">
        <v>17</v>
      </c>
      <c r="F8">
        <v>6.4</v>
      </c>
      <c r="G8">
        <v>2.4</v>
      </c>
      <c r="H8">
        <f t="shared" si="1"/>
        <v>4.9000000000000004</v>
      </c>
      <c r="I8">
        <v>2.63</v>
      </c>
      <c r="J8" t="str">
        <f t="shared" si="2"/>
        <v>Second class lower</v>
      </c>
      <c r="K8">
        <v>0.7</v>
      </c>
      <c r="L8" t="s">
        <v>18</v>
      </c>
      <c r="M8">
        <v>2</v>
      </c>
      <c r="N8">
        <v>2</v>
      </c>
      <c r="O8">
        <v>5</v>
      </c>
      <c r="P8">
        <v>0</v>
      </c>
      <c r="Q8">
        <f t="shared" si="3"/>
        <v>9</v>
      </c>
      <c r="S8" t="str">
        <f t="shared" si="4"/>
        <v>Mentally Sound</v>
      </c>
    </row>
    <row r="9" spans="1:19" x14ac:dyDescent="0.25">
      <c r="A9">
        <v>16</v>
      </c>
      <c r="B9" t="str">
        <f t="shared" si="0"/>
        <v>Old Teenager</v>
      </c>
      <c r="C9" t="s">
        <v>16</v>
      </c>
      <c r="D9">
        <v>4</v>
      </c>
      <c r="E9" t="s">
        <v>23</v>
      </c>
      <c r="F9">
        <v>4.2</v>
      </c>
      <c r="G9">
        <v>0.5</v>
      </c>
      <c r="H9">
        <f t="shared" si="1"/>
        <v>4.5</v>
      </c>
      <c r="I9">
        <v>2.4</v>
      </c>
      <c r="J9" t="str">
        <f t="shared" si="2"/>
        <v>third class</v>
      </c>
      <c r="K9">
        <v>1.3</v>
      </c>
      <c r="L9" t="s">
        <v>18</v>
      </c>
      <c r="M9">
        <v>6</v>
      </c>
      <c r="N9">
        <v>10</v>
      </c>
      <c r="O9">
        <v>5</v>
      </c>
      <c r="P9">
        <v>0</v>
      </c>
      <c r="Q9">
        <f t="shared" si="3"/>
        <v>21</v>
      </c>
      <c r="S9" t="str">
        <f t="shared" si="4"/>
        <v>Mentally Unstable</v>
      </c>
    </row>
    <row r="10" spans="1:19" x14ac:dyDescent="0.25">
      <c r="A10">
        <v>19</v>
      </c>
      <c r="B10" t="str">
        <f t="shared" si="0"/>
        <v>Old Teenager</v>
      </c>
      <c r="C10" t="s">
        <v>19</v>
      </c>
      <c r="D10">
        <v>3.3</v>
      </c>
      <c r="E10" t="s">
        <v>20</v>
      </c>
      <c r="F10">
        <v>5</v>
      </c>
      <c r="G10">
        <v>2.1</v>
      </c>
      <c r="H10">
        <f t="shared" si="1"/>
        <v>5.4</v>
      </c>
      <c r="I10">
        <v>2.04</v>
      </c>
      <c r="J10" t="str">
        <f t="shared" si="2"/>
        <v>third class</v>
      </c>
      <c r="K10">
        <v>0.9</v>
      </c>
      <c r="L10" t="s">
        <v>21</v>
      </c>
      <c r="M10">
        <v>1</v>
      </c>
      <c r="N10">
        <v>10</v>
      </c>
      <c r="O10">
        <v>9</v>
      </c>
      <c r="P10">
        <v>0</v>
      </c>
      <c r="Q10">
        <f t="shared" si="3"/>
        <v>20</v>
      </c>
      <c r="S10" t="str">
        <f t="shared" si="4"/>
        <v>Mentally Unstable</v>
      </c>
    </row>
    <row r="11" spans="1:19" x14ac:dyDescent="0.25">
      <c r="A11">
        <v>15</v>
      </c>
      <c r="B11" t="str">
        <f t="shared" si="0"/>
        <v>Young Teenager</v>
      </c>
      <c r="C11" t="s">
        <v>16</v>
      </c>
      <c r="D11">
        <v>1.9</v>
      </c>
      <c r="E11" t="s">
        <v>20</v>
      </c>
      <c r="F11">
        <v>4.9000000000000004</v>
      </c>
      <c r="G11">
        <v>1.5</v>
      </c>
      <c r="H11">
        <f t="shared" si="1"/>
        <v>3.4</v>
      </c>
      <c r="I11">
        <v>3.77</v>
      </c>
      <c r="J11" t="str">
        <f t="shared" si="2"/>
        <v>first class</v>
      </c>
      <c r="K11">
        <v>1.1000000000000001</v>
      </c>
      <c r="L11" t="s">
        <v>21</v>
      </c>
      <c r="M11">
        <v>1</v>
      </c>
      <c r="N11">
        <v>1</v>
      </c>
      <c r="O11">
        <v>4</v>
      </c>
      <c r="P11">
        <v>0</v>
      </c>
      <c r="Q11">
        <f t="shared" si="3"/>
        <v>6</v>
      </c>
      <c r="S11" t="str">
        <f t="shared" si="4"/>
        <v>Mentally Sound</v>
      </c>
    </row>
    <row r="12" spans="1:19" x14ac:dyDescent="0.25">
      <c r="A12">
        <v>16</v>
      </c>
      <c r="B12" t="str">
        <f t="shared" si="0"/>
        <v>Old Teenager</v>
      </c>
      <c r="C12" t="s">
        <v>16</v>
      </c>
      <c r="D12">
        <v>7.2</v>
      </c>
      <c r="E12" t="s">
        <v>23</v>
      </c>
      <c r="F12">
        <v>5.8</v>
      </c>
      <c r="G12">
        <v>2.9</v>
      </c>
      <c r="H12">
        <f t="shared" si="1"/>
        <v>10.1</v>
      </c>
      <c r="I12">
        <v>3.16</v>
      </c>
      <c r="J12" t="str">
        <f t="shared" si="2"/>
        <v>Second class upper</v>
      </c>
      <c r="K12">
        <v>1.2</v>
      </c>
      <c r="L12" t="s">
        <v>22</v>
      </c>
      <c r="M12">
        <v>5</v>
      </c>
      <c r="N12">
        <v>8</v>
      </c>
      <c r="O12">
        <v>9</v>
      </c>
      <c r="P12">
        <v>0</v>
      </c>
      <c r="Q12">
        <f t="shared" si="3"/>
        <v>22</v>
      </c>
      <c r="S12" t="str">
        <f t="shared" si="4"/>
        <v>Mentally Unstable</v>
      </c>
    </row>
    <row r="13" spans="1:19" x14ac:dyDescent="0.25">
      <c r="A13">
        <v>13</v>
      </c>
      <c r="B13" t="str">
        <f t="shared" si="0"/>
        <v>Young Teenager</v>
      </c>
      <c r="C13" t="s">
        <v>16</v>
      </c>
      <c r="D13">
        <v>4.9000000000000004</v>
      </c>
      <c r="E13" t="s">
        <v>17</v>
      </c>
      <c r="F13">
        <v>4.7</v>
      </c>
      <c r="G13">
        <v>2.5</v>
      </c>
      <c r="H13">
        <f t="shared" si="1"/>
        <v>7.4</v>
      </c>
      <c r="I13">
        <v>3.92</v>
      </c>
      <c r="J13" t="str">
        <f t="shared" si="2"/>
        <v>first class</v>
      </c>
      <c r="K13">
        <v>1.2</v>
      </c>
      <c r="L13" t="s">
        <v>18</v>
      </c>
      <c r="M13">
        <v>1</v>
      </c>
      <c r="N13">
        <v>10</v>
      </c>
      <c r="O13">
        <v>8</v>
      </c>
      <c r="P13">
        <v>0</v>
      </c>
      <c r="Q13">
        <f t="shared" si="3"/>
        <v>19</v>
      </c>
      <c r="S13" t="str">
        <f t="shared" si="4"/>
        <v>Mentally Strained</v>
      </c>
    </row>
    <row r="14" spans="1:19" x14ac:dyDescent="0.25">
      <c r="A14">
        <v>16</v>
      </c>
      <c r="B14" t="str">
        <f t="shared" si="0"/>
        <v>Old Teenager</v>
      </c>
      <c r="C14" t="s">
        <v>16</v>
      </c>
      <c r="D14">
        <v>6.2</v>
      </c>
      <c r="E14" t="s">
        <v>23</v>
      </c>
      <c r="F14">
        <v>7.2</v>
      </c>
      <c r="G14">
        <v>2.6</v>
      </c>
      <c r="H14">
        <f t="shared" si="1"/>
        <v>8.8000000000000007</v>
      </c>
      <c r="I14">
        <v>2.02</v>
      </c>
      <c r="J14" t="str">
        <f t="shared" si="2"/>
        <v>third class</v>
      </c>
      <c r="K14">
        <v>1.7</v>
      </c>
      <c r="L14" t="s">
        <v>22</v>
      </c>
      <c r="M14">
        <v>5</v>
      </c>
      <c r="N14">
        <v>7</v>
      </c>
      <c r="O14">
        <v>6</v>
      </c>
      <c r="P14">
        <v>0</v>
      </c>
      <c r="Q14">
        <f t="shared" si="3"/>
        <v>18</v>
      </c>
      <c r="S14" t="str">
        <f t="shared" si="4"/>
        <v>Mentally Strained</v>
      </c>
    </row>
    <row r="15" spans="1:19" x14ac:dyDescent="0.25">
      <c r="A15">
        <v>17</v>
      </c>
      <c r="B15" t="str">
        <f t="shared" si="0"/>
        <v>Old Teenager</v>
      </c>
      <c r="C15" t="s">
        <v>19</v>
      </c>
      <c r="D15">
        <v>6.8</v>
      </c>
      <c r="E15" t="s">
        <v>20</v>
      </c>
      <c r="F15">
        <v>5.7</v>
      </c>
      <c r="G15">
        <v>1.1000000000000001</v>
      </c>
      <c r="H15">
        <f t="shared" si="1"/>
        <v>7.9</v>
      </c>
      <c r="I15">
        <v>3.29</v>
      </c>
      <c r="J15" t="str">
        <f t="shared" si="2"/>
        <v>Second class upper</v>
      </c>
      <c r="K15">
        <v>1.3</v>
      </c>
      <c r="L15" t="s">
        <v>22</v>
      </c>
      <c r="M15">
        <v>1</v>
      </c>
      <c r="N15">
        <v>10</v>
      </c>
      <c r="O15">
        <v>10</v>
      </c>
      <c r="P15">
        <v>0</v>
      </c>
      <c r="Q15">
        <f t="shared" si="3"/>
        <v>21</v>
      </c>
      <c r="S15" t="str">
        <f t="shared" si="4"/>
        <v>Mentally Unstable</v>
      </c>
    </row>
    <row r="16" spans="1:19" x14ac:dyDescent="0.25">
      <c r="A16">
        <v>15</v>
      </c>
      <c r="B16" t="str">
        <f t="shared" si="0"/>
        <v>Young Teenager</v>
      </c>
      <c r="C16" t="s">
        <v>16</v>
      </c>
      <c r="D16">
        <v>5.7</v>
      </c>
      <c r="E16" t="s">
        <v>20</v>
      </c>
      <c r="F16">
        <v>5.9</v>
      </c>
      <c r="G16">
        <v>0.8</v>
      </c>
      <c r="H16">
        <f t="shared" si="1"/>
        <v>6.5</v>
      </c>
      <c r="I16">
        <v>3.5</v>
      </c>
      <c r="J16" t="str">
        <f t="shared" si="2"/>
        <v>Second class upper</v>
      </c>
      <c r="K16">
        <v>0.7</v>
      </c>
      <c r="L16" t="s">
        <v>18</v>
      </c>
      <c r="M16">
        <v>1</v>
      </c>
      <c r="N16">
        <v>9</v>
      </c>
      <c r="O16">
        <v>1</v>
      </c>
      <c r="P16">
        <v>0</v>
      </c>
      <c r="Q16">
        <f t="shared" si="3"/>
        <v>11</v>
      </c>
      <c r="S16" t="str">
        <f t="shared" si="4"/>
        <v>Mentally Strained</v>
      </c>
    </row>
    <row r="17" spans="1:19" x14ac:dyDescent="0.25">
      <c r="A17">
        <v>14</v>
      </c>
      <c r="B17" t="str">
        <f t="shared" si="0"/>
        <v>Young Teenager</v>
      </c>
      <c r="C17" t="s">
        <v>19</v>
      </c>
      <c r="D17">
        <v>3.6</v>
      </c>
      <c r="E17" t="s">
        <v>23</v>
      </c>
      <c r="F17">
        <v>5.3</v>
      </c>
      <c r="G17">
        <v>0.6</v>
      </c>
      <c r="H17">
        <f t="shared" si="1"/>
        <v>4.2</v>
      </c>
      <c r="I17">
        <v>2.99</v>
      </c>
      <c r="J17" t="str">
        <f t="shared" si="2"/>
        <v>Second class lower</v>
      </c>
      <c r="K17">
        <v>0.3</v>
      </c>
      <c r="L17" t="s">
        <v>21</v>
      </c>
      <c r="M17">
        <v>4</v>
      </c>
      <c r="N17">
        <v>10</v>
      </c>
      <c r="O17">
        <v>2</v>
      </c>
      <c r="P17">
        <v>0</v>
      </c>
      <c r="Q17">
        <f t="shared" si="3"/>
        <v>16</v>
      </c>
      <c r="S17" t="str">
        <f t="shared" si="4"/>
        <v>Mentally Strained</v>
      </c>
    </row>
    <row r="18" spans="1:19" x14ac:dyDescent="0.25">
      <c r="A18">
        <v>13</v>
      </c>
      <c r="B18" t="str">
        <f t="shared" si="0"/>
        <v>Young Teenager</v>
      </c>
      <c r="C18" t="s">
        <v>16</v>
      </c>
      <c r="D18">
        <v>1.5</v>
      </c>
      <c r="E18" t="s">
        <v>23</v>
      </c>
      <c r="F18">
        <v>4.2</v>
      </c>
      <c r="G18">
        <v>1.4</v>
      </c>
      <c r="H18">
        <f t="shared" si="1"/>
        <v>2.9</v>
      </c>
      <c r="I18">
        <v>2.59</v>
      </c>
      <c r="J18" t="str">
        <f t="shared" si="2"/>
        <v>Second class lower</v>
      </c>
      <c r="K18">
        <v>0.5</v>
      </c>
      <c r="L18" t="s">
        <v>21</v>
      </c>
      <c r="M18">
        <v>4</v>
      </c>
      <c r="N18">
        <v>5</v>
      </c>
      <c r="O18">
        <v>8</v>
      </c>
      <c r="P18">
        <v>0</v>
      </c>
      <c r="Q18">
        <f t="shared" si="3"/>
        <v>17</v>
      </c>
      <c r="S18" t="str">
        <f t="shared" si="4"/>
        <v>Mentally Strained</v>
      </c>
    </row>
    <row r="19" spans="1:19" x14ac:dyDescent="0.25">
      <c r="A19">
        <v>16</v>
      </c>
      <c r="B19" t="str">
        <f t="shared" si="0"/>
        <v>Old Teenager</v>
      </c>
      <c r="C19" t="s">
        <v>16</v>
      </c>
      <c r="D19">
        <v>3.1</v>
      </c>
      <c r="E19" t="s">
        <v>23</v>
      </c>
      <c r="F19">
        <v>6.1</v>
      </c>
      <c r="G19">
        <v>0.8</v>
      </c>
      <c r="H19">
        <f t="shared" si="1"/>
        <v>3.9000000000000004</v>
      </c>
      <c r="I19">
        <v>2.11</v>
      </c>
      <c r="J19" t="str">
        <f t="shared" si="2"/>
        <v>third class</v>
      </c>
      <c r="K19">
        <v>1.9</v>
      </c>
      <c r="L19" t="s">
        <v>21</v>
      </c>
      <c r="M19">
        <v>10</v>
      </c>
      <c r="N19">
        <v>7</v>
      </c>
      <c r="O19">
        <v>10</v>
      </c>
      <c r="P19">
        <v>0</v>
      </c>
      <c r="Q19">
        <f t="shared" si="3"/>
        <v>27</v>
      </c>
      <c r="S19" t="str">
        <f t="shared" si="4"/>
        <v>Mentally Unstable</v>
      </c>
    </row>
    <row r="20" spans="1:19" x14ac:dyDescent="0.25">
      <c r="A20">
        <v>16</v>
      </c>
      <c r="B20" t="str">
        <f t="shared" si="0"/>
        <v>Old Teenager</v>
      </c>
      <c r="C20" t="s">
        <v>19</v>
      </c>
      <c r="D20">
        <v>6.7</v>
      </c>
      <c r="E20" t="s">
        <v>23</v>
      </c>
      <c r="F20">
        <v>6.8</v>
      </c>
      <c r="G20">
        <v>1.9</v>
      </c>
      <c r="H20">
        <f t="shared" si="1"/>
        <v>8.6</v>
      </c>
      <c r="I20">
        <v>3.08</v>
      </c>
      <c r="J20" t="str">
        <f t="shared" si="2"/>
        <v>Second class upper</v>
      </c>
      <c r="K20">
        <v>1.4</v>
      </c>
      <c r="L20" t="s">
        <v>21</v>
      </c>
      <c r="M20">
        <v>10</v>
      </c>
      <c r="N20">
        <v>9</v>
      </c>
      <c r="O20">
        <v>1</v>
      </c>
      <c r="P20">
        <v>0</v>
      </c>
      <c r="Q20">
        <f t="shared" si="3"/>
        <v>20</v>
      </c>
      <c r="S20" t="str">
        <f t="shared" si="4"/>
        <v>Mentally Unstable</v>
      </c>
    </row>
    <row r="21" spans="1:19" x14ac:dyDescent="0.25">
      <c r="A21">
        <v>14</v>
      </c>
      <c r="B21" t="str">
        <f t="shared" si="0"/>
        <v>Young Teenager</v>
      </c>
      <c r="C21" t="s">
        <v>19</v>
      </c>
      <c r="D21">
        <v>1.2</v>
      </c>
      <c r="E21" t="s">
        <v>17</v>
      </c>
      <c r="F21">
        <v>7.6</v>
      </c>
      <c r="G21">
        <v>1</v>
      </c>
      <c r="H21">
        <f t="shared" si="1"/>
        <v>2.2000000000000002</v>
      </c>
      <c r="I21">
        <v>3.85</v>
      </c>
      <c r="J21" t="str">
        <f t="shared" si="2"/>
        <v>first class</v>
      </c>
      <c r="K21">
        <v>0.8</v>
      </c>
      <c r="L21" t="s">
        <v>21</v>
      </c>
      <c r="M21">
        <v>8</v>
      </c>
      <c r="N21">
        <v>4</v>
      </c>
      <c r="O21">
        <v>6</v>
      </c>
      <c r="P21">
        <v>0</v>
      </c>
      <c r="Q21">
        <f t="shared" si="3"/>
        <v>18</v>
      </c>
      <c r="S21" t="str">
        <f t="shared" si="4"/>
        <v>Mentally Strained</v>
      </c>
    </row>
    <row r="22" spans="1:19" x14ac:dyDescent="0.25">
      <c r="A22">
        <v>16</v>
      </c>
      <c r="B22" t="str">
        <f t="shared" si="0"/>
        <v>Old Teenager</v>
      </c>
      <c r="C22" t="s">
        <v>16</v>
      </c>
      <c r="D22">
        <v>3.4</v>
      </c>
      <c r="E22" t="s">
        <v>20</v>
      </c>
      <c r="F22">
        <v>4.5999999999999996</v>
      </c>
      <c r="G22">
        <v>2.1</v>
      </c>
      <c r="H22">
        <f t="shared" si="1"/>
        <v>5.5</v>
      </c>
      <c r="I22">
        <v>2.2400000000000002</v>
      </c>
      <c r="J22" t="str">
        <f t="shared" si="2"/>
        <v>third class</v>
      </c>
      <c r="K22">
        <v>0.4</v>
      </c>
      <c r="L22" t="s">
        <v>21</v>
      </c>
      <c r="M22">
        <v>4</v>
      </c>
      <c r="N22">
        <v>1</v>
      </c>
      <c r="O22">
        <v>3</v>
      </c>
      <c r="P22">
        <v>0</v>
      </c>
      <c r="Q22">
        <f t="shared" si="3"/>
        <v>8</v>
      </c>
      <c r="S22" t="str">
        <f t="shared" si="4"/>
        <v>Mentally Sound</v>
      </c>
    </row>
    <row r="23" spans="1:19" x14ac:dyDescent="0.25">
      <c r="A23">
        <v>18</v>
      </c>
      <c r="B23" t="str">
        <f t="shared" si="0"/>
        <v>Old Teenager</v>
      </c>
      <c r="C23" t="s">
        <v>16</v>
      </c>
      <c r="D23">
        <v>4.0999999999999996</v>
      </c>
      <c r="E23" t="s">
        <v>23</v>
      </c>
      <c r="F23">
        <v>7.4</v>
      </c>
      <c r="G23">
        <v>2.4</v>
      </c>
      <c r="H23">
        <f t="shared" si="1"/>
        <v>6.5</v>
      </c>
      <c r="I23">
        <v>2.38</v>
      </c>
      <c r="J23" t="str">
        <f t="shared" si="2"/>
        <v>third class</v>
      </c>
      <c r="K23">
        <v>1.5</v>
      </c>
      <c r="L23" t="s">
        <v>22</v>
      </c>
      <c r="M23">
        <v>8</v>
      </c>
      <c r="N23">
        <v>4</v>
      </c>
      <c r="O23">
        <v>9</v>
      </c>
      <c r="P23">
        <v>0</v>
      </c>
      <c r="Q23">
        <f t="shared" si="3"/>
        <v>21</v>
      </c>
      <c r="S23" t="str">
        <f t="shared" si="4"/>
        <v>Mentally Unstable</v>
      </c>
    </row>
    <row r="24" spans="1:19" x14ac:dyDescent="0.25">
      <c r="A24">
        <v>18</v>
      </c>
      <c r="B24" t="str">
        <f t="shared" si="0"/>
        <v>Old Teenager</v>
      </c>
      <c r="C24" t="s">
        <v>16</v>
      </c>
      <c r="D24">
        <v>5.3</v>
      </c>
      <c r="E24" t="s">
        <v>17</v>
      </c>
      <c r="F24">
        <v>4.9000000000000004</v>
      </c>
      <c r="G24">
        <v>1.2</v>
      </c>
      <c r="H24">
        <f t="shared" si="1"/>
        <v>6.5</v>
      </c>
      <c r="I24">
        <v>3.69</v>
      </c>
      <c r="J24" t="str">
        <f t="shared" si="2"/>
        <v>first class</v>
      </c>
      <c r="K24">
        <v>1.2</v>
      </c>
      <c r="L24" t="s">
        <v>18</v>
      </c>
      <c r="M24">
        <v>5</v>
      </c>
      <c r="N24">
        <v>4</v>
      </c>
      <c r="O24">
        <v>5</v>
      </c>
      <c r="P24">
        <v>0</v>
      </c>
      <c r="Q24">
        <f t="shared" si="3"/>
        <v>14</v>
      </c>
      <c r="S24" t="str">
        <f t="shared" si="4"/>
        <v>Mentally Strained</v>
      </c>
    </row>
    <row r="25" spans="1:19" x14ac:dyDescent="0.25">
      <c r="A25">
        <v>18</v>
      </c>
      <c r="B25" t="str">
        <f t="shared" si="0"/>
        <v>Old Teenager</v>
      </c>
      <c r="C25" t="s">
        <v>19</v>
      </c>
      <c r="D25">
        <v>2.2999999999999998</v>
      </c>
      <c r="E25" t="s">
        <v>20</v>
      </c>
      <c r="F25">
        <v>7.6</v>
      </c>
      <c r="G25">
        <v>0.5</v>
      </c>
      <c r="H25">
        <f t="shared" si="1"/>
        <v>2.8</v>
      </c>
      <c r="I25">
        <v>2.96</v>
      </c>
      <c r="J25" t="str">
        <f t="shared" si="2"/>
        <v>Second class lower</v>
      </c>
      <c r="K25">
        <v>1.7</v>
      </c>
      <c r="L25" t="s">
        <v>22</v>
      </c>
      <c r="M25">
        <v>9</v>
      </c>
      <c r="N25">
        <v>8</v>
      </c>
      <c r="O25">
        <v>7</v>
      </c>
      <c r="P25">
        <v>0</v>
      </c>
      <c r="Q25">
        <f t="shared" si="3"/>
        <v>24</v>
      </c>
      <c r="S25" t="str">
        <f t="shared" si="4"/>
        <v>Mentally Unstable</v>
      </c>
    </row>
    <row r="26" spans="1:19" x14ac:dyDescent="0.25">
      <c r="A26">
        <v>18</v>
      </c>
      <c r="B26" t="str">
        <f t="shared" si="0"/>
        <v>Old Teenager</v>
      </c>
      <c r="C26" t="s">
        <v>19</v>
      </c>
      <c r="D26">
        <v>2.4</v>
      </c>
      <c r="E26" t="s">
        <v>23</v>
      </c>
      <c r="F26">
        <v>6.7</v>
      </c>
      <c r="G26">
        <v>1.9</v>
      </c>
      <c r="H26">
        <f t="shared" si="1"/>
        <v>4.3</v>
      </c>
      <c r="I26">
        <v>2.5299999999999998</v>
      </c>
      <c r="J26" t="str">
        <f t="shared" si="2"/>
        <v>Second class lower</v>
      </c>
      <c r="K26">
        <v>0.4</v>
      </c>
      <c r="L26" t="s">
        <v>21</v>
      </c>
      <c r="M26">
        <v>8</v>
      </c>
      <c r="N26">
        <v>8</v>
      </c>
      <c r="O26">
        <v>2</v>
      </c>
      <c r="P26">
        <v>0</v>
      </c>
      <c r="Q26">
        <f t="shared" si="3"/>
        <v>18</v>
      </c>
      <c r="S26" t="str">
        <f t="shared" si="4"/>
        <v>Mentally Strained</v>
      </c>
    </row>
    <row r="27" spans="1:19" x14ac:dyDescent="0.25">
      <c r="A27">
        <v>13</v>
      </c>
      <c r="B27" t="str">
        <f t="shared" si="0"/>
        <v>Young Teenager</v>
      </c>
      <c r="C27" t="s">
        <v>19</v>
      </c>
      <c r="D27">
        <v>1.5</v>
      </c>
      <c r="E27" t="s">
        <v>23</v>
      </c>
      <c r="F27">
        <v>7.2</v>
      </c>
      <c r="G27">
        <v>2.5</v>
      </c>
      <c r="H27">
        <f t="shared" si="1"/>
        <v>4</v>
      </c>
      <c r="I27">
        <v>2.15</v>
      </c>
      <c r="J27" t="str">
        <f t="shared" si="2"/>
        <v>third class</v>
      </c>
      <c r="K27">
        <v>1.3</v>
      </c>
      <c r="L27" t="s">
        <v>22</v>
      </c>
      <c r="M27">
        <v>4</v>
      </c>
      <c r="N27">
        <v>6</v>
      </c>
      <c r="O27">
        <v>2</v>
      </c>
      <c r="P27">
        <v>0</v>
      </c>
      <c r="Q27">
        <f t="shared" si="3"/>
        <v>12</v>
      </c>
      <c r="S27" t="str">
        <f t="shared" si="4"/>
        <v>Mentally Strained</v>
      </c>
    </row>
    <row r="28" spans="1:19" x14ac:dyDescent="0.25">
      <c r="A28">
        <v>14</v>
      </c>
      <c r="B28" t="str">
        <f t="shared" si="0"/>
        <v>Young Teenager</v>
      </c>
      <c r="C28" t="s">
        <v>19</v>
      </c>
      <c r="D28">
        <v>5.7</v>
      </c>
      <c r="E28" t="s">
        <v>23</v>
      </c>
      <c r="F28">
        <v>8.6999999999999993</v>
      </c>
      <c r="G28">
        <v>0.6</v>
      </c>
      <c r="H28">
        <f t="shared" si="1"/>
        <v>6.3</v>
      </c>
      <c r="I28">
        <v>2.64</v>
      </c>
      <c r="J28" t="str">
        <f t="shared" si="2"/>
        <v>Second class lower</v>
      </c>
      <c r="K28">
        <v>0.1</v>
      </c>
      <c r="L28" t="s">
        <v>18</v>
      </c>
      <c r="M28">
        <v>8</v>
      </c>
      <c r="N28">
        <v>9</v>
      </c>
      <c r="O28">
        <v>4</v>
      </c>
      <c r="P28">
        <v>0</v>
      </c>
      <c r="Q28">
        <f t="shared" si="3"/>
        <v>21</v>
      </c>
      <c r="S28" t="str">
        <f t="shared" si="4"/>
        <v>Mentally Unstable</v>
      </c>
    </row>
    <row r="29" spans="1:19" x14ac:dyDescent="0.25">
      <c r="A29">
        <v>19</v>
      </c>
      <c r="B29" t="str">
        <f t="shared" si="0"/>
        <v>Old Teenager</v>
      </c>
      <c r="C29" t="s">
        <v>16</v>
      </c>
      <c r="D29">
        <v>2</v>
      </c>
      <c r="E29" t="s">
        <v>20</v>
      </c>
      <c r="F29">
        <v>7.1</v>
      </c>
      <c r="G29">
        <v>0.9</v>
      </c>
      <c r="H29">
        <f t="shared" si="1"/>
        <v>2.9</v>
      </c>
      <c r="I29">
        <v>3.26</v>
      </c>
      <c r="J29" t="str">
        <f t="shared" si="2"/>
        <v>Second class upper</v>
      </c>
      <c r="K29">
        <v>1.6</v>
      </c>
      <c r="L29" t="s">
        <v>21</v>
      </c>
      <c r="M29">
        <v>7</v>
      </c>
      <c r="N29">
        <v>5</v>
      </c>
      <c r="O29">
        <v>9</v>
      </c>
      <c r="P29">
        <v>0</v>
      </c>
      <c r="Q29">
        <f t="shared" si="3"/>
        <v>21</v>
      </c>
      <c r="S29" t="str">
        <f t="shared" si="4"/>
        <v>Mentally Unstable</v>
      </c>
    </row>
    <row r="30" spans="1:19" x14ac:dyDescent="0.25">
      <c r="A30">
        <v>14</v>
      </c>
      <c r="B30" t="str">
        <f t="shared" si="0"/>
        <v>Young Teenager</v>
      </c>
      <c r="C30" t="s">
        <v>16</v>
      </c>
      <c r="D30">
        <v>2.5</v>
      </c>
      <c r="E30" t="s">
        <v>20</v>
      </c>
      <c r="F30">
        <v>5.6</v>
      </c>
      <c r="G30">
        <v>2.9</v>
      </c>
      <c r="H30">
        <f t="shared" si="1"/>
        <v>5.4</v>
      </c>
      <c r="I30">
        <v>2.2400000000000002</v>
      </c>
      <c r="J30" t="str">
        <f t="shared" si="2"/>
        <v>third class</v>
      </c>
      <c r="K30">
        <v>0.5</v>
      </c>
      <c r="L30" t="s">
        <v>18</v>
      </c>
      <c r="M30">
        <v>3</v>
      </c>
      <c r="N30">
        <v>9</v>
      </c>
      <c r="O30">
        <v>5</v>
      </c>
      <c r="P30">
        <v>0</v>
      </c>
      <c r="Q30">
        <f t="shared" si="3"/>
        <v>17</v>
      </c>
      <c r="S30" t="str">
        <f t="shared" si="4"/>
        <v>Mentally Strained</v>
      </c>
    </row>
    <row r="31" spans="1:19" x14ac:dyDescent="0.25">
      <c r="A31">
        <v>16</v>
      </c>
      <c r="B31" t="str">
        <f t="shared" si="0"/>
        <v>Old Teenager</v>
      </c>
      <c r="C31" t="s">
        <v>19</v>
      </c>
      <c r="D31">
        <v>3.4</v>
      </c>
      <c r="E31" t="s">
        <v>20</v>
      </c>
      <c r="F31">
        <v>7.8</v>
      </c>
      <c r="G31">
        <v>2.8</v>
      </c>
      <c r="H31">
        <f t="shared" si="1"/>
        <v>6.1999999999999993</v>
      </c>
      <c r="I31">
        <v>3.83</v>
      </c>
      <c r="J31" t="str">
        <f t="shared" si="2"/>
        <v>first class</v>
      </c>
      <c r="K31">
        <v>1.8</v>
      </c>
      <c r="L31" t="s">
        <v>22</v>
      </c>
      <c r="M31">
        <v>6</v>
      </c>
      <c r="N31">
        <v>6</v>
      </c>
      <c r="O31">
        <v>4</v>
      </c>
      <c r="P31">
        <v>0</v>
      </c>
      <c r="Q31">
        <f t="shared" si="3"/>
        <v>16</v>
      </c>
      <c r="S31" t="str">
        <f t="shared" si="4"/>
        <v>Mentally Strained</v>
      </c>
    </row>
    <row r="32" spans="1:19" x14ac:dyDescent="0.25">
      <c r="A32">
        <v>13</v>
      </c>
      <c r="B32" t="str">
        <f t="shared" si="0"/>
        <v>Young Teenager</v>
      </c>
      <c r="C32" t="s">
        <v>16</v>
      </c>
      <c r="D32">
        <v>6.6</v>
      </c>
      <c r="E32" t="s">
        <v>20</v>
      </c>
      <c r="F32">
        <v>5.7</v>
      </c>
      <c r="G32">
        <v>2.5</v>
      </c>
      <c r="H32">
        <f t="shared" si="1"/>
        <v>9.1</v>
      </c>
      <c r="I32">
        <v>2.67</v>
      </c>
      <c r="J32" t="str">
        <f t="shared" si="2"/>
        <v>Second class lower</v>
      </c>
      <c r="K32">
        <v>1.1000000000000001</v>
      </c>
      <c r="L32" t="s">
        <v>18</v>
      </c>
      <c r="M32">
        <v>2</v>
      </c>
      <c r="N32">
        <v>1</v>
      </c>
      <c r="O32">
        <v>10</v>
      </c>
      <c r="P32">
        <v>0</v>
      </c>
      <c r="Q32">
        <f t="shared" si="3"/>
        <v>13</v>
      </c>
      <c r="S32" t="str">
        <f t="shared" si="4"/>
        <v>Mentally Strained</v>
      </c>
    </row>
    <row r="33" spans="1:19" x14ac:dyDescent="0.25">
      <c r="A33">
        <v>13</v>
      </c>
      <c r="B33" t="str">
        <f t="shared" si="0"/>
        <v>Young Teenager</v>
      </c>
      <c r="C33" t="s">
        <v>19</v>
      </c>
      <c r="D33">
        <v>1.6</v>
      </c>
      <c r="E33" t="s">
        <v>17</v>
      </c>
      <c r="F33">
        <v>8.6999999999999993</v>
      </c>
      <c r="G33">
        <v>2.5</v>
      </c>
      <c r="H33">
        <f t="shared" si="1"/>
        <v>4.0999999999999996</v>
      </c>
      <c r="I33">
        <v>3.69</v>
      </c>
      <c r="J33" t="str">
        <f t="shared" si="2"/>
        <v>first class</v>
      </c>
      <c r="K33">
        <v>0.4</v>
      </c>
      <c r="L33" t="s">
        <v>21</v>
      </c>
      <c r="M33">
        <v>8</v>
      </c>
      <c r="N33">
        <v>2</v>
      </c>
      <c r="O33">
        <v>9</v>
      </c>
      <c r="P33">
        <v>0</v>
      </c>
      <c r="Q33">
        <f t="shared" si="3"/>
        <v>19</v>
      </c>
      <c r="S33" t="str">
        <f t="shared" si="4"/>
        <v>Mentally Strained</v>
      </c>
    </row>
    <row r="34" spans="1:19" x14ac:dyDescent="0.25">
      <c r="A34">
        <v>16</v>
      </c>
      <c r="B34" t="str">
        <f t="shared" si="0"/>
        <v>Old Teenager</v>
      </c>
      <c r="C34" t="s">
        <v>16</v>
      </c>
      <c r="D34">
        <v>2.7</v>
      </c>
      <c r="E34" t="s">
        <v>17</v>
      </c>
      <c r="F34">
        <v>4.2</v>
      </c>
      <c r="G34">
        <v>2.4</v>
      </c>
      <c r="H34">
        <f t="shared" si="1"/>
        <v>5.0999999999999996</v>
      </c>
      <c r="I34">
        <v>3.05</v>
      </c>
      <c r="J34" t="str">
        <f t="shared" si="2"/>
        <v>Second class upper</v>
      </c>
      <c r="K34">
        <v>0.2</v>
      </c>
      <c r="L34" t="s">
        <v>21</v>
      </c>
      <c r="M34">
        <v>1</v>
      </c>
      <c r="N34">
        <v>8</v>
      </c>
      <c r="O34">
        <v>4</v>
      </c>
      <c r="P34">
        <v>0</v>
      </c>
      <c r="Q34">
        <f t="shared" si="3"/>
        <v>13</v>
      </c>
      <c r="S34" t="str">
        <f t="shared" si="4"/>
        <v>Mentally Strained</v>
      </c>
    </row>
    <row r="35" spans="1:19" x14ac:dyDescent="0.25">
      <c r="A35">
        <v>14</v>
      </c>
      <c r="B35" t="str">
        <f t="shared" si="0"/>
        <v>Young Teenager</v>
      </c>
      <c r="C35" t="s">
        <v>16</v>
      </c>
      <c r="D35">
        <v>4.0999999999999996</v>
      </c>
      <c r="E35" t="s">
        <v>20</v>
      </c>
      <c r="F35">
        <v>8</v>
      </c>
      <c r="G35">
        <v>3</v>
      </c>
      <c r="H35">
        <f t="shared" si="1"/>
        <v>7.1</v>
      </c>
      <c r="I35">
        <v>2.31</v>
      </c>
      <c r="J35" t="str">
        <f t="shared" si="2"/>
        <v>third class</v>
      </c>
      <c r="K35">
        <v>0.8</v>
      </c>
      <c r="L35" t="s">
        <v>18</v>
      </c>
      <c r="M35">
        <v>8</v>
      </c>
      <c r="N35">
        <v>4</v>
      </c>
      <c r="O35">
        <v>1</v>
      </c>
      <c r="P35">
        <v>0</v>
      </c>
      <c r="Q35">
        <f t="shared" si="3"/>
        <v>13</v>
      </c>
      <c r="S35" t="str">
        <f t="shared" si="4"/>
        <v>Mentally Strained</v>
      </c>
    </row>
    <row r="36" spans="1:19" x14ac:dyDescent="0.25">
      <c r="A36">
        <v>13</v>
      </c>
      <c r="B36" t="str">
        <f t="shared" si="0"/>
        <v>Young Teenager</v>
      </c>
      <c r="C36" t="s">
        <v>19</v>
      </c>
      <c r="D36">
        <v>6.6</v>
      </c>
      <c r="E36" t="s">
        <v>20</v>
      </c>
      <c r="F36">
        <v>7.3</v>
      </c>
      <c r="G36">
        <v>1.6</v>
      </c>
      <c r="H36">
        <f t="shared" si="1"/>
        <v>8.1999999999999993</v>
      </c>
      <c r="I36">
        <v>3.27</v>
      </c>
      <c r="J36" t="str">
        <f t="shared" si="2"/>
        <v>Second class upper</v>
      </c>
      <c r="K36">
        <v>0.1</v>
      </c>
      <c r="L36" t="s">
        <v>22</v>
      </c>
      <c r="M36">
        <v>10</v>
      </c>
      <c r="N36">
        <v>2</v>
      </c>
      <c r="O36">
        <v>1</v>
      </c>
      <c r="P36">
        <v>0</v>
      </c>
      <c r="Q36">
        <f t="shared" si="3"/>
        <v>13</v>
      </c>
      <c r="S36" t="str">
        <f t="shared" si="4"/>
        <v>Mentally Strained</v>
      </c>
    </row>
    <row r="37" spans="1:19" x14ac:dyDescent="0.25">
      <c r="A37">
        <v>17</v>
      </c>
      <c r="B37" t="str">
        <f t="shared" si="0"/>
        <v>Old Teenager</v>
      </c>
      <c r="C37" t="s">
        <v>19</v>
      </c>
      <c r="D37">
        <v>5</v>
      </c>
      <c r="E37" t="s">
        <v>23</v>
      </c>
      <c r="F37">
        <v>4.9000000000000004</v>
      </c>
      <c r="G37">
        <v>2.1</v>
      </c>
      <c r="H37">
        <f t="shared" si="1"/>
        <v>7.1</v>
      </c>
      <c r="I37">
        <v>2.0099999999999998</v>
      </c>
      <c r="J37" t="str">
        <f t="shared" si="2"/>
        <v>third class</v>
      </c>
      <c r="K37">
        <v>1</v>
      </c>
      <c r="L37" t="s">
        <v>18</v>
      </c>
      <c r="M37">
        <v>9</v>
      </c>
      <c r="N37">
        <v>4</v>
      </c>
      <c r="O37">
        <v>9</v>
      </c>
      <c r="P37">
        <v>0</v>
      </c>
      <c r="Q37">
        <f t="shared" si="3"/>
        <v>22</v>
      </c>
      <c r="S37" t="str">
        <f t="shared" si="4"/>
        <v>Mentally Unstable</v>
      </c>
    </row>
    <row r="38" spans="1:19" x14ac:dyDescent="0.25">
      <c r="A38">
        <v>19</v>
      </c>
      <c r="B38" t="str">
        <f t="shared" si="0"/>
        <v>Old Teenager</v>
      </c>
      <c r="C38" t="s">
        <v>19</v>
      </c>
      <c r="D38">
        <v>4.5999999999999996</v>
      </c>
      <c r="E38" t="s">
        <v>17</v>
      </c>
      <c r="F38">
        <v>5.5</v>
      </c>
      <c r="G38">
        <v>2.5</v>
      </c>
      <c r="H38">
        <f t="shared" si="1"/>
        <v>7.1</v>
      </c>
      <c r="I38">
        <v>3.96</v>
      </c>
      <c r="J38" t="str">
        <f t="shared" si="2"/>
        <v>first class</v>
      </c>
      <c r="K38">
        <v>0.8</v>
      </c>
      <c r="L38" t="s">
        <v>21</v>
      </c>
      <c r="M38">
        <v>3</v>
      </c>
      <c r="N38">
        <v>10</v>
      </c>
      <c r="O38">
        <v>7</v>
      </c>
      <c r="P38">
        <v>0</v>
      </c>
      <c r="Q38">
        <f t="shared" si="3"/>
        <v>20</v>
      </c>
      <c r="S38" t="str">
        <f t="shared" si="4"/>
        <v>Mentally Unstable</v>
      </c>
    </row>
    <row r="39" spans="1:19" x14ac:dyDescent="0.25">
      <c r="A39">
        <v>17</v>
      </c>
      <c r="B39" t="str">
        <f t="shared" si="0"/>
        <v>Old Teenager</v>
      </c>
      <c r="C39" t="s">
        <v>19</v>
      </c>
      <c r="D39">
        <v>4.8</v>
      </c>
      <c r="E39" t="s">
        <v>17</v>
      </c>
      <c r="F39">
        <v>4.4000000000000004</v>
      </c>
      <c r="G39">
        <v>1.3</v>
      </c>
      <c r="H39">
        <f t="shared" si="1"/>
        <v>6.1</v>
      </c>
      <c r="I39">
        <v>2.02</v>
      </c>
      <c r="J39" t="str">
        <f t="shared" si="2"/>
        <v>third class</v>
      </c>
      <c r="K39">
        <v>0.5</v>
      </c>
      <c r="L39" t="s">
        <v>18</v>
      </c>
      <c r="M39">
        <v>5</v>
      </c>
      <c r="N39">
        <v>10</v>
      </c>
      <c r="O39">
        <v>6</v>
      </c>
      <c r="P39">
        <v>0</v>
      </c>
      <c r="Q39">
        <f t="shared" si="3"/>
        <v>21</v>
      </c>
      <c r="S39" t="str">
        <f t="shared" si="4"/>
        <v>Mentally Unstable</v>
      </c>
    </row>
    <row r="40" spans="1:19" x14ac:dyDescent="0.25">
      <c r="A40">
        <v>17</v>
      </c>
      <c r="B40" t="str">
        <f t="shared" si="0"/>
        <v>Old Teenager</v>
      </c>
      <c r="C40" t="s">
        <v>19</v>
      </c>
      <c r="D40">
        <v>1.3</v>
      </c>
      <c r="E40" t="s">
        <v>20</v>
      </c>
      <c r="F40">
        <v>8</v>
      </c>
      <c r="G40">
        <v>2</v>
      </c>
      <c r="H40">
        <f t="shared" si="1"/>
        <v>3.3</v>
      </c>
      <c r="I40">
        <v>2.84</v>
      </c>
      <c r="J40" t="str">
        <f t="shared" si="2"/>
        <v>Second class lower</v>
      </c>
      <c r="K40">
        <v>1.8</v>
      </c>
      <c r="L40" t="s">
        <v>21</v>
      </c>
      <c r="M40">
        <v>1</v>
      </c>
      <c r="N40">
        <v>7</v>
      </c>
      <c r="O40">
        <v>8</v>
      </c>
      <c r="P40">
        <v>0</v>
      </c>
      <c r="Q40">
        <f t="shared" si="3"/>
        <v>16</v>
      </c>
      <c r="S40" t="str">
        <f t="shared" si="4"/>
        <v>Mentally Strained</v>
      </c>
    </row>
    <row r="41" spans="1:19" x14ac:dyDescent="0.25">
      <c r="A41">
        <v>17</v>
      </c>
      <c r="B41" t="str">
        <f t="shared" si="0"/>
        <v>Old Teenager</v>
      </c>
      <c r="C41" t="s">
        <v>19</v>
      </c>
      <c r="D41">
        <v>6.3</v>
      </c>
      <c r="E41" t="s">
        <v>17</v>
      </c>
      <c r="F41">
        <v>4</v>
      </c>
      <c r="G41">
        <v>1</v>
      </c>
      <c r="H41">
        <f t="shared" si="1"/>
        <v>7.3</v>
      </c>
      <c r="I41">
        <v>2.4300000000000002</v>
      </c>
      <c r="J41" t="str">
        <f t="shared" si="2"/>
        <v>third class</v>
      </c>
      <c r="K41">
        <v>1.2</v>
      </c>
      <c r="L41" t="s">
        <v>21</v>
      </c>
      <c r="M41">
        <v>1</v>
      </c>
      <c r="N41">
        <v>10</v>
      </c>
      <c r="O41">
        <v>9</v>
      </c>
      <c r="P41">
        <v>0</v>
      </c>
      <c r="Q41">
        <f t="shared" si="3"/>
        <v>20</v>
      </c>
      <c r="S41" t="str">
        <f t="shared" si="4"/>
        <v>Mentally Unstable</v>
      </c>
    </row>
    <row r="42" spans="1:19" x14ac:dyDescent="0.25">
      <c r="A42">
        <v>14</v>
      </c>
      <c r="B42" t="str">
        <f t="shared" si="0"/>
        <v>Young Teenager</v>
      </c>
      <c r="C42" t="s">
        <v>16</v>
      </c>
      <c r="D42">
        <v>6.4</v>
      </c>
      <c r="E42" t="s">
        <v>17</v>
      </c>
      <c r="F42">
        <v>5.7</v>
      </c>
      <c r="G42">
        <v>0.9</v>
      </c>
      <c r="H42">
        <f t="shared" si="1"/>
        <v>7.3000000000000007</v>
      </c>
      <c r="I42">
        <v>2.06</v>
      </c>
      <c r="J42" t="str">
        <f t="shared" si="2"/>
        <v>third class</v>
      </c>
      <c r="K42">
        <v>1.8</v>
      </c>
      <c r="L42" t="s">
        <v>21</v>
      </c>
      <c r="M42">
        <v>10</v>
      </c>
      <c r="N42">
        <v>4</v>
      </c>
      <c r="O42">
        <v>2</v>
      </c>
      <c r="P42">
        <v>0</v>
      </c>
      <c r="Q42">
        <f t="shared" si="3"/>
        <v>16</v>
      </c>
      <c r="S42" t="str">
        <f t="shared" si="4"/>
        <v>Mentally Strained</v>
      </c>
    </row>
    <row r="43" spans="1:19" x14ac:dyDescent="0.25">
      <c r="A43">
        <v>19</v>
      </c>
      <c r="B43" t="str">
        <f t="shared" si="0"/>
        <v>Old Teenager</v>
      </c>
      <c r="C43" t="s">
        <v>16</v>
      </c>
      <c r="D43">
        <v>1.6</v>
      </c>
      <c r="E43" t="s">
        <v>17</v>
      </c>
      <c r="F43">
        <v>8.6</v>
      </c>
      <c r="G43">
        <v>2.4</v>
      </c>
      <c r="H43">
        <f t="shared" si="1"/>
        <v>4</v>
      </c>
      <c r="I43">
        <v>3.81</v>
      </c>
      <c r="J43" t="str">
        <f t="shared" si="2"/>
        <v>first class</v>
      </c>
      <c r="K43">
        <v>0.4</v>
      </c>
      <c r="L43" t="s">
        <v>18</v>
      </c>
      <c r="M43">
        <v>10</v>
      </c>
      <c r="N43">
        <v>4</v>
      </c>
      <c r="O43">
        <v>1</v>
      </c>
      <c r="P43">
        <v>0</v>
      </c>
      <c r="Q43">
        <f t="shared" si="3"/>
        <v>15</v>
      </c>
      <c r="S43" t="str">
        <f t="shared" si="4"/>
        <v>Mentally Strained</v>
      </c>
    </row>
    <row r="44" spans="1:19" x14ac:dyDescent="0.25">
      <c r="A44">
        <v>14</v>
      </c>
      <c r="B44" t="str">
        <f t="shared" si="0"/>
        <v>Young Teenager</v>
      </c>
      <c r="C44" t="s">
        <v>19</v>
      </c>
      <c r="D44">
        <v>7.3</v>
      </c>
      <c r="E44" t="s">
        <v>17</v>
      </c>
      <c r="F44">
        <v>7.7</v>
      </c>
      <c r="G44">
        <v>1.4</v>
      </c>
      <c r="H44">
        <f t="shared" si="1"/>
        <v>8.6999999999999993</v>
      </c>
      <c r="I44">
        <v>3.42</v>
      </c>
      <c r="J44" t="str">
        <f t="shared" si="2"/>
        <v>Second class upper</v>
      </c>
      <c r="K44">
        <v>0.3</v>
      </c>
      <c r="L44" t="s">
        <v>22</v>
      </c>
      <c r="M44">
        <v>6</v>
      </c>
      <c r="N44">
        <v>1</v>
      </c>
      <c r="O44">
        <v>8</v>
      </c>
      <c r="P44">
        <v>0</v>
      </c>
      <c r="Q44">
        <f t="shared" si="3"/>
        <v>15</v>
      </c>
      <c r="S44" t="str">
        <f t="shared" si="4"/>
        <v>Mentally Strained</v>
      </c>
    </row>
    <row r="45" spans="1:19" x14ac:dyDescent="0.25">
      <c r="A45">
        <v>15</v>
      </c>
      <c r="B45" t="str">
        <f t="shared" si="0"/>
        <v>Young Teenager</v>
      </c>
      <c r="C45" t="s">
        <v>16</v>
      </c>
      <c r="D45">
        <v>4</v>
      </c>
      <c r="E45" t="s">
        <v>23</v>
      </c>
      <c r="F45">
        <v>8.8000000000000007</v>
      </c>
      <c r="G45">
        <v>1.3</v>
      </c>
      <c r="H45">
        <f t="shared" si="1"/>
        <v>5.3</v>
      </c>
      <c r="I45">
        <v>3.59</v>
      </c>
      <c r="J45" t="str">
        <f t="shared" si="2"/>
        <v>Second class upper</v>
      </c>
      <c r="K45">
        <v>1.9</v>
      </c>
      <c r="L45" t="s">
        <v>22</v>
      </c>
      <c r="M45">
        <v>10</v>
      </c>
      <c r="N45">
        <v>6</v>
      </c>
      <c r="O45">
        <v>10</v>
      </c>
      <c r="P45">
        <v>0</v>
      </c>
      <c r="Q45">
        <f t="shared" si="3"/>
        <v>26</v>
      </c>
      <c r="S45" t="str">
        <f t="shared" si="4"/>
        <v>Mentally Unstable</v>
      </c>
    </row>
    <row r="46" spans="1:19" x14ac:dyDescent="0.25">
      <c r="A46">
        <v>14</v>
      </c>
      <c r="B46" t="str">
        <f t="shared" si="0"/>
        <v>Young Teenager</v>
      </c>
      <c r="C46" t="s">
        <v>16</v>
      </c>
      <c r="D46">
        <v>5.2</v>
      </c>
      <c r="E46" t="s">
        <v>23</v>
      </c>
      <c r="F46">
        <v>4.0999999999999996</v>
      </c>
      <c r="G46">
        <v>2.1</v>
      </c>
      <c r="H46">
        <f t="shared" si="1"/>
        <v>7.3000000000000007</v>
      </c>
      <c r="I46">
        <v>3.07</v>
      </c>
      <c r="J46" t="str">
        <f t="shared" si="2"/>
        <v>Second class upper</v>
      </c>
      <c r="K46">
        <v>0.2</v>
      </c>
      <c r="L46" t="s">
        <v>22</v>
      </c>
      <c r="M46">
        <v>9</v>
      </c>
      <c r="N46">
        <v>3</v>
      </c>
      <c r="O46">
        <v>8</v>
      </c>
      <c r="P46">
        <v>0</v>
      </c>
      <c r="Q46">
        <f t="shared" si="3"/>
        <v>20</v>
      </c>
      <c r="S46" t="str">
        <f t="shared" si="4"/>
        <v>Mentally Unstable</v>
      </c>
    </row>
    <row r="47" spans="1:19" x14ac:dyDescent="0.25">
      <c r="A47">
        <v>14</v>
      </c>
      <c r="B47" t="str">
        <f t="shared" si="0"/>
        <v>Young Teenager</v>
      </c>
      <c r="C47" t="s">
        <v>19</v>
      </c>
      <c r="D47">
        <v>4.5</v>
      </c>
      <c r="E47" t="s">
        <v>20</v>
      </c>
      <c r="F47">
        <v>4.8</v>
      </c>
      <c r="G47">
        <v>0.9</v>
      </c>
      <c r="H47">
        <f t="shared" si="1"/>
        <v>5.4</v>
      </c>
      <c r="I47">
        <v>2.2200000000000002</v>
      </c>
      <c r="J47" t="str">
        <f t="shared" si="2"/>
        <v>third class</v>
      </c>
      <c r="K47">
        <v>0.8</v>
      </c>
      <c r="L47" t="s">
        <v>18</v>
      </c>
      <c r="M47">
        <v>1</v>
      </c>
      <c r="N47">
        <v>4</v>
      </c>
      <c r="O47">
        <v>10</v>
      </c>
      <c r="P47">
        <v>0</v>
      </c>
      <c r="Q47">
        <f t="shared" si="3"/>
        <v>15</v>
      </c>
      <c r="S47" t="str">
        <f t="shared" si="4"/>
        <v>Mentally Strained</v>
      </c>
    </row>
    <row r="48" spans="1:19" x14ac:dyDescent="0.25">
      <c r="A48">
        <v>18</v>
      </c>
      <c r="B48" t="str">
        <f t="shared" si="0"/>
        <v>Old Teenager</v>
      </c>
      <c r="C48" t="s">
        <v>16</v>
      </c>
      <c r="D48">
        <v>6.8</v>
      </c>
      <c r="E48" t="s">
        <v>20</v>
      </c>
      <c r="F48">
        <v>8.6</v>
      </c>
      <c r="G48">
        <v>1.1000000000000001</v>
      </c>
      <c r="H48">
        <f t="shared" si="1"/>
        <v>7.9</v>
      </c>
      <c r="I48">
        <v>2.36</v>
      </c>
      <c r="J48" t="str">
        <f t="shared" si="2"/>
        <v>third class</v>
      </c>
      <c r="K48">
        <v>1.6</v>
      </c>
      <c r="L48" t="s">
        <v>21</v>
      </c>
      <c r="M48">
        <v>1</v>
      </c>
      <c r="N48">
        <v>10</v>
      </c>
      <c r="O48">
        <v>10</v>
      </c>
      <c r="P48">
        <v>0</v>
      </c>
      <c r="Q48">
        <f t="shared" si="3"/>
        <v>21</v>
      </c>
      <c r="S48" t="str">
        <f t="shared" si="4"/>
        <v>Mentally Unstable</v>
      </c>
    </row>
    <row r="49" spans="1:19" x14ac:dyDescent="0.25">
      <c r="A49">
        <v>13</v>
      </c>
      <c r="B49" t="str">
        <f t="shared" si="0"/>
        <v>Young Teenager</v>
      </c>
      <c r="C49" t="s">
        <v>19</v>
      </c>
      <c r="D49">
        <v>3.5</v>
      </c>
      <c r="E49" t="s">
        <v>17</v>
      </c>
      <c r="F49">
        <v>5.0999999999999996</v>
      </c>
      <c r="G49">
        <v>1.1000000000000001</v>
      </c>
      <c r="H49">
        <f t="shared" si="1"/>
        <v>4.5999999999999996</v>
      </c>
      <c r="I49">
        <v>2.27</v>
      </c>
      <c r="J49" t="str">
        <f t="shared" si="2"/>
        <v>third class</v>
      </c>
      <c r="K49">
        <v>1.8</v>
      </c>
      <c r="L49" t="s">
        <v>22</v>
      </c>
      <c r="M49">
        <v>2</v>
      </c>
      <c r="N49">
        <v>5</v>
      </c>
      <c r="O49">
        <v>6</v>
      </c>
      <c r="P49">
        <v>0</v>
      </c>
      <c r="Q49">
        <f t="shared" si="3"/>
        <v>13</v>
      </c>
      <c r="S49" t="str">
        <f t="shared" si="4"/>
        <v>Mentally Strained</v>
      </c>
    </row>
    <row r="50" spans="1:19" x14ac:dyDescent="0.25">
      <c r="A50">
        <v>16</v>
      </c>
      <c r="B50" t="str">
        <f t="shared" si="0"/>
        <v>Old Teenager</v>
      </c>
      <c r="C50" t="s">
        <v>16</v>
      </c>
      <c r="D50">
        <v>2.2999999999999998</v>
      </c>
      <c r="E50" t="s">
        <v>20</v>
      </c>
      <c r="F50">
        <v>6.3</v>
      </c>
      <c r="G50">
        <v>3</v>
      </c>
      <c r="H50">
        <f t="shared" si="1"/>
        <v>5.3</v>
      </c>
      <c r="I50">
        <v>3.24</v>
      </c>
      <c r="J50" t="str">
        <f t="shared" si="2"/>
        <v>Second class upper</v>
      </c>
      <c r="K50">
        <v>1.9</v>
      </c>
      <c r="L50" t="s">
        <v>22</v>
      </c>
      <c r="M50">
        <v>4</v>
      </c>
      <c r="N50">
        <v>4</v>
      </c>
      <c r="O50">
        <v>9</v>
      </c>
      <c r="P50">
        <v>0</v>
      </c>
      <c r="Q50">
        <f t="shared" si="3"/>
        <v>17</v>
      </c>
      <c r="S50" t="str">
        <f t="shared" si="4"/>
        <v>Mentally Strained</v>
      </c>
    </row>
    <row r="51" spans="1:19" x14ac:dyDescent="0.25">
      <c r="A51">
        <v>14</v>
      </c>
      <c r="B51" t="str">
        <f t="shared" si="0"/>
        <v>Young Teenager</v>
      </c>
      <c r="C51" t="s">
        <v>16</v>
      </c>
      <c r="D51">
        <v>1.2</v>
      </c>
      <c r="E51" t="s">
        <v>17</v>
      </c>
      <c r="F51">
        <v>8.5</v>
      </c>
      <c r="G51">
        <v>1.8</v>
      </c>
      <c r="H51">
        <f t="shared" si="1"/>
        <v>3</v>
      </c>
      <c r="I51">
        <v>3.65</v>
      </c>
      <c r="J51" t="str">
        <f t="shared" si="2"/>
        <v>first class</v>
      </c>
      <c r="K51">
        <v>1.8</v>
      </c>
      <c r="L51" t="s">
        <v>21</v>
      </c>
      <c r="M51">
        <v>5</v>
      </c>
      <c r="N51">
        <v>10</v>
      </c>
      <c r="O51">
        <v>10</v>
      </c>
      <c r="P51">
        <v>0</v>
      </c>
      <c r="Q51">
        <f t="shared" si="3"/>
        <v>25</v>
      </c>
      <c r="S51" t="str">
        <f t="shared" si="4"/>
        <v>Mentally Unstable</v>
      </c>
    </row>
    <row r="52" spans="1:19" x14ac:dyDescent="0.25">
      <c r="A52">
        <v>13</v>
      </c>
      <c r="B52" t="str">
        <f t="shared" si="0"/>
        <v>Young Teenager</v>
      </c>
      <c r="C52" t="s">
        <v>16</v>
      </c>
      <c r="D52">
        <v>6.2</v>
      </c>
      <c r="E52" t="s">
        <v>23</v>
      </c>
      <c r="F52">
        <v>7.1</v>
      </c>
      <c r="G52">
        <v>2.2000000000000002</v>
      </c>
      <c r="H52">
        <f t="shared" si="1"/>
        <v>8.4</v>
      </c>
      <c r="I52">
        <v>3.43</v>
      </c>
      <c r="J52" t="str">
        <f t="shared" si="2"/>
        <v>Second class upper</v>
      </c>
      <c r="K52">
        <v>0.2</v>
      </c>
      <c r="L52" t="s">
        <v>22</v>
      </c>
      <c r="M52">
        <v>5</v>
      </c>
      <c r="N52">
        <v>2</v>
      </c>
      <c r="O52">
        <v>2</v>
      </c>
      <c r="P52">
        <v>0</v>
      </c>
      <c r="Q52">
        <f t="shared" si="3"/>
        <v>9</v>
      </c>
      <c r="S52" t="str">
        <f t="shared" si="4"/>
        <v>Mentally Sound</v>
      </c>
    </row>
    <row r="53" spans="1:19" x14ac:dyDescent="0.25">
      <c r="A53">
        <v>18</v>
      </c>
      <c r="B53" t="str">
        <f t="shared" si="0"/>
        <v>Old Teenager</v>
      </c>
      <c r="C53" t="s">
        <v>16</v>
      </c>
      <c r="D53">
        <v>4.5</v>
      </c>
      <c r="E53" t="s">
        <v>20</v>
      </c>
      <c r="F53">
        <v>4.0999999999999996</v>
      </c>
      <c r="G53">
        <v>1.9</v>
      </c>
      <c r="H53">
        <f t="shared" si="1"/>
        <v>6.4</v>
      </c>
      <c r="I53">
        <v>3.42</v>
      </c>
      <c r="J53" t="str">
        <f t="shared" si="2"/>
        <v>Second class upper</v>
      </c>
      <c r="K53">
        <v>0.1</v>
      </c>
      <c r="L53" t="s">
        <v>22</v>
      </c>
      <c r="M53">
        <v>6</v>
      </c>
      <c r="N53">
        <v>7</v>
      </c>
      <c r="O53">
        <v>8</v>
      </c>
      <c r="P53">
        <v>0</v>
      </c>
      <c r="Q53">
        <f t="shared" si="3"/>
        <v>21</v>
      </c>
      <c r="S53" t="str">
        <f t="shared" si="4"/>
        <v>Mentally Unstable</v>
      </c>
    </row>
    <row r="54" spans="1:19" x14ac:dyDescent="0.25">
      <c r="A54">
        <v>18</v>
      </c>
      <c r="B54" t="str">
        <f t="shared" si="0"/>
        <v>Old Teenager</v>
      </c>
      <c r="C54" t="s">
        <v>16</v>
      </c>
      <c r="D54">
        <v>2.9</v>
      </c>
      <c r="E54" t="s">
        <v>17</v>
      </c>
      <c r="F54">
        <v>4.5</v>
      </c>
      <c r="G54">
        <v>2.5</v>
      </c>
      <c r="H54">
        <f t="shared" si="1"/>
        <v>5.4</v>
      </c>
      <c r="I54">
        <v>3.16</v>
      </c>
      <c r="J54" t="str">
        <f t="shared" si="2"/>
        <v>Second class upper</v>
      </c>
      <c r="K54">
        <v>1.3</v>
      </c>
      <c r="L54" t="s">
        <v>18</v>
      </c>
      <c r="M54">
        <v>3</v>
      </c>
      <c r="N54">
        <v>7</v>
      </c>
      <c r="O54">
        <v>8</v>
      </c>
      <c r="P54">
        <v>0</v>
      </c>
      <c r="Q54">
        <f t="shared" si="3"/>
        <v>18</v>
      </c>
      <c r="S54" t="str">
        <f t="shared" si="4"/>
        <v>Mentally Strained</v>
      </c>
    </row>
    <row r="55" spans="1:19" x14ac:dyDescent="0.25">
      <c r="A55">
        <v>13</v>
      </c>
      <c r="B55" t="str">
        <f t="shared" si="0"/>
        <v>Young Teenager</v>
      </c>
      <c r="C55" t="s">
        <v>19</v>
      </c>
      <c r="D55">
        <v>5.8</v>
      </c>
      <c r="E55" t="s">
        <v>20</v>
      </c>
      <c r="F55">
        <v>8.5</v>
      </c>
      <c r="G55">
        <v>2.2999999999999998</v>
      </c>
      <c r="H55">
        <f t="shared" si="1"/>
        <v>8.1</v>
      </c>
      <c r="I55">
        <v>3.3</v>
      </c>
      <c r="J55" t="str">
        <f t="shared" si="2"/>
        <v>Second class upper</v>
      </c>
      <c r="K55">
        <v>1.9</v>
      </c>
      <c r="L55" t="s">
        <v>21</v>
      </c>
      <c r="M55">
        <v>1</v>
      </c>
      <c r="N55">
        <v>1</v>
      </c>
      <c r="O55">
        <v>5</v>
      </c>
      <c r="P55">
        <v>0</v>
      </c>
      <c r="Q55">
        <f t="shared" si="3"/>
        <v>7</v>
      </c>
      <c r="S55" t="str">
        <f t="shared" si="4"/>
        <v>Mentally Sound</v>
      </c>
    </row>
    <row r="56" spans="1:19" x14ac:dyDescent="0.25">
      <c r="A56">
        <v>18</v>
      </c>
      <c r="B56" t="str">
        <f t="shared" si="0"/>
        <v>Old Teenager</v>
      </c>
      <c r="C56" t="s">
        <v>16</v>
      </c>
      <c r="D56">
        <v>6.8</v>
      </c>
      <c r="E56" t="s">
        <v>17</v>
      </c>
      <c r="F56">
        <v>6.5</v>
      </c>
      <c r="G56">
        <v>2.7</v>
      </c>
      <c r="H56">
        <f t="shared" si="1"/>
        <v>9.5</v>
      </c>
      <c r="I56">
        <v>2.97</v>
      </c>
      <c r="J56" t="str">
        <f t="shared" si="2"/>
        <v>Second class lower</v>
      </c>
      <c r="K56">
        <v>1.9</v>
      </c>
      <c r="L56" t="s">
        <v>18</v>
      </c>
      <c r="M56">
        <v>4</v>
      </c>
      <c r="N56">
        <v>4</v>
      </c>
      <c r="O56">
        <v>5</v>
      </c>
      <c r="P56">
        <v>0</v>
      </c>
      <c r="Q56">
        <f t="shared" si="3"/>
        <v>13</v>
      </c>
      <c r="S56" t="str">
        <f t="shared" si="4"/>
        <v>Mentally Strained</v>
      </c>
    </row>
    <row r="57" spans="1:19" x14ac:dyDescent="0.25">
      <c r="A57">
        <v>15</v>
      </c>
      <c r="B57" t="str">
        <f t="shared" si="0"/>
        <v>Young Teenager</v>
      </c>
      <c r="C57" t="s">
        <v>19</v>
      </c>
      <c r="D57">
        <v>7.4</v>
      </c>
      <c r="E57" t="s">
        <v>17</v>
      </c>
      <c r="F57">
        <v>8.6</v>
      </c>
      <c r="G57">
        <v>0.9</v>
      </c>
      <c r="H57">
        <f t="shared" si="1"/>
        <v>8.3000000000000007</v>
      </c>
      <c r="I57">
        <v>2.2999999999999998</v>
      </c>
      <c r="J57" t="str">
        <f t="shared" si="2"/>
        <v>third class</v>
      </c>
      <c r="K57">
        <v>0</v>
      </c>
      <c r="L57" t="s">
        <v>18</v>
      </c>
      <c r="M57">
        <v>1</v>
      </c>
      <c r="N57">
        <v>5</v>
      </c>
      <c r="O57">
        <v>3</v>
      </c>
      <c r="P57">
        <v>0</v>
      </c>
      <c r="Q57">
        <f t="shared" si="3"/>
        <v>9</v>
      </c>
      <c r="S57" t="str">
        <f t="shared" si="4"/>
        <v>Mentally Sound</v>
      </c>
    </row>
    <row r="58" spans="1:19" x14ac:dyDescent="0.25">
      <c r="A58">
        <v>18</v>
      </c>
      <c r="B58" t="str">
        <f t="shared" si="0"/>
        <v>Old Teenager</v>
      </c>
      <c r="C58" t="s">
        <v>16</v>
      </c>
      <c r="D58">
        <v>4.5</v>
      </c>
      <c r="E58" t="s">
        <v>20</v>
      </c>
      <c r="F58">
        <v>5</v>
      </c>
      <c r="G58">
        <v>2.5</v>
      </c>
      <c r="H58">
        <f t="shared" si="1"/>
        <v>7</v>
      </c>
      <c r="I58">
        <v>2.65</v>
      </c>
      <c r="J58" t="str">
        <f t="shared" si="2"/>
        <v>Second class lower</v>
      </c>
      <c r="K58">
        <v>0.7</v>
      </c>
      <c r="L58" t="s">
        <v>22</v>
      </c>
      <c r="M58">
        <v>8</v>
      </c>
      <c r="N58">
        <v>9</v>
      </c>
      <c r="O58">
        <v>1</v>
      </c>
      <c r="P58">
        <v>0</v>
      </c>
      <c r="Q58">
        <f t="shared" si="3"/>
        <v>18</v>
      </c>
      <c r="S58" t="str">
        <f t="shared" si="4"/>
        <v>Mentally Strained</v>
      </c>
    </row>
    <row r="59" spans="1:19" x14ac:dyDescent="0.25">
      <c r="A59">
        <v>16</v>
      </c>
      <c r="B59" t="str">
        <f t="shared" si="0"/>
        <v>Old Teenager</v>
      </c>
      <c r="C59" t="s">
        <v>16</v>
      </c>
      <c r="D59">
        <v>6.4</v>
      </c>
      <c r="E59" t="s">
        <v>20</v>
      </c>
      <c r="F59">
        <v>5.3</v>
      </c>
      <c r="G59">
        <v>2.4</v>
      </c>
      <c r="H59">
        <f t="shared" si="1"/>
        <v>8.8000000000000007</v>
      </c>
      <c r="I59">
        <v>2.0299999999999998</v>
      </c>
      <c r="J59" t="str">
        <f t="shared" si="2"/>
        <v>third class</v>
      </c>
      <c r="K59">
        <v>1.7</v>
      </c>
      <c r="L59" t="s">
        <v>22</v>
      </c>
      <c r="M59">
        <v>7</v>
      </c>
      <c r="N59">
        <v>5</v>
      </c>
      <c r="O59">
        <v>10</v>
      </c>
      <c r="P59">
        <v>0</v>
      </c>
      <c r="Q59">
        <f t="shared" si="3"/>
        <v>22</v>
      </c>
      <c r="S59" t="str">
        <f t="shared" si="4"/>
        <v>Mentally Unstable</v>
      </c>
    </row>
    <row r="60" spans="1:19" x14ac:dyDescent="0.25">
      <c r="A60">
        <v>13</v>
      </c>
      <c r="B60" t="str">
        <f t="shared" si="0"/>
        <v>Young Teenager</v>
      </c>
      <c r="C60" t="s">
        <v>16</v>
      </c>
      <c r="D60">
        <v>7.3</v>
      </c>
      <c r="E60" t="s">
        <v>23</v>
      </c>
      <c r="F60">
        <v>4.2</v>
      </c>
      <c r="G60">
        <v>1.3</v>
      </c>
      <c r="H60">
        <f t="shared" si="1"/>
        <v>8.6</v>
      </c>
      <c r="I60">
        <v>2.16</v>
      </c>
      <c r="J60" t="str">
        <f t="shared" si="2"/>
        <v>third class</v>
      </c>
      <c r="K60">
        <v>1</v>
      </c>
      <c r="L60" t="s">
        <v>21</v>
      </c>
      <c r="M60">
        <v>4</v>
      </c>
      <c r="N60">
        <v>5</v>
      </c>
      <c r="O60">
        <v>2</v>
      </c>
      <c r="P60">
        <v>0</v>
      </c>
      <c r="Q60">
        <f t="shared" si="3"/>
        <v>11</v>
      </c>
      <c r="S60" t="str">
        <f t="shared" si="4"/>
        <v>Mentally Strained</v>
      </c>
    </row>
    <row r="61" spans="1:19" x14ac:dyDescent="0.25">
      <c r="A61">
        <v>17</v>
      </c>
      <c r="B61" t="str">
        <f t="shared" si="0"/>
        <v>Old Teenager</v>
      </c>
      <c r="C61" t="s">
        <v>19</v>
      </c>
      <c r="D61">
        <v>7.1</v>
      </c>
      <c r="E61" t="s">
        <v>17</v>
      </c>
      <c r="F61">
        <v>5.6</v>
      </c>
      <c r="G61">
        <v>0.6</v>
      </c>
      <c r="H61">
        <f t="shared" si="1"/>
        <v>7.6999999999999993</v>
      </c>
      <c r="I61">
        <v>3.07</v>
      </c>
      <c r="J61" t="str">
        <f t="shared" si="2"/>
        <v>Second class upper</v>
      </c>
      <c r="K61">
        <v>1</v>
      </c>
      <c r="L61" t="s">
        <v>22</v>
      </c>
      <c r="M61">
        <v>1</v>
      </c>
      <c r="N61">
        <v>3</v>
      </c>
      <c r="O61">
        <v>7</v>
      </c>
      <c r="P61">
        <v>0</v>
      </c>
      <c r="Q61">
        <f t="shared" si="3"/>
        <v>11</v>
      </c>
      <c r="S61" t="str">
        <f t="shared" si="4"/>
        <v>Mentally Strained</v>
      </c>
    </row>
    <row r="62" spans="1:19" x14ac:dyDescent="0.25">
      <c r="A62">
        <v>18</v>
      </c>
      <c r="B62" t="str">
        <f t="shared" si="0"/>
        <v>Old Teenager</v>
      </c>
      <c r="C62" t="s">
        <v>16</v>
      </c>
      <c r="D62">
        <v>1.6</v>
      </c>
      <c r="E62" t="s">
        <v>20</v>
      </c>
      <c r="F62">
        <v>5.0999999999999996</v>
      </c>
      <c r="G62">
        <v>2.7</v>
      </c>
      <c r="H62">
        <f t="shared" si="1"/>
        <v>4.3000000000000007</v>
      </c>
      <c r="I62">
        <v>3.57</v>
      </c>
      <c r="J62" t="str">
        <f t="shared" si="2"/>
        <v>Second class upper</v>
      </c>
      <c r="K62">
        <v>0.8</v>
      </c>
      <c r="L62" t="s">
        <v>21</v>
      </c>
      <c r="M62">
        <v>3</v>
      </c>
      <c r="N62">
        <v>9</v>
      </c>
      <c r="O62">
        <v>7</v>
      </c>
      <c r="P62">
        <v>0</v>
      </c>
      <c r="Q62">
        <f t="shared" si="3"/>
        <v>19</v>
      </c>
      <c r="S62" t="str">
        <f t="shared" si="4"/>
        <v>Mentally Strained</v>
      </c>
    </row>
    <row r="63" spans="1:19" x14ac:dyDescent="0.25">
      <c r="A63">
        <v>15</v>
      </c>
      <c r="B63" t="str">
        <f t="shared" si="0"/>
        <v>Young Teenager</v>
      </c>
      <c r="C63" t="s">
        <v>19</v>
      </c>
      <c r="D63">
        <v>1.5</v>
      </c>
      <c r="E63" t="s">
        <v>17</v>
      </c>
      <c r="F63">
        <v>4.7</v>
      </c>
      <c r="G63">
        <v>1</v>
      </c>
      <c r="H63">
        <f t="shared" si="1"/>
        <v>2.5</v>
      </c>
      <c r="I63">
        <v>3.82</v>
      </c>
      <c r="J63" t="str">
        <f t="shared" si="2"/>
        <v>first class</v>
      </c>
      <c r="K63">
        <v>0.6</v>
      </c>
      <c r="L63" t="s">
        <v>22</v>
      </c>
      <c r="M63">
        <v>6</v>
      </c>
      <c r="N63">
        <v>1</v>
      </c>
      <c r="O63">
        <v>4</v>
      </c>
      <c r="P63">
        <v>0</v>
      </c>
      <c r="Q63">
        <f t="shared" si="3"/>
        <v>11</v>
      </c>
      <c r="S63" t="str">
        <f t="shared" si="4"/>
        <v>Mentally Strained</v>
      </c>
    </row>
    <row r="64" spans="1:19" x14ac:dyDescent="0.25">
      <c r="A64">
        <v>13</v>
      </c>
      <c r="B64" t="str">
        <f t="shared" si="0"/>
        <v>Young Teenager</v>
      </c>
      <c r="C64" t="s">
        <v>16</v>
      </c>
      <c r="D64">
        <v>4.3</v>
      </c>
      <c r="E64" t="s">
        <v>23</v>
      </c>
      <c r="F64">
        <v>5.8</v>
      </c>
      <c r="G64">
        <v>0.7</v>
      </c>
      <c r="H64">
        <f t="shared" si="1"/>
        <v>5</v>
      </c>
      <c r="I64">
        <v>3.15</v>
      </c>
      <c r="J64" t="str">
        <f t="shared" si="2"/>
        <v>Second class upper</v>
      </c>
      <c r="K64">
        <v>0.1</v>
      </c>
      <c r="L64" t="s">
        <v>22</v>
      </c>
      <c r="M64">
        <v>7</v>
      </c>
      <c r="N64">
        <v>2</v>
      </c>
      <c r="O64">
        <v>1</v>
      </c>
      <c r="P64">
        <v>0</v>
      </c>
      <c r="Q64">
        <f t="shared" si="3"/>
        <v>10</v>
      </c>
      <c r="S64" t="str">
        <f t="shared" si="4"/>
        <v>Mentally Strained</v>
      </c>
    </row>
    <row r="65" spans="1:19" x14ac:dyDescent="0.25">
      <c r="A65">
        <v>17</v>
      </c>
      <c r="B65" t="str">
        <f t="shared" si="0"/>
        <v>Old Teenager</v>
      </c>
      <c r="C65" t="s">
        <v>16</v>
      </c>
      <c r="D65">
        <v>2.5</v>
      </c>
      <c r="E65" t="s">
        <v>23</v>
      </c>
      <c r="F65">
        <v>6.7</v>
      </c>
      <c r="G65">
        <v>2</v>
      </c>
      <c r="H65">
        <f t="shared" si="1"/>
        <v>4.5</v>
      </c>
      <c r="I65">
        <v>2.56</v>
      </c>
      <c r="J65" t="str">
        <f t="shared" si="2"/>
        <v>Second class lower</v>
      </c>
      <c r="K65">
        <v>1.7</v>
      </c>
      <c r="L65" t="s">
        <v>21</v>
      </c>
      <c r="M65">
        <v>5</v>
      </c>
      <c r="N65">
        <v>7</v>
      </c>
      <c r="O65">
        <v>5</v>
      </c>
      <c r="P65">
        <v>0</v>
      </c>
      <c r="Q65">
        <f t="shared" si="3"/>
        <v>17</v>
      </c>
      <c r="S65" t="str">
        <f t="shared" si="4"/>
        <v>Mentally Strained</v>
      </c>
    </row>
    <row r="66" spans="1:19" x14ac:dyDescent="0.25">
      <c r="A66">
        <v>19</v>
      </c>
      <c r="B66" t="str">
        <f t="shared" si="0"/>
        <v>Old Teenager</v>
      </c>
      <c r="C66" t="s">
        <v>19</v>
      </c>
      <c r="D66">
        <v>7.9</v>
      </c>
      <c r="E66" t="s">
        <v>20</v>
      </c>
      <c r="F66">
        <v>5.0999999999999996</v>
      </c>
      <c r="G66">
        <v>1.7</v>
      </c>
      <c r="H66">
        <f t="shared" si="1"/>
        <v>9.6</v>
      </c>
      <c r="I66">
        <v>2.8</v>
      </c>
      <c r="J66" t="str">
        <f t="shared" si="2"/>
        <v>Second class lower</v>
      </c>
      <c r="K66">
        <v>0.8</v>
      </c>
      <c r="L66" t="s">
        <v>18</v>
      </c>
      <c r="M66">
        <v>6</v>
      </c>
      <c r="N66">
        <v>1</v>
      </c>
      <c r="O66">
        <v>8</v>
      </c>
      <c r="P66">
        <v>0</v>
      </c>
      <c r="Q66">
        <f t="shared" si="3"/>
        <v>15</v>
      </c>
      <c r="S66" t="str">
        <f t="shared" si="4"/>
        <v>Mentally Strained</v>
      </c>
    </row>
    <row r="67" spans="1:19" x14ac:dyDescent="0.25">
      <c r="A67">
        <v>17</v>
      </c>
      <c r="B67" t="str">
        <f t="shared" ref="B67:B130" si="5">IF(A67&lt;=15,"Young Teenager","Old Teenager")</f>
        <v>Old Teenager</v>
      </c>
      <c r="C67" t="s">
        <v>16</v>
      </c>
      <c r="D67">
        <v>2.7</v>
      </c>
      <c r="E67" t="s">
        <v>17</v>
      </c>
      <c r="F67">
        <v>8</v>
      </c>
      <c r="G67">
        <v>2.6</v>
      </c>
      <c r="H67">
        <f t="shared" ref="H67:H130" si="6">SUM(D67,G67)</f>
        <v>5.3000000000000007</v>
      </c>
      <c r="I67">
        <v>3.53</v>
      </c>
      <c r="J67" t="str">
        <f t="shared" ref="J67:J130" si="7">IF(I67&lt;=2.49,"third class",IF(I67&lt;3,"Second class lower",IF(I67&lt;3.6,"Second class upper","first class")))</f>
        <v>Second class upper</v>
      </c>
      <c r="K67">
        <v>1.9</v>
      </c>
      <c r="L67" t="s">
        <v>21</v>
      </c>
      <c r="M67">
        <v>1</v>
      </c>
      <c r="N67">
        <v>8</v>
      </c>
      <c r="O67">
        <v>7</v>
      </c>
      <c r="P67">
        <v>0</v>
      </c>
      <c r="Q67">
        <f t="shared" ref="Q67:Q130" si="8">SUM(M67:P67)</f>
        <v>16</v>
      </c>
      <c r="S67" t="str">
        <f t="shared" ref="S67:S130" si="9">IF(Q67&lt;10,"Mentally Sound",IF(Q67&gt;=20,"Mentally Unstable","Mentally Strained"))</f>
        <v>Mentally Strained</v>
      </c>
    </row>
    <row r="68" spans="1:19" x14ac:dyDescent="0.25">
      <c r="A68">
        <v>13</v>
      </c>
      <c r="B68" t="str">
        <f t="shared" si="5"/>
        <v>Young Teenager</v>
      </c>
      <c r="C68" t="s">
        <v>16</v>
      </c>
      <c r="D68">
        <v>3.1</v>
      </c>
      <c r="E68" t="s">
        <v>20</v>
      </c>
      <c r="F68">
        <v>8.1999999999999993</v>
      </c>
      <c r="G68">
        <v>1.5</v>
      </c>
      <c r="H68">
        <f t="shared" si="6"/>
        <v>4.5999999999999996</v>
      </c>
      <c r="I68">
        <v>2.4500000000000002</v>
      </c>
      <c r="J68" t="str">
        <f t="shared" si="7"/>
        <v>third class</v>
      </c>
      <c r="K68">
        <v>0.3</v>
      </c>
      <c r="L68" t="s">
        <v>18</v>
      </c>
      <c r="M68">
        <v>5</v>
      </c>
      <c r="N68">
        <v>8</v>
      </c>
      <c r="O68">
        <v>6</v>
      </c>
      <c r="P68">
        <v>0</v>
      </c>
      <c r="Q68">
        <f t="shared" si="8"/>
        <v>19</v>
      </c>
      <c r="S68" t="str">
        <f t="shared" si="9"/>
        <v>Mentally Strained</v>
      </c>
    </row>
    <row r="69" spans="1:19" x14ac:dyDescent="0.25">
      <c r="A69">
        <v>17</v>
      </c>
      <c r="B69" t="str">
        <f t="shared" si="5"/>
        <v>Old Teenager</v>
      </c>
      <c r="C69" t="s">
        <v>16</v>
      </c>
      <c r="D69">
        <v>5.8</v>
      </c>
      <c r="E69" t="s">
        <v>23</v>
      </c>
      <c r="F69">
        <v>7.6</v>
      </c>
      <c r="G69">
        <v>0.7</v>
      </c>
      <c r="H69">
        <f t="shared" si="6"/>
        <v>6.5</v>
      </c>
      <c r="I69">
        <v>2.83</v>
      </c>
      <c r="J69" t="str">
        <f t="shared" si="7"/>
        <v>Second class lower</v>
      </c>
      <c r="K69">
        <v>1</v>
      </c>
      <c r="L69" t="s">
        <v>22</v>
      </c>
      <c r="M69">
        <v>7</v>
      </c>
      <c r="N69">
        <v>6</v>
      </c>
      <c r="O69">
        <v>8</v>
      </c>
      <c r="P69">
        <v>0</v>
      </c>
      <c r="Q69">
        <f t="shared" si="8"/>
        <v>21</v>
      </c>
      <c r="S69" t="str">
        <f t="shared" si="9"/>
        <v>Mentally Unstable</v>
      </c>
    </row>
    <row r="70" spans="1:19" x14ac:dyDescent="0.25">
      <c r="A70">
        <v>14</v>
      </c>
      <c r="B70" t="str">
        <f t="shared" si="5"/>
        <v>Young Teenager</v>
      </c>
      <c r="C70" t="s">
        <v>19</v>
      </c>
      <c r="D70">
        <v>3.9</v>
      </c>
      <c r="E70" t="s">
        <v>23</v>
      </c>
      <c r="F70">
        <v>7</v>
      </c>
      <c r="G70">
        <v>2.8</v>
      </c>
      <c r="H70">
        <f t="shared" si="6"/>
        <v>6.6999999999999993</v>
      </c>
      <c r="I70">
        <v>2.8</v>
      </c>
      <c r="J70" t="str">
        <f t="shared" si="7"/>
        <v>Second class lower</v>
      </c>
      <c r="K70">
        <v>0.1</v>
      </c>
      <c r="L70" t="s">
        <v>18</v>
      </c>
      <c r="M70">
        <v>8</v>
      </c>
      <c r="N70">
        <v>2</v>
      </c>
      <c r="O70">
        <v>8</v>
      </c>
      <c r="P70">
        <v>0</v>
      </c>
      <c r="Q70">
        <f t="shared" si="8"/>
        <v>18</v>
      </c>
      <c r="S70" t="str">
        <f t="shared" si="9"/>
        <v>Mentally Strained</v>
      </c>
    </row>
    <row r="71" spans="1:19" x14ac:dyDescent="0.25">
      <c r="A71">
        <v>15</v>
      </c>
      <c r="B71" t="str">
        <f t="shared" si="5"/>
        <v>Young Teenager</v>
      </c>
      <c r="C71" t="s">
        <v>16</v>
      </c>
      <c r="D71">
        <v>7.5</v>
      </c>
      <c r="E71" t="s">
        <v>23</v>
      </c>
      <c r="F71">
        <v>7</v>
      </c>
      <c r="G71">
        <v>0.9</v>
      </c>
      <c r="H71">
        <f t="shared" si="6"/>
        <v>8.4</v>
      </c>
      <c r="I71">
        <v>3.48</v>
      </c>
      <c r="J71" t="str">
        <f t="shared" si="7"/>
        <v>Second class upper</v>
      </c>
      <c r="K71">
        <v>1.1000000000000001</v>
      </c>
      <c r="L71" t="s">
        <v>21</v>
      </c>
      <c r="M71">
        <v>2</v>
      </c>
      <c r="N71">
        <v>2</v>
      </c>
      <c r="O71">
        <v>6</v>
      </c>
      <c r="P71">
        <v>0</v>
      </c>
      <c r="Q71">
        <f t="shared" si="8"/>
        <v>10</v>
      </c>
      <c r="S71" t="str">
        <f t="shared" si="9"/>
        <v>Mentally Strained</v>
      </c>
    </row>
    <row r="72" spans="1:19" x14ac:dyDescent="0.25">
      <c r="A72">
        <v>14</v>
      </c>
      <c r="B72" t="str">
        <f t="shared" si="5"/>
        <v>Young Teenager</v>
      </c>
      <c r="C72" t="s">
        <v>16</v>
      </c>
      <c r="D72">
        <v>5.2</v>
      </c>
      <c r="E72" t="s">
        <v>23</v>
      </c>
      <c r="F72">
        <v>6.7</v>
      </c>
      <c r="G72">
        <v>2</v>
      </c>
      <c r="H72">
        <f t="shared" si="6"/>
        <v>7.2</v>
      </c>
      <c r="I72">
        <v>3.48</v>
      </c>
      <c r="J72" t="str">
        <f t="shared" si="7"/>
        <v>Second class upper</v>
      </c>
      <c r="K72">
        <v>1</v>
      </c>
      <c r="L72" t="s">
        <v>22</v>
      </c>
      <c r="M72">
        <v>2</v>
      </c>
      <c r="N72">
        <v>1</v>
      </c>
      <c r="O72">
        <v>5</v>
      </c>
      <c r="P72">
        <v>0</v>
      </c>
      <c r="Q72">
        <f t="shared" si="8"/>
        <v>8</v>
      </c>
      <c r="S72" t="str">
        <f t="shared" si="9"/>
        <v>Mentally Sound</v>
      </c>
    </row>
    <row r="73" spans="1:19" x14ac:dyDescent="0.25">
      <c r="A73">
        <v>16</v>
      </c>
      <c r="B73" t="str">
        <f t="shared" si="5"/>
        <v>Old Teenager</v>
      </c>
      <c r="C73" t="s">
        <v>19</v>
      </c>
      <c r="D73">
        <v>3.1</v>
      </c>
      <c r="E73" t="s">
        <v>20</v>
      </c>
      <c r="F73">
        <v>5</v>
      </c>
      <c r="G73">
        <v>1.1000000000000001</v>
      </c>
      <c r="H73">
        <f t="shared" si="6"/>
        <v>4.2</v>
      </c>
      <c r="I73">
        <v>2.73</v>
      </c>
      <c r="J73" t="str">
        <f t="shared" si="7"/>
        <v>Second class lower</v>
      </c>
      <c r="K73">
        <v>1.6</v>
      </c>
      <c r="L73" t="s">
        <v>18</v>
      </c>
      <c r="M73">
        <v>2</v>
      </c>
      <c r="N73">
        <v>8</v>
      </c>
      <c r="O73">
        <v>1</v>
      </c>
      <c r="P73">
        <v>0</v>
      </c>
      <c r="Q73">
        <f t="shared" si="8"/>
        <v>11</v>
      </c>
      <c r="S73" t="str">
        <f t="shared" si="9"/>
        <v>Mentally Strained</v>
      </c>
    </row>
    <row r="74" spans="1:19" x14ac:dyDescent="0.25">
      <c r="A74">
        <v>16</v>
      </c>
      <c r="B74" t="str">
        <f t="shared" si="5"/>
        <v>Old Teenager</v>
      </c>
      <c r="C74" t="s">
        <v>19</v>
      </c>
      <c r="D74">
        <v>2</v>
      </c>
      <c r="E74" t="s">
        <v>17</v>
      </c>
      <c r="F74">
        <v>8.6999999999999993</v>
      </c>
      <c r="G74">
        <v>1.2</v>
      </c>
      <c r="H74">
        <f t="shared" si="6"/>
        <v>3.2</v>
      </c>
      <c r="I74">
        <v>3</v>
      </c>
      <c r="J74" t="str">
        <f t="shared" si="7"/>
        <v>Second class upper</v>
      </c>
      <c r="K74">
        <v>0</v>
      </c>
      <c r="L74" t="s">
        <v>18</v>
      </c>
      <c r="M74">
        <v>8</v>
      </c>
      <c r="N74">
        <v>8</v>
      </c>
      <c r="O74">
        <v>4</v>
      </c>
      <c r="P74">
        <v>0</v>
      </c>
      <c r="Q74">
        <f t="shared" si="8"/>
        <v>20</v>
      </c>
      <c r="S74" t="str">
        <f t="shared" si="9"/>
        <v>Mentally Unstable</v>
      </c>
    </row>
    <row r="75" spans="1:19" x14ac:dyDescent="0.25">
      <c r="A75">
        <v>14</v>
      </c>
      <c r="B75" t="str">
        <f t="shared" si="5"/>
        <v>Young Teenager</v>
      </c>
      <c r="C75" t="s">
        <v>16</v>
      </c>
      <c r="D75">
        <v>2.7</v>
      </c>
      <c r="E75" t="s">
        <v>17</v>
      </c>
      <c r="F75">
        <v>8.4</v>
      </c>
      <c r="G75">
        <v>1.3</v>
      </c>
      <c r="H75">
        <f t="shared" si="6"/>
        <v>4</v>
      </c>
      <c r="I75">
        <v>2.0099999999999998</v>
      </c>
      <c r="J75" t="str">
        <f t="shared" si="7"/>
        <v>third class</v>
      </c>
      <c r="K75">
        <v>0.6</v>
      </c>
      <c r="L75" t="s">
        <v>18</v>
      </c>
      <c r="M75">
        <v>6</v>
      </c>
      <c r="N75">
        <v>3</v>
      </c>
      <c r="O75">
        <v>8</v>
      </c>
      <c r="P75">
        <v>0</v>
      </c>
      <c r="Q75">
        <f t="shared" si="8"/>
        <v>17</v>
      </c>
      <c r="S75" t="str">
        <f t="shared" si="9"/>
        <v>Mentally Strained</v>
      </c>
    </row>
    <row r="76" spans="1:19" x14ac:dyDescent="0.25">
      <c r="A76">
        <v>14</v>
      </c>
      <c r="B76" t="str">
        <f t="shared" si="5"/>
        <v>Young Teenager</v>
      </c>
      <c r="C76" t="s">
        <v>16</v>
      </c>
      <c r="D76">
        <v>1.5</v>
      </c>
      <c r="E76" t="s">
        <v>23</v>
      </c>
      <c r="F76">
        <v>4.3</v>
      </c>
      <c r="G76">
        <v>2.1</v>
      </c>
      <c r="H76">
        <f t="shared" si="6"/>
        <v>3.6</v>
      </c>
      <c r="I76">
        <v>3.9</v>
      </c>
      <c r="J76" t="str">
        <f t="shared" si="7"/>
        <v>first class</v>
      </c>
      <c r="K76">
        <v>1.5</v>
      </c>
      <c r="L76" t="s">
        <v>18</v>
      </c>
      <c r="M76">
        <v>10</v>
      </c>
      <c r="N76">
        <v>2</v>
      </c>
      <c r="O76">
        <v>4</v>
      </c>
      <c r="P76">
        <v>0</v>
      </c>
      <c r="Q76">
        <f t="shared" si="8"/>
        <v>16</v>
      </c>
      <c r="S76" t="str">
        <f t="shared" si="9"/>
        <v>Mentally Strained</v>
      </c>
    </row>
    <row r="77" spans="1:19" x14ac:dyDescent="0.25">
      <c r="A77">
        <v>17</v>
      </c>
      <c r="B77" t="str">
        <f t="shared" si="5"/>
        <v>Old Teenager</v>
      </c>
      <c r="C77" t="s">
        <v>19</v>
      </c>
      <c r="D77">
        <v>6.9</v>
      </c>
      <c r="E77" t="s">
        <v>17</v>
      </c>
      <c r="F77">
        <v>8.1999999999999993</v>
      </c>
      <c r="G77">
        <v>0.8</v>
      </c>
      <c r="H77">
        <f t="shared" si="6"/>
        <v>7.7</v>
      </c>
      <c r="I77">
        <v>2.36</v>
      </c>
      <c r="J77" t="str">
        <f t="shared" si="7"/>
        <v>third class</v>
      </c>
      <c r="K77">
        <v>0</v>
      </c>
      <c r="L77" t="s">
        <v>22</v>
      </c>
      <c r="M77">
        <v>10</v>
      </c>
      <c r="N77">
        <v>10</v>
      </c>
      <c r="O77">
        <v>7</v>
      </c>
      <c r="P77">
        <v>0</v>
      </c>
      <c r="Q77">
        <f t="shared" si="8"/>
        <v>27</v>
      </c>
      <c r="S77" t="str">
        <f t="shared" si="9"/>
        <v>Mentally Unstable</v>
      </c>
    </row>
    <row r="78" spans="1:19" x14ac:dyDescent="0.25">
      <c r="A78">
        <v>13</v>
      </c>
      <c r="B78" t="str">
        <f t="shared" si="5"/>
        <v>Young Teenager</v>
      </c>
      <c r="C78" t="s">
        <v>16</v>
      </c>
      <c r="D78">
        <v>1.1000000000000001</v>
      </c>
      <c r="E78" t="s">
        <v>20</v>
      </c>
      <c r="F78">
        <v>7.1</v>
      </c>
      <c r="G78">
        <v>1.8</v>
      </c>
      <c r="H78">
        <f t="shared" si="6"/>
        <v>2.9000000000000004</v>
      </c>
      <c r="I78">
        <v>2.5499999999999998</v>
      </c>
      <c r="J78" t="str">
        <f t="shared" si="7"/>
        <v>Second class lower</v>
      </c>
      <c r="K78">
        <v>0.8</v>
      </c>
      <c r="L78" t="s">
        <v>21</v>
      </c>
      <c r="M78">
        <v>5</v>
      </c>
      <c r="N78">
        <v>5</v>
      </c>
      <c r="O78">
        <v>10</v>
      </c>
      <c r="P78">
        <v>0</v>
      </c>
      <c r="Q78">
        <f t="shared" si="8"/>
        <v>20</v>
      </c>
      <c r="S78" t="str">
        <f t="shared" si="9"/>
        <v>Mentally Unstable</v>
      </c>
    </row>
    <row r="79" spans="1:19" x14ac:dyDescent="0.25">
      <c r="A79">
        <v>13</v>
      </c>
      <c r="B79" t="str">
        <f t="shared" si="5"/>
        <v>Young Teenager</v>
      </c>
      <c r="C79" t="s">
        <v>16</v>
      </c>
      <c r="D79">
        <v>3.4</v>
      </c>
      <c r="E79" t="s">
        <v>20</v>
      </c>
      <c r="F79">
        <v>4.4000000000000004</v>
      </c>
      <c r="G79">
        <v>0.6</v>
      </c>
      <c r="H79">
        <f t="shared" si="6"/>
        <v>4</v>
      </c>
      <c r="I79">
        <v>3.41</v>
      </c>
      <c r="J79" t="str">
        <f t="shared" si="7"/>
        <v>Second class upper</v>
      </c>
      <c r="K79">
        <v>0.2</v>
      </c>
      <c r="L79" t="s">
        <v>18</v>
      </c>
      <c r="M79">
        <v>8</v>
      </c>
      <c r="N79">
        <v>6</v>
      </c>
      <c r="O79">
        <v>3</v>
      </c>
      <c r="P79">
        <v>0</v>
      </c>
      <c r="Q79">
        <f t="shared" si="8"/>
        <v>17</v>
      </c>
      <c r="S79" t="str">
        <f t="shared" si="9"/>
        <v>Mentally Strained</v>
      </c>
    </row>
    <row r="80" spans="1:19" x14ac:dyDescent="0.25">
      <c r="A80">
        <v>15</v>
      </c>
      <c r="B80" t="str">
        <f t="shared" si="5"/>
        <v>Young Teenager</v>
      </c>
      <c r="C80" t="s">
        <v>16</v>
      </c>
      <c r="D80">
        <v>6.7</v>
      </c>
      <c r="E80" t="s">
        <v>23</v>
      </c>
      <c r="F80">
        <v>4.5</v>
      </c>
      <c r="G80">
        <v>2.1</v>
      </c>
      <c r="H80">
        <f t="shared" si="6"/>
        <v>8.8000000000000007</v>
      </c>
      <c r="I80">
        <v>3.71</v>
      </c>
      <c r="J80" t="str">
        <f t="shared" si="7"/>
        <v>first class</v>
      </c>
      <c r="K80">
        <v>1.3</v>
      </c>
      <c r="L80" t="s">
        <v>21</v>
      </c>
      <c r="M80">
        <v>3</v>
      </c>
      <c r="N80">
        <v>3</v>
      </c>
      <c r="O80">
        <v>3</v>
      </c>
      <c r="P80">
        <v>0</v>
      </c>
      <c r="Q80">
        <f t="shared" si="8"/>
        <v>9</v>
      </c>
      <c r="S80" t="str">
        <f t="shared" si="9"/>
        <v>Mentally Sound</v>
      </c>
    </row>
    <row r="81" spans="1:19" x14ac:dyDescent="0.25">
      <c r="A81">
        <v>18</v>
      </c>
      <c r="B81" t="str">
        <f t="shared" si="5"/>
        <v>Old Teenager</v>
      </c>
      <c r="C81" t="s">
        <v>16</v>
      </c>
      <c r="D81">
        <v>1.1000000000000001</v>
      </c>
      <c r="E81" t="s">
        <v>23</v>
      </c>
      <c r="F81">
        <v>7.2</v>
      </c>
      <c r="G81">
        <v>1</v>
      </c>
      <c r="H81">
        <f t="shared" si="6"/>
        <v>2.1</v>
      </c>
      <c r="I81">
        <v>3.13</v>
      </c>
      <c r="J81" t="str">
        <f t="shared" si="7"/>
        <v>Second class upper</v>
      </c>
      <c r="K81">
        <v>0.6</v>
      </c>
      <c r="L81" t="s">
        <v>22</v>
      </c>
      <c r="M81">
        <v>2</v>
      </c>
      <c r="N81">
        <v>1</v>
      </c>
      <c r="O81">
        <v>4</v>
      </c>
      <c r="P81">
        <v>0</v>
      </c>
      <c r="Q81">
        <f t="shared" si="8"/>
        <v>7</v>
      </c>
      <c r="S81" t="str">
        <f t="shared" si="9"/>
        <v>Mentally Sound</v>
      </c>
    </row>
    <row r="82" spans="1:19" x14ac:dyDescent="0.25">
      <c r="A82">
        <v>18</v>
      </c>
      <c r="B82" t="str">
        <f t="shared" si="5"/>
        <v>Old Teenager</v>
      </c>
      <c r="C82" t="s">
        <v>19</v>
      </c>
      <c r="D82">
        <v>7.4</v>
      </c>
      <c r="E82" t="s">
        <v>17</v>
      </c>
      <c r="F82">
        <v>7.5</v>
      </c>
      <c r="G82">
        <v>2.2999999999999998</v>
      </c>
      <c r="H82">
        <f t="shared" si="6"/>
        <v>9.6999999999999993</v>
      </c>
      <c r="I82">
        <v>2.39</v>
      </c>
      <c r="J82" t="str">
        <f t="shared" si="7"/>
        <v>third class</v>
      </c>
      <c r="K82">
        <v>0.9</v>
      </c>
      <c r="L82" t="s">
        <v>21</v>
      </c>
      <c r="M82">
        <v>4</v>
      </c>
      <c r="N82">
        <v>1</v>
      </c>
      <c r="O82">
        <v>4</v>
      </c>
      <c r="P82">
        <v>0</v>
      </c>
      <c r="Q82">
        <f t="shared" si="8"/>
        <v>9</v>
      </c>
      <c r="S82" t="str">
        <f t="shared" si="9"/>
        <v>Mentally Sound</v>
      </c>
    </row>
    <row r="83" spans="1:19" x14ac:dyDescent="0.25">
      <c r="A83">
        <v>19</v>
      </c>
      <c r="B83" t="str">
        <f t="shared" si="5"/>
        <v>Old Teenager</v>
      </c>
      <c r="C83" t="s">
        <v>19</v>
      </c>
      <c r="D83">
        <v>4.8</v>
      </c>
      <c r="E83" t="s">
        <v>20</v>
      </c>
      <c r="F83">
        <v>6</v>
      </c>
      <c r="G83">
        <v>1.5</v>
      </c>
      <c r="H83">
        <f t="shared" si="6"/>
        <v>6.3</v>
      </c>
      <c r="I83">
        <v>2.61</v>
      </c>
      <c r="J83" t="str">
        <f t="shared" si="7"/>
        <v>Second class lower</v>
      </c>
      <c r="K83">
        <v>1.2</v>
      </c>
      <c r="L83" t="s">
        <v>21</v>
      </c>
      <c r="M83">
        <v>2</v>
      </c>
      <c r="N83">
        <v>2</v>
      </c>
      <c r="O83">
        <v>6</v>
      </c>
      <c r="P83">
        <v>0</v>
      </c>
      <c r="Q83">
        <f t="shared" si="8"/>
        <v>10</v>
      </c>
      <c r="S83" t="str">
        <f t="shared" si="9"/>
        <v>Mentally Strained</v>
      </c>
    </row>
    <row r="84" spans="1:19" x14ac:dyDescent="0.25">
      <c r="A84">
        <v>14</v>
      </c>
      <c r="B84" t="str">
        <f t="shared" si="5"/>
        <v>Young Teenager</v>
      </c>
      <c r="C84" t="s">
        <v>16</v>
      </c>
      <c r="D84">
        <v>1.2</v>
      </c>
      <c r="E84" t="s">
        <v>23</v>
      </c>
      <c r="F84">
        <v>5.2</v>
      </c>
      <c r="G84">
        <v>2.2000000000000002</v>
      </c>
      <c r="H84">
        <f t="shared" si="6"/>
        <v>3.4000000000000004</v>
      </c>
      <c r="I84">
        <v>2.19</v>
      </c>
      <c r="J84" t="str">
        <f t="shared" si="7"/>
        <v>third class</v>
      </c>
      <c r="K84">
        <v>1.9</v>
      </c>
      <c r="L84" t="s">
        <v>22</v>
      </c>
      <c r="M84">
        <v>9</v>
      </c>
      <c r="N84">
        <v>9</v>
      </c>
      <c r="O84">
        <v>4</v>
      </c>
      <c r="P84">
        <v>0</v>
      </c>
      <c r="Q84">
        <f t="shared" si="8"/>
        <v>22</v>
      </c>
      <c r="S84" t="str">
        <f t="shared" si="9"/>
        <v>Mentally Unstable</v>
      </c>
    </row>
    <row r="85" spans="1:19" x14ac:dyDescent="0.25">
      <c r="A85">
        <v>13</v>
      </c>
      <c r="B85" t="str">
        <f t="shared" si="5"/>
        <v>Young Teenager</v>
      </c>
      <c r="C85" t="s">
        <v>16</v>
      </c>
      <c r="D85">
        <v>7.4</v>
      </c>
      <c r="E85" t="s">
        <v>17</v>
      </c>
      <c r="F85">
        <v>5.6</v>
      </c>
      <c r="G85">
        <v>1.4</v>
      </c>
      <c r="H85">
        <f t="shared" si="6"/>
        <v>8.8000000000000007</v>
      </c>
      <c r="I85">
        <v>2.95</v>
      </c>
      <c r="J85" t="str">
        <f t="shared" si="7"/>
        <v>Second class lower</v>
      </c>
      <c r="K85">
        <v>1.7</v>
      </c>
      <c r="L85" t="s">
        <v>21</v>
      </c>
      <c r="M85">
        <v>8</v>
      </c>
      <c r="N85">
        <v>5</v>
      </c>
      <c r="O85">
        <v>5</v>
      </c>
      <c r="P85">
        <v>0</v>
      </c>
      <c r="Q85">
        <f t="shared" si="8"/>
        <v>18</v>
      </c>
      <c r="S85" t="str">
        <f t="shared" si="9"/>
        <v>Mentally Strained</v>
      </c>
    </row>
    <row r="86" spans="1:19" x14ac:dyDescent="0.25">
      <c r="A86">
        <v>16</v>
      </c>
      <c r="B86" t="str">
        <f t="shared" si="5"/>
        <v>Old Teenager</v>
      </c>
      <c r="C86" t="s">
        <v>19</v>
      </c>
      <c r="D86">
        <v>2.6</v>
      </c>
      <c r="E86" t="s">
        <v>23</v>
      </c>
      <c r="F86">
        <v>8.6</v>
      </c>
      <c r="G86">
        <v>1.3</v>
      </c>
      <c r="H86">
        <f t="shared" si="6"/>
        <v>3.9000000000000004</v>
      </c>
      <c r="I86">
        <v>3.64</v>
      </c>
      <c r="J86" t="str">
        <f t="shared" si="7"/>
        <v>first class</v>
      </c>
      <c r="K86">
        <v>1.6</v>
      </c>
      <c r="L86" t="s">
        <v>21</v>
      </c>
      <c r="M86">
        <v>5</v>
      </c>
      <c r="N86">
        <v>3</v>
      </c>
      <c r="O86">
        <v>1</v>
      </c>
      <c r="P86">
        <v>0</v>
      </c>
      <c r="Q86">
        <f t="shared" si="8"/>
        <v>9</v>
      </c>
      <c r="S86" t="str">
        <f t="shared" si="9"/>
        <v>Mentally Sound</v>
      </c>
    </row>
    <row r="87" spans="1:19" x14ac:dyDescent="0.25">
      <c r="A87">
        <v>17</v>
      </c>
      <c r="B87" t="str">
        <f t="shared" si="5"/>
        <v>Old Teenager</v>
      </c>
      <c r="C87" t="s">
        <v>19</v>
      </c>
      <c r="D87">
        <v>5</v>
      </c>
      <c r="E87" t="s">
        <v>23</v>
      </c>
      <c r="F87">
        <v>9</v>
      </c>
      <c r="G87">
        <v>2.5</v>
      </c>
      <c r="H87">
        <f t="shared" si="6"/>
        <v>7.5</v>
      </c>
      <c r="I87">
        <v>3.4</v>
      </c>
      <c r="J87" t="str">
        <f t="shared" si="7"/>
        <v>Second class upper</v>
      </c>
      <c r="K87">
        <v>0.9</v>
      </c>
      <c r="L87" t="s">
        <v>21</v>
      </c>
      <c r="M87">
        <v>8</v>
      </c>
      <c r="N87">
        <v>10</v>
      </c>
      <c r="O87">
        <v>5</v>
      </c>
      <c r="P87">
        <v>0</v>
      </c>
      <c r="Q87">
        <f t="shared" si="8"/>
        <v>23</v>
      </c>
      <c r="S87" t="str">
        <f t="shared" si="9"/>
        <v>Mentally Unstable</v>
      </c>
    </row>
    <row r="88" spans="1:19" x14ac:dyDescent="0.25">
      <c r="A88">
        <v>18</v>
      </c>
      <c r="B88" t="str">
        <f t="shared" si="5"/>
        <v>Old Teenager</v>
      </c>
      <c r="C88" t="s">
        <v>16</v>
      </c>
      <c r="D88">
        <v>7.5</v>
      </c>
      <c r="E88" t="s">
        <v>17</v>
      </c>
      <c r="F88">
        <v>7.4</v>
      </c>
      <c r="G88">
        <v>1.8</v>
      </c>
      <c r="H88">
        <f t="shared" si="6"/>
        <v>9.3000000000000007</v>
      </c>
      <c r="I88">
        <v>3.47</v>
      </c>
      <c r="J88" t="str">
        <f t="shared" si="7"/>
        <v>Second class upper</v>
      </c>
      <c r="K88">
        <v>0</v>
      </c>
      <c r="L88" t="s">
        <v>18</v>
      </c>
      <c r="M88">
        <v>9</v>
      </c>
      <c r="N88">
        <v>4</v>
      </c>
      <c r="O88">
        <v>2</v>
      </c>
      <c r="P88">
        <v>0</v>
      </c>
      <c r="Q88">
        <f t="shared" si="8"/>
        <v>15</v>
      </c>
      <c r="S88" t="str">
        <f t="shared" si="9"/>
        <v>Mentally Strained</v>
      </c>
    </row>
    <row r="89" spans="1:19" x14ac:dyDescent="0.25">
      <c r="A89">
        <v>17</v>
      </c>
      <c r="B89" t="str">
        <f t="shared" si="5"/>
        <v>Old Teenager</v>
      </c>
      <c r="C89" t="s">
        <v>19</v>
      </c>
      <c r="D89">
        <v>5.4</v>
      </c>
      <c r="E89" t="s">
        <v>23</v>
      </c>
      <c r="F89">
        <v>5.7</v>
      </c>
      <c r="G89">
        <v>2.5</v>
      </c>
      <c r="H89">
        <f t="shared" si="6"/>
        <v>7.9</v>
      </c>
      <c r="I89">
        <v>3.13</v>
      </c>
      <c r="J89" t="str">
        <f t="shared" si="7"/>
        <v>Second class upper</v>
      </c>
      <c r="K89">
        <v>1.9</v>
      </c>
      <c r="L89" t="s">
        <v>22</v>
      </c>
      <c r="M89">
        <v>5</v>
      </c>
      <c r="N89">
        <v>10</v>
      </c>
      <c r="O89">
        <v>3</v>
      </c>
      <c r="P89">
        <v>0</v>
      </c>
      <c r="Q89">
        <f t="shared" si="8"/>
        <v>18</v>
      </c>
      <c r="S89" t="str">
        <f t="shared" si="9"/>
        <v>Mentally Strained</v>
      </c>
    </row>
    <row r="90" spans="1:19" x14ac:dyDescent="0.25">
      <c r="A90">
        <v>17</v>
      </c>
      <c r="B90" t="str">
        <f t="shared" si="5"/>
        <v>Old Teenager</v>
      </c>
      <c r="C90" t="s">
        <v>19</v>
      </c>
      <c r="D90">
        <v>5.6</v>
      </c>
      <c r="E90" t="s">
        <v>17</v>
      </c>
      <c r="F90">
        <v>5.3</v>
      </c>
      <c r="G90">
        <v>1.7</v>
      </c>
      <c r="H90">
        <f t="shared" si="6"/>
        <v>7.3</v>
      </c>
      <c r="I90">
        <v>2.77</v>
      </c>
      <c r="J90" t="str">
        <f t="shared" si="7"/>
        <v>Second class lower</v>
      </c>
      <c r="K90">
        <v>0.9</v>
      </c>
      <c r="L90" t="s">
        <v>22</v>
      </c>
      <c r="M90">
        <v>8</v>
      </c>
      <c r="N90">
        <v>4</v>
      </c>
      <c r="O90">
        <v>8</v>
      </c>
      <c r="P90">
        <v>0</v>
      </c>
      <c r="Q90">
        <f t="shared" si="8"/>
        <v>20</v>
      </c>
      <c r="S90" t="str">
        <f t="shared" si="9"/>
        <v>Mentally Unstable</v>
      </c>
    </row>
    <row r="91" spans="1:19" x14ac:dyDescent="0.25">
      <c r="A91">
        <v>18</v>
      </c>
      <c r="B91" t="str">
        <f t="shared" si="5"/>
        <v>Old Teenager</v>
      </c>
      <c r="C91" t="s">
        <v>16</v>
      </c>
      <c r="D91">
        <v>6.2</v>
      </c>
      <c r="E91" t="s">
        <v>17</v>
      </c>
      <c r="F91">
        <v>4.0999999999999996</v>
      </c>
      <c r="G91">
        <v>2.8</v>
      </c>
      <c r="H91">
        <f t="shared" si="6"/>
        <v>9</v>
      </c>
      <c r="I91">
        <v>3.41</v>
      </c>
      <c r="J91" t="str">
        <f t="shared" si="7"/>
        <v>Second class upper</v>
      </c>
      <c r="K91">
        <v>1.1000000000000001</v>
      </c>
      <c r="L91" t="s">
        <v>22</v>
      </c>
      <c r="M91">
        <v>7</v>
      </c>
      <c r="N91">
        <v>8</v>
      </c>
      <c r="O91">
        <v>1</v>
      </c>
      <c r="P91">
        <v>1</v>
      </c>
      <c r="Q91">
        <f t="shared" si="8"/>
        <v>17</v>
      </c>
      <c r="S91" t="str">
        <f t="shared" si="9"/>
        <v>Mentally Strained</v>
      </c>
    </row>
    <row r="92" spans="1:19" x14ac:dyDescent="0.25">
      <c r="A92">
        <v>17</v>
      </c>
      <c r="B92" t="str">
        <f t="shared" si="5"/>
        <v>Old Teenager</v>
      </c>
      <c r="C92" t="s">
        <v>19</v>
      </c>
      <c r="D92">
        <v>4.7</v>
      </c>
      <c r="E92" t="s">
        <v>17</v>
      </c>
      <c r="F92">
        <v>4.7</v>
      </c>
      <c r="G92">
        <v>2.4</v>
      </c>
      <c r="H92">
        <f t="shared" si="6"/>
        <v>7.1</v>
      </c>
      <c r="I92">
        <v>3.94</v>
      </c>
      <c r="J92" t="str">
        <f t="shared" si="7"/>
        <v>first class</v>
      </c>
      <c r="K92">
        <v>0</v>
      </c>
      <c r="L92" t="s">
        <v>22</v>
      </c>
      <c r="M92">
        <v>10</v>
      </c>
      <c r="N92">
        <v>5</v>
      </c>
      <c r="O92">
        <v>8</v>
      </c>
      <c r="P92">
        <v>0</v>
      </c>
      <c r="Q92">
        <f t="shared" si="8"/>
        <v>23</v>
      </c>
      <c r="S92" t="str">
        <f t="shared" si="9"/>
        <v>Mentally Unstable</v>
      </c>
    </row>
    <row r="93" spans="1:19" x14ac:dyDescent="0.25">
      <c r="A93">
        <v>18</v>
      </c>
      <c r="B93" t="str">
        <f t="shared" si="5"/>
        <v>Old Teenager</v>
      </c>
      <c r="C93" t="s">
        <v>19</v>
      </c>
      <c r="D93">
        <v>4</v>
      </c>
      <c r="E93" t="s">
        <v>17</v>
      </c>
      <c r="F93">
        <v>4.5999999999999996</v>
      </c>
      <c r="G93">
        <v>2.2000000000000002</v>
      </c>
      <c r="H93">
        <f t="shared" si="6"/>
        <v>6.2</v>
      </c>
      <c r="I93">
        <v>3.7</v>
      </c>
      <c r="J93" t="str">
        <f t="shared" si="7"/>
        <v>first class</v>
      </c>
      <c r="K93">
        <v>0.6</v>
      </c>
      <c r="L93" t="s">
        <v>22</v>
      </c>
      <c r="M93">
        <v>4</v>
      </c>
      <c r="N93">
        <v>1</v>
      </c>
      <c r="O93">
        <v>4</v>
      </c>
      <c r="P93">
        <v>0</v>
      </c>
      <c r="Q93">
        <f t="shared" si="8"/>
        <v>9</v>
      </c>
      <c r="S93" t="str">
        <f t="shared" si="9"/>
        <v>Mentally Sound</v>
      </c>
    </row>
    <row r="94" spans="1:19" x14ac:dyDescent="0.25">
      <c r="A94">
        <v>18</v>
      </c>
      <c r="B94" t="str">
        <f t="shared" si="5"/>
        <v>Old Teenager</v>
      </c>
      <c r="C94" t="s">
        <v>16</v>
      </c>
      <c r="D94">
        <v>6.2</v>
      </c>
      <c r="E94" t="s">
        <v>20</v>
      </c>
      <c r="F94">
        <v>8.6</v>
      </c>
      <c r="G94">
        <v>1.5</v>
      </c>
      <c r="H94">
        <f t="shared" si="6"/>
        <v>7.7</v>
      </c>
      <c r="I94">
        <v>3.22</v>
      </c>
      <c r="J94" t="str">
        <f t="shared" si="7"/>
        <v>Second class upper</v>
      </c>
      <c r="K94">
        <v>1.6</v>
      </c>
      <c r="L94" t="s">
        <v>18</v>
      </c>
      <c r="M94">
        <v>4</v>
      </c>
      <c r="N94">
        <v>5</v>
      </c>
      <c r="O94">
        <v>7</v>
      </c>
      <c r="P94">
        <v>0</v>
      </c>
      <c r="Q94">
        <f t="shared" si="8"/>
        <v>16</v>
      </c>
      <c r="S94" t="str">
        <f t="shared" si="9"/>
        <v>Mentally Strained</v>
      </c>
    </row>
    <row r="95" spans="1:19" x14ac:dyDescent="0.25">
      <c r="A95">
        <v>17</v>
      </c>
      <c r="B95" t="str">
        <f t="shared" si="5"/>
        <v>Old Teenager</v>
      </c>
      <c r="C95" t="s">
        <v>19</v>
      </c>
      <c r="D95">
        <v>5.6</v>
      </c>
      <c r="E95" t="s">
        <v>20</v>
      </c>
      <c r="F95">
        <v>6.8</v>
      </c>
      <c r="G95">
        <v>2</v>
      </c>
      <c r="H95">
        <f t="shared" si="6"/>
        <v>7.6</v>
      </c>
      <c r="I95">
        <v>2.2200000000000002</v>
      </c>
      <c r="J95" t="str">
        <f t="shared" si="7"/>
        <v>third class</v>
      </c>
      <c r="K95">
        <v>1</v>
      </c>
      <c r="L95" t="s">
        <v>22</v>
      </c>
      <c r="M95">
        <v>6</v>
      </c>
      <c r="N95">
        <v>9</v>
      </c>
      <c r="O95">
        <v>8</v>
      </c>
      <c r="P95">
        <v>0</v>
      </c>
      <c r="Q95">
        <f t="shared" si="8"/>
        <v>23</v>
      </c>
      <c r="S95" t="str">
        <f t="shared" si="9"/>
        <v>Mentally Unstable</v>
      </c>
    </row>
    <row r="96" spans="1:19" x14ac:dyDescent="0.25">
      <c r="A96">
        <v>13</v>
      </c>
      <c r="B96" t="str">
        <f t="shared" si="5"/>
        <v>Young Teenager</v>
      </c>
      <c r="C96" t="s">
        <v>19</v>
      </c>
      <c r="D96">
        <v>4</v>
      </c>
      <c r="E96" t="s">
        <v>17</v>
      </c>
      <c r="F96">
        <v>4.4000000000000004</v>
      </c>
      <c r="G96">
        <v>2.5</v>
      </c>
      <c r="H96">
        <f t="shared" si="6"/>
        <v>6.5</v>
      </c>
      <c r="I96">
        <v>3.6</v>
      </c>
      <c r="J96" t="str">
        <f t="shared" si="7"/>
        <v>first class</v>
      </c>
      <c r="K96">
        <v>1.4</v>
      </c>
      <c r="L96" t="s">
        <v>22</v>
      </c>
      <c r="M96">
        <v>7</v>
      </c>
      <c r="N96">
        <v>2</v>
      </c>
      <c r="O96">
        <v>10</v>
      </c>
      <c r="P96">
        <v>0</v>
      </c>
      <c r="Q96">
        <f t="shared" si="8"/>
        <v>19</v>
      </c>
      <c r="S96" t="str">
        <f t="shared" si="9"/>
        <v>Mentally Strained</v>
      </c>
    </row>
    <row r="97" spans="1:19" x14ac:dyDescent="0.25">
      <c r="A97">
        <v>15</v>
      </c>
      <c r="B97" t="str">
        <f t="shared" si="5"/>
        <v>Young Teenager</v>
      </c>
      <c r="C97" t="s">
        <v>19</v>
      </c>
      <c r="D97">
        <v>1.8</v>
      </c>
      <c r="E97" t="s">
        <v>17</v>
      </c>
      <c r="F97">
        <v>6.4</v>
      </c>
      <c r="G97">
        <v>2.4</v>
      </c>
      <c r="H97">
        <f t="shared" si="6"/>
        <v>4.2</v>
      </c>
      <c r="I97">
        <v>2.16</v>
      </c>
      <c r="J97" t="str">
        <f t="shared" si="7"/>
        <v>third class</v>
      </c>
      <c r="K97">
        <v>1.9</v>
      </c>
      <c r="L97" t="s">
        <v>22</v>
      </c>
      <c r="M97">
        <v>3</v>
      </c>
      <c r="N97">
        <v>6</v>
      </c>
      <c r="O97">
        <v>9</v>
      </c>
      <c r="P97">
        <v>0</v>
      </c>
      <c r="Q97">
        <f t="shared" si="8"/>
        <v>18</v>
      </c>
      <c r="S97" t="str">
        <f t="shared" si="9"/>
        <v>Mentally Strained</v>
      </c>
    </row>
    <row r="98" spans="1:19" x14ac:dyDescent="0.25">
      <c r="A98">
        <v>13</v>
      </c>
      <c r="B98" t="str">
        <f t="shared" si="5"/>
        <v>Young Teenager</v>
      </c>
      <c r="C98" t="s">
        <v>16</v>
      </c>
      <c r="D98">
        <v>3.1</v>
      </c>
      <c r="E98" t="s">
        <v>20</v>
      </c>
      <c r="F98">
        <v>5.4</v>
      </c>
      <c r="G98">
        <v>1.9</v>
      </c>
      <c r="H98">
        <f t="shared" si="6"/>
        <v>5</v>
      </c>
      <c r="I98">
        <v>3.66</v>
      </c>
      <c r="J98" t="str">
        <f t="shared" si="7"/>
        <v>first class</v>
      </c>
      <c r="K98">
        <v>0.4</v>
      </c>
      <c r="L98" t="s">
        <v>18</v>
      </c>
      <c r="M98">
        <v>7</v>
      </c>
      <c r="N98">
        <v>4</v>
      </c>
      <c r="O98">
        <v>2</v>
      </c>
      <c r="P98">
        <v>0</v>
      </c>
      <c r="Q98">
        <f t="shared" si="8"/>
        <v>13</v>
      </c>
      <c r="S98" t="str">
        <f t="shared" si="9"/>
        <v>Mentally Strained</v>
      </c>
    </row>
    <row r="99" spans="1:19" x14ac:dyDescent="0.25">
      <c r="A99">
        <v>13</v>
      </c>
      <c r="B99" t="str">
        <f t="shared" si="5"/>
        <v>Young Teenager</v>
      </c>
      <c r="C99" t="s">
        <v>19</v>
      </c>
      <c r="D99">
        <v>3.5</v>
      </c>
      <c r="E99" t="s">
        <v>20</v>
      </c>
      <c r="F99">
        <v>5.2</v>
      </c>
      <c r="G99">
        <v>2.5</v>
      </c>
      <c r="H99">
        <f t="shared" si="6"/>
        <v>6</v>
      </c>
      <c r="I99">
        <v>2.57</v>
      </c>
      <c r="J99" t="str">
        <f t="shared" si="7"/>
        <v>Second class lower</v>
      </c>
      <c r="K99">
        <v>1.1000000000000001</v>
      </c>
      <c r="L99" t="s">
        <v>21</v>
      </c>
      <c r="M99">
        <v>1</v>
      </c>
      <c r="N99">
        <v>6</v>
      </c>
      <c r="O99">
        <v>3</v>
      </c>
      <c r="P99">
        <v>0</v>
      </c>
      <c r="Q99">
        <f t="shared" si="8"/>
        <v>10</v>
      </c>
      <c r="S99" t="str">
        <f t="shared" si="9"/>
        <v>Mentally Strained</v>
      </c>
    </row>
    <row r="100" spans="1:19" x14ac:dyDescent="0.25">
      <c r="A100">
        <v>18</v>
      </c>
      <c r="B100" t="str">
        <f t="shared" si="5"/>
        <v>Old Teenager</v>
      </c>
      <c r="C100" t="s">
        <v>16</v>
      </c>
      <c r="D100">
        <v>7.4</v>
      </c>
      <c r="E100" t="s">
        <v>20</v>
      </c>
      <c r="F100">
        <v>6.4</v>
      </c>
      <c r="G100">
        <v>2.2000000000000002</v>
      </c>
      <c r="H100">
        <f t="shared" si="6"/>
        <v>9.6000000000000014</v>
      </c>
      <c r="I100">
        <v>3.51</v>
      </c>
      <c r="J100" t="str">
        <f t="shared" si="7"/>
        <v>Second class upper</v>
      </c>
      <c r="K100">
        <v>1</v>
      </c>
      <c r="L100" t="s">
        <v>21</v>
      </c>
      <c r="M100">
        <v>4</v>
      </c>
      <c r="N100">
        <v>5</v>
      </c>
      <c r="O100">
        <v>4</v>
      </c>
      <c r="P100">
        <v>0</v>
      </c>
      <c r="Q100">
        <f t="shared" si="8"/>
        <v>13</v>
      </c>
      <c r="S100" t="str">
        <f t="shared" si="9"/>
        <v>Mentally Strained</v>
      </c>
    </row>
    <row r="101" spans="1:19" x14ac:dyDescent="0.25">
      <c r="A101">
        <v>16</v>
      </c>
      <c r="B101" t="str">
        <f t="shared" si="5"/>
        <v>Old Teenager</v>
      </c>
      <c r="C101" t="s">
        <v>16</v>
      </c>
      <c r="D101">
        <v>8</v>
      </c>
      <c r="E101" t="s">
        <v>17</v>
      </c>
      <c r="F101">
        <v>5.5</v>
      </c>
      <c r="G101">
        <v>1.4</v>
      </c>
      <c r="H101">
        <f t="shared" si="6"/>
        <v>9.4</v>
      </c>
      <c r="I101">
        <v>2.95</v>
      </c>
      <c r="J101" t="str">
        <f t="shared" si="7"/>
        <v>Second class lower</v>
      </c>
      <c r="K101">
        <v>0.3</v>
      </c>
      <c r="L101" t="s">
        <v>22</v>
      </c>
      <c r="M101">
        <v>2</v>
      </c>
      <c r="N101">
        <v>5</v>
      </c>
      <c r="O101">
        <v>2</v>
      </c>
      <c r="P101">
        <v>0</v>
      </c>
      <c r="Q101">
        <f t="shared" si="8"/>
        <v>9</v>
      </c>
      <c r="S101" t="str">
        <f t="shared" si="9"/>
        <v>Mentally Sound</v>
      </c>
    </row>
    <row r="102" spans="1:19" x14ac:dyDescent="0.25">
      <c r="A102">
        <v>13</v>
      </c>
      <c r="B102" t="str">
        <f t="shared" si="5"/>
        <v>Young Teenager</v>
      </c>
      <c r="C102" t="s">
        <v>16</v>
      </c>
      <c r="D102">
        <v>5.0999999999999996</v>
      </c>
      <c r="E102" t="s">
        <v>23</v>
      </c>
      <c r="F102">
        <v>4.0999999999999996</v>
      </c>
      <c r="G102">
        <v>1.6</v>
      </c>
      <c r="H102">
        <f t="shared" si="6"/>
        <v>6.6999999999999993</v>
      </c>
      <c r="I102">
        <v>3.32</v>
      </c>
      <c r="J102" t="str">
        <f t="shared" si="7"/>
        <v>Second class upper</v>
      </c>
      <c r="K102">
        <v>0.8</v>
      </c>
      <c r="L102" t="s">
        <v>22</v>
      </c>
      <c r="M102">
        <v>1</v>
      </c>
      <c r="N102">
        <v>3</v>
      </c>
      <c r="O102">
        <v>8</v>
      </c>
      <c r="P102">
        <v>0</v>
      </c>
      <c r="Q102">
        <f t="shared" si="8"/>
        <v>12</v>
      </c>
      <c r="S102" t="str">
        <f t="shared" si="9"/>
        <v>Mentally Strained</v>
      </c>
    </row>
    <row r="103" spans="1:19" x14ac:dyDescent="0.25">
      <c r="A103">
        <v>18</v>
      </c>
      <c r="B103" t="str">
        <f t="shared" si="5"/>
        <v>Old Teenager</v>
      </c>
      <c r="C103" t="s">
        <v>19</v>
      </c>
      <c r="D103">
        <v>2.4</v>
      </c>
      <c r="E103" t="s">
        <v>17</v>
      </c>
      <c r="F103">
        <v>6.3</v>
      </c>
      <c r="G103">
        <v>1.3</v>
      </c>
      <c r="H103">
        <f t="shared" si="6"/>
        <v>3.7</v>
      </c>
      <c r="I103">
        <v>3.05</v>
      </c>
      <c r="J103" t="str">
        <f t="shared" si="7"/>
        <v>Second class upper</v>
      </c>
      <c r="K103">
        <v>1.7</v>
      </c>
      <c r="L103" t="s">
        <v>18</v>
      </c>
      <c r="M103">
        <v>2</v>
      </c>
      <c r="N103">
        <v>9</v>
      </c>
      <c r="O103">
        <v>5</v>
      </c>
      <c r="P103">
        <v>0</v>
      </c>
      <c r="Q103">
        <f t="shared" si="8"/>
        <v>16</v>
      </c>
      <c r="S103" t="str">
        <f t="shared" si="9"/>
        <v>Mentally Strained</v>
      </c>
    </row>
    <row r="104" spans="1:19" x14ac:dyDescent="0.25">
      <c r="A104">
        <v>13</v>
      </c>
      <c r="B104" t="str">
        <f t="shared" si="5"/>
        <v>Young Teenager</v>
      </c>
      <c r="C104" t="s">
        <v>16</v>
      </c>
      <c r="D104">
        <v>1.6</v>
      </c>
      <c r="E104" t="s">
        <v>17</v>
      </c>
      <c r="F104">
        <v>4.2</v>
      </c>
      <c r="G104">
        <v>1.5</v>
      </c>
      <c r="H104">
        <f t="shared" si="6"/>
        <v>3.1</v>
      </c>
      <c r="I104">
        <v>3.72</v>
      </c>
      <c r="J104" t="str">
        <f t="shared" si="7"/>
        <v>first class</v>
      </c>
      <c r="K104">
        <v>1.7</v>
      </c>
      <c r="L104" t="s">
        <v>22</v>
      </c>
      <c r="M104">
        <v>10</v>
      </c>
      <c r="N104">
        <v>1</v>
      </c>
      <c r="O104">
        <v>10</v>
      </c>
      <c r="P104">
        <v>0</v>
      </c>
      <c r="Q104">
        <f t="shared" si="8"/>
        <v>21</v>
      </c>
      <c r="S104" t="str">
        <f t="shared" si="9"/>
        <v>Mentally Unstable</v>
      </c>
    </row>
    <row r="105" spans="1:19" x14ac:dyDescent="0.25">
      <c r="A105">
        <v>18</v>
      </c>
      <c r="B105" t="str">
        <f t="shared" si="5"/>
        <v>Old Teenager</v>
      </c>
      <c r="C105" t="s">
        <v>16</v>
      </c>
      <c r="D105">
        <v>5.8</v>
      </c>
      <c r="E105" t="s">
        <v>17</v>
      </c>
      <c r="F105">
        <v>6.7</v>
      </c>
      <c r="G105">
        <v>1.9</v>
      </c>
      <c r="H105">
        <f t="shared" si="6"/>
        <v>7.6999999999999993</v>
      </c>
      <c r="I105">
        <v>3</v>
      </c>
      <c r="J105" t="str">
        <f t="shared" si="7"/>
        <v>Second class upper</v>
      </c>
      <c r="K105">
        <v>1.9</v>
      </c>
      <c r="L105" t="s">
        <v>18</v>
      </c>
      <c r="M105">
        <v>5</v>
      </c>
      <c r="N105">
        <v>8</v>
      </c>
      <c r="O105">
        <v>2</v>
      </c>
      <c r="P105">
        <v>0</v>
      </c>
      <c r="Q105">
        <f t="shared" si="8"/>
        <v>15</v>
      </c>
      <c r="S105" t="str">
        <f t="shared" si="9"/>
        <v>Mentally Strained</v>
      </c>
    </row>
    <row r="106" spans="1:19" x14ac:dyDescent="0.25">
      <c r="A106">
        <v>15</v>
      </c>
      <c r="B106" t="str">
        <f t="shared" si="5"/>
        <v>Young Teenager</v>
      </c>
      <c r="C106" t="s">
        <v>16</v>
      </c>
      <c r="D106">
        <v>2.7</v>
      </c>
      <c r="E106" t="s">
        <v>20</v>
      </c>
      <c r="F106">
        <v>6.6</v>
      </c>
      <c r="G106">
        <v>1.9</v>
      </c>
      <c r="H106">
        <f t="shared" si="6"/>
        <v>4.5999999999999996</v>
      </c>
      <c r="I106">
        <v>2.75</v>
      </c>
      <c r="J106" t="str">
        <f t="shared" si="7"/>
        <v>Second class lower</v>
      </c>
      <c r="K106">
        <v>1.9</v>
      </c>
      <c r="L106" t="s">
        <v>22</v>
      </c>
      <c r="M106">
        <v>3</v>
      </c>
      <c r="N106">
        <v>6</v>
      </c>
      <c r="O106">
        <v>6</v>
      </c>
      <c r="P106">
        <v>0</v>
      </c>
      <c r="Q106">
        <f t="shared" si="8"/>
        <v>15</v>
      </c>
      <c r="S106" t="str">
        <f t="shared" si="9"/>
        <v>Mentally Strained</v>
      </c>
    </row>
    <row r="107" spans="1:19" x14ac:dyDescent="0.25">
      <c r="A107">
        <v>13</v>
      </c>
      <c r="B107" t="str">
        <f t="shared" si="5"/>
        <v>Young Teenager</v>
      </c>
      <c r="C107" t="s">
        <v>19</v>
      </c>
      <c r="D107">
        <v>4</v>
      </c>
      <c r="E107" t="s">
        <v>23</v>
      </c>
      <c r="F107">
        <v>4.5</v>
      </c>
      <c r="G107">
        <v>1</v>
      </c>
      <c r="H107">
        <f t="shared" si="6"/>
        <v>5</v>
      </c>
      <c r="I107">
        <v>3.65</v>
      </c>
      <c r="J107" t="str">
        <f t="shared" si="7"/>
        <v>first class</v>
      </c>
      <c r="K107">
        <v>1.8</v>
      </c>
      <c r="L107" t="s">
        <v>18</v>
      </c>
      <c r="M107">
        <v>5</v>
      </c>
      <c r="N107">
        <v>6</v>
      </c>
      <c r="O107">
        <v>5</v>
      </c>
      <c r="P107">
        <v>0</v>
      </c>
      <c r="Q107">
        <f t="shared" si="8"/>
        <v>16</v>
      </c>
      <c r="S107" t="str">
        <f t="shared" si="9"/>
        <v>Mentally Strained</v>
      </c>
    </row>
    <row r="108" spans="1:19" x14ac:dyDescent="0.25">
      <c r="A108">
        <v>18</v>
      </c>
      <c r="B108" t="str">
        <f t="shared" si="5"/>
        <v>Old Teenager</v>
      </c>
      <c r="C108" t="s">
        <v>16</v>
      </c>
      <c r="D108">
        <v>3.2</v>
      </c>
      <c r="E108" t="s">
        <v>23</v>
      </c>
      <c r="F108">
        <v>8.8000000000000007</v>
      </c>
      <c r="G108">
        <v>1.2</v>
      </c>
      <c r="H108">
        <f t="shared" si="6"/>
        <v>4.4000000000000004</v>
      </c>
      <c r="I108">
        <v>3.71</v>
      </c>
      <c r="J108" t="str">
        <f t="shared" si="7"/>
        <v>first class</v>
      </c>
      <c r="K108">
        <v>1.1000000000000001</v>
      </c>
      <c r="L108" t="s">
        <v>22</v>
      </c>
      <c r="M108">
        <v>7</v>
      </c>
      <c r="N108">
        <v>6</v>
      </c>
      <c r="O108">
        <v>10</v>
      </c>
      <c r="P108">
        <v>0</v>
      </c>
      <c r="Q108">
        <f t="shared" si="8"/>
        <v>23</v>
      </c>
      <c r="S108" t="str">
        <f t="shared" si="9"/>
        <v>Mentally Unstable</v>
      </c>
    </row>
    <row r="109" spans="1:19" x14ac:dyDescent="0.25">
      <c r="A109">
        <v>13</v>
      </c>
      <c r="B109" t="str">
        <f t="shared" si="5"/>
        <v>Young Teenager</v>
      </c>
      <c r="C109" t="s">
        <v>16</v>
      </c>
      <c r="D109">
        <v>1.6</v>
      </c>
      <c r="E109" t="s">
        <v>20</v>
      </c>
      <c r="F109">
        <v>4.3</v>
      </c>
      <c r="G109">
        <v>0.6</v>
      </c>
      <c r="H109">
        <f t="shared" si="6"/>
        <v>2.2000000000000002</v>
      </c>
      <c r="I109">
        <v>3.91</v>
      </c>
      <c r="J109" t="str">
        <f t="shared" si="7"/>
        <v>first class</v>
      </c>
      <c r="K109">
        <v>2</v>
      </c>
      <c r="L109" t="s">
        <v>22</v>
      </c>
      <c r="M109">
        <v>5</v>
      </c>
      <c r="N109">
        <v>10</v>
      </c>
      <c r="O109">
        <v>7</v>
      </c>
      <c r="P109">
        <v>0</v>
      </c>
      <c r="Q109">
        <f t="shared" si="8"/>
        <v>22</v>
      </c>
      <c r="S109" t="str">
        <f t="shared" si="9"/>
        <v>Mentally Unstable</v>
      </c>
    </row>
    <row r="110" spans="1:19" x14ac:dyDescent="0.25">
      <c r="A110">
        <v>14</v>
      </c>
      <c r="B110" t="str">
        <f t="shared" si="5"/>
        <v>Young Teenager</v>
      </c>
      <c r="C110" t="s">
        <v>16</v>
      </c>
      <c r="D110">
        <v>2.2999999999999998</v>
      </c>
      <c r="E110" t="s">
        <v>20</v>
      </c>
      <c r="F110">
        <v>8</v>
      </c>
      <c r="G110">
        <v>2.5</v>
      </c>
      <c r="H110">
        <f t="shared" si="6"/>
        <v>4.8</v>
      </c>
      <c r="I110">
        <v>3.08</v>
      </c>
      <c r="J110" t="str">
        <f t="shared" si="7"/>
        <v>Second class upper</v>
      </c>
      <c r="K110">
        <v>1.7</v>
      </c>
      <c r="L110" t="s">
        <v>22</v>
      </c>
      <c r="M110">
        <v>5</v>
      </c>
      <c r="N110">
        <v>6</v>
      </c>
      <c r="O110">
        <v>7</v>
      </c>
      <c r="P110">
        <v>0</v>
      </c>
      <c r="Q110">
        <f t="shared" si="8"/>
        <v>18</v>
      </c>
      <c r="S110" t="str">
        <f t="shared" si="9"/>
        <v>Mentally Strained</v>
      </c>
    </row>
    <row r="111" spans="1:19" x14ac:dyDescent="0.25">
      <c r="A111">
        <v>17</v>
      </c>
      <c r="B111" t="str">
        <f t="shared" si="5"/>
        <v>Old Teenager</v>
      </c>
      <c r="C111" t="s">
        <v>16</v>
      </c>
      <c r="D111">
        <v>7.7</v>
      </c>
      <c r="E111" t="s">
        <v>20</v>
      </c>
      <c r="F111">
        <v>8.5</v>
      </c>
      <c r="G111">
        <v>1.2</v>
      </c>
      <c r="H111">
        <f t="shared" si="6"/>
        <v>8.9</v>
      </c>
      <c r="I111">
        <v>3.56</v>
      </c>
      <c r="J111" t="str">
        <f t="shared" si="7"/>
        <v>Second class upper</v>
      </c>
      <c r="K111">
        <v>0</v>
      </c>
      <c r="L111" t="s">
        <v>22</v>
      </c>
      <c r="M111">
        <v>7</v>
      </c>
      <c r="N111">
        <v>10</v>
      </c>
      <c r="O111">
        <v>7</v>
      </c>
      <c r="P111">
        <v>0</v>
      </c>
      <c r="Q111">
        <f t="shared" si="8"/>
        <v>24</v>
      </c>
      <c r="S111" t="str">
        <f t="shared" si="9"/>
        <v>Mentally Unstable</v>
      </c>
    </row>
    <row r="112" spans="1:19" x14ac:dyDescent="0.25">
      <c r="A112">
        <v>16</v>
      </c>
      <c r="B112" t="str">
        <f t="shared" si="5"/>
        <v>Old Teenager</v>
      </c>
      <c r="C112" t="s">
        <v>16</v>
      </c>
      <c r="D112">
        <v>4.8</v>
      </c>
      <c r="E112" t="s">
        <v>23</v>
      </c>
      <c r="F112">
        <v>7.1</v>
      </c>
      <c r="G112">
        <v>0.6</v>
      </c>
      <c r="H112">
        <f t="shared" si="6"/>
        <v>5.3999999999999995</v>
      </c>
      <c r="I112">
        <v>3.36</v>
      </c>
      <c r="J112" t="str">
        <f t="shared" si="7"/>
        <v>Second class upper</v>
      </c>
      <c r="K112">
        <v>0.7</v>
      </c>
      <c r="L112" t="s">
        <v>21</v>
      </c>
      <c r="M112">
        <v>7</v>
      </c>
      <c r="N112">
        <v>6</v>
      </c>
      <c r="O112">
        <v>9</v>
      </c>
      <c r="P112">
        <v>0</v>
      </c>
      <c r="Q112">
        <f t="shared" si="8"/>
        <v>22</v>
      </c>
      <c r="S112" t="str">
        <f t="shared" si="9"/>
        <v>Mentally Unstable</v>
      </c>
    </row>
    <row r="113" spans="1:19" x14ac:dyDescent="0.25">
      <c r="A113">
        <v>17</v>
      </c>
      <c r="B113" t="str">
        <f t="shared" si="5"/>
        <v>Old Teenager</v>
      </c>
      <c r="C113" t="s">
        <v>19</v>
      </c>
      <c r="D113">
        <v>5.2</v>
      </c>
      <c r="E113" t="s">
        <v>23</v>
      </c>
      <c r="F113">
        <v>6</v>
      </c>
      <c r="G113">
        <v>0.6</v>
      </c>
      <c r="H113">
        <f t="shared" si="6"/>
        <v>5.8</v>
      </c>
      <c r="I113">
        <v>3.07</v>
      </c>
      <c r="J113" t="str">
        <f t="shared" si="7"/>
        <v>Second class upper</v>
      </c>
      <c r="K113">
        <v>0.6</v>
      </c>
      <c r="L113" t="s">
        <v>22</v>
      </c>
      <c r="M113">
        <v>6</v>
      </c>
      <c r="N113">
        <v>2</v>
      </c>
      <c r="O113">
        <v>9</v>
      </c>
      <c r="P113">
        <v>0</v>
      </c>
      <c r="Q113">
        <f t="shared" si="8"/>
        <v>17</v>
      </c>
      <c r="S113" t="str">
        <f t="shared" si="9"/>
        <v>Mentally Strained</v>
      </c>
    </row>
    <row r="114" spans="1:19" x14ac:dyDescent="0.25">
      <c r="A114">
        <v>13</v>
      </c>
      <c r="B114" t="str">
        <f t="shared" si="5"/>
        <v>Young Teenager</v>
      </c>
      <c r="C114" t="s">
        <v>16</v>
      </c>
      <c r="D114">
        <v>5.7</v>
      </c>
      <c r="E114" t="s">
        <v>23</v>
      </c>
      <c r="F114">
        <v>6.6</v>
      </c>
      <c r="G114">
        <v>2.4</v>
      </c>
      <c r="H114">
        <f t="shared" si="6"/>
        <v>8.1</v>
      </c>
      <c r="I114">
        <v>3.99</v>
      </c>
      <c r="J114" t="str">
        <f t="shared" si="7"/>
        <v>first class</v>
      </c>
      <c r="K114">
        <v>1.7</v>
      </c>
      <c r="L114" t="s">
        <v>21</v>
      </c>
      <c r="M114">
        <v>1</v>
      </c>
      <c r="N114">
        <v>3</v>
      </c>
      <c r="O114">
        <v>1</v>
      </c>
      <c r="P114">
        <v>0</v>
      </c>
      <c r="Q114">
        <f t="shared" si="8"/>
        <v>5</v>
      </c>
      <c r="S114" t="str">
        <f t="shared" si="9"/>
        <v>Mentally Sound</v>
      </c>
    </row>
    <row r="115" spans="1:19" x14ac:dyDescent="0.25">
      <c r="A115">
        <v>15</v>
      </c>
      <c r="B115" t="str">
        <f t="shared" si="5"/>
        <v>Young Teenager</v>
      </c>
      <c r="C115" t="s">
        <v>16</v>
      </c>
      <c r="D115">
        <v>4.5999999999999996</v>
      </c>
      <c r="E115" t="s">
        <v>20</v>
      </c>
      <c r="F115">
        <v>5.2</v>
      </c>
      <c r="G115">
        <v>1.4</v>
      </c>
      <c r="H115">
        <f t="shared" si="6"/>
        <v>6</v>
      </c>
      <c r="I115">
        <v>2.98</v>
      </c>
      <c r="J115" t="str">
        <f t="shared" si="7"/>
        <v>Second class lower</v>
      </c>
      <c r="K115">
        <v>1.9</v>
      </c>
      <c r="L115" t="s">
        <v>18</v>
      </c>
      <c r="M115">
        <v>1</v>
      </c>
      <c r="N115">
        <v>4</v>
      </c>
      <c r="O115">
        <v>5</v>
      </c>
      <c r="P115">
        <v>0</v>
      </c>
      <c r="Q115">
        <f t="shared" si="8"/>
        <v>10</v>
      </c>
      <c r="S115" t="str">
        <f t="shared" si="9"/>
        <v>Mentally Strained</v>
      </c>
    </row>
    <row r="116" spans="1:19" x14ac:dyDescent="0.25">
      <c r="A116">
        <v>13</v>
      </c>
      <c r="B116" t="str">
        <f t="shared" si="5"/>
        <v>Young Teenager</v>
      </c>
      <c r="C116" t="s">
        <v>16</v>
      </c>
      <c r="D116">
        <v>4.3</v>
      </c>
      <c r="E116" t="s">
        <v>20</v>
      </c>
      <c r="F116">
        <v>7.5</v>
      </c>
      <c r="G116">
        <v>2.7</v>
      </c>
      <c r="H116">
        <f t="shared" si="6"/>
        <v>7</v>
      </c>
      <c r="I116">
        <v>2.29</v>
      </c>
      <c r="J116" t="str">
        <f t="shared" si="7"/>
        <v>third class</v>
      </c>
      <c r="K116">
        <v>0.8</v>
      </c>
      <c r="L116" t="s">
        <v>21</v>
      </c>
      <c r="M116">
        <v>1</v>
      </c>
      <c r="N116">
        <v>10</v>
      </c>
      <c r="O116">
        <v>1</v>
      </c>
      <c r="P116">
        <v>0</v>
      </c>
      <c r="Q116">
        <f t="shared" si="8"/>
        <v>12</v>
      </c>
      <c r="S116" t="str">
        <f t="shared" si="9"/>
        <v>Mentally Strained</v>
      </c>
    </row>
    <row r="117" spans="1:19" x14ac:dyDescent="0.25">
      <c r="A117">
        <v>17</v>
      </c>
      <c r="B117" t="str">
        <f t="shared" si="5"/>
        <v>Old Teenager</v>
      </c>
      <c r="C117" t="s">
        <v>19</v>
      </c>
      <c r="D117">
        <v>4.0999999999999996</v>
      </c>
      <c r="E117" t="s">
        <v>17</v>
      </c>
      <c r="F117">
        <v>8.6</v>
      </c>
      <c r="G117">
        <v>3</v>
      </c>
      <c r="H117">
        <f t="shared" si="6"/>
        <v>7.1</v>
      </c>
      <c r="I117">
        <v>2.77</v>
      </c>
      <c r="J117" t="str">
        <f t="shared" si="7"/>
        <v>Second class lower</v>
      </c>
      <c r="K117">
        <v>0.1</v>
      </c>
      <c r="L117" t="s">
        <v>22</v>
      </c>
      <c r="M117">
        <v>3</v>
      </c>
      <c r="N117">
        <v>6</v>
      </c>
      <c r="O117">
        <v>1</v>
      </c>
      <c r="P117">
        <v>0</v>
      </c>
      <c r="Q117">
        <f t="shared" si="8"/>
        <v>10</v>
      </c>
      <c r="S117" t="str">
        <f t="shared" si="9"/>
        <v>Mentally Strained</v>
      </c>
    </row>
    <row r="118" spans="1:19" x14ac:dyDescent="0.25">
      <c r="A118">
        <v>15</v>
      </c>
      <c r="B118" t="str">
        <f t="shared" si="5"/>
        <v>Young Teenager</v>
      </c>
      <c r="C118" t="s">
        <v>16</v>
      </c>
      <c r="D118">
        <v>6.5</v>
      </c>
      <c r="E118" t="s">
        <v>23</v>
      </c>
      <c r="F118">
        <v>8.1</v>
      </c>
      <c r="G118">
        <v>2</v>
      </c>
      <c r="H118">
        <f t="shared" si="6"/>
        <v>8.5</v>
      </c>
      <c r="I118">
        <v>3.89</v>
      </c>
      <c r="J118" t="str">
        <f t="shared" si="7"/>
        <v>first class</v>
      </c>
      <c r="K118">
        <v>1.3</v>
      </c>
      <c r="L118" t="s">
        <v>21</v>
      </c>
      <c r="M118">
        <v>8</v>
      </c>
      <c r="N118">
        <v>2</v>
      </c>
      <c r="O118">
        <v>2</v>
      </c>
      <c r="P118">
        <v>0</v>
      </c>
      <c r="Q118">
        <f t="shared" si="8"/>
        <v>12</v>
      </c>
      <c r="S118" t="str">
        <f t="shared" si="9"/>
        <v>Mentally Strained</v>
      </c>
    </row>
    <row r="119" spans="1:19" x14ac:dyDescent="0.25">
      <c r="A119">
        <v>19</v>
      </c>
      <c r="B119" t="str">
        <f t="shared" si="5"/>
        <v>Old Teenager</v>
      </c>
      <c r="C119" t="s">
        <v>19</v>
      </c>
      <c r="D119">
        <v>7.8</v>
      </c>
      <c r="E119" t="s">
        <v>23</v>
      </c>
      <c r="F119">
        <v>8.8000000000000007</v>
      </c>
      <c r="G119">
        <v>2.1</v>
      </c>
      <c r="H119">
        <f t="shared" si="6"/>
        <v>9.9</v>
      </c>
      <c r="I119">
        <v>3.75</v>
      </c>
      <c r="J119" t="str">
        <f t="shared" si="7"/>
        <v>first class</v>
      </c>
      <c r="K119">
        <v>1.3</v>
      </c>
      <c r="L119" t="s">
        <v>21</v>
      </c>
      <c r="M119">
        <v>10</v>
      </c>
      <c r="N119">
        <v>9</v>
      </c>
      <c r="O119">
        <v>6</v>
      </c>
      <c r="P119">
        <v>0</v>
      </c>
      <c r="Q119">
        <f t="shared" si="8"/>
        <v>25</v>
      </c>
      <c r="S119" t="str">
        <f t="shared" si="9"/>
        <v>Mentally Unstable</v>
      </c>
    </row>
    <row r="120" spans="1:19" x14ac:dyDescent="0.25">
      <c r="A120">
        <v>17</v>
      </c>
      <c r="B120" t="str">
        <f t="shared" si="5"/>
        <v>Old Teenager</v>
      </c>
      <c r="C120" t="s">
        <v>16</v>
      </c>
      <c r="D120">
        <v>6.5</v>
      </c>
      <c r="E120" t="s">
        <v>17</v>
      </c>
      <c r="F120">
        <v>4.0999999999999996</v>
      </c>
      <c r="G120">
        <v>2.7</v>
      </c>
      <c r="H120">
        <f t="shared" si="6"/>
        <v>9.1999999999999993</v>
      </c>
      <c r="I120">
        <v>3.66</v>
      </c>
      <c r="J120" t="str">
        <f t="shared" si="7"/>
        <v>first class</v>
      </c>
      <c r="K120">
        <v>1.1000000000000001</v>
      </c>
      <c r="L120" t="s">
        <v>22</v>
      </c>
      <c r="M120">
        <v>6</v>
      </c>
      <c r="N120">
        <v>10</v>
      </c>
      <c r="O120">
        <v>10</v>
      </c>
      <c r="P120">
        <v>0</v>
      </c>
      <c r="Q120">
        <f t="shared" si="8"/>
        <v>26</v>
      </c>
      <c r="S120" t="str">
        <f t="shared" si="9"/>
        <v>Mentally Unstable</v>
      </c>
    </row>
    <row r="121" spans="1:19" x14ac:dyDescent="0.25">
      <c r="A121">
        <v>17</v>
      </c>
      <c r="B121" t="str">
        <f t="shared" si="5"/>
        <v>Old Teenager</v>
      </c>
      <c r="C121" t="s">
        <v>19</v>
      </c>
      <c r="D121">
        <v>3.2</v>
      </c>
      <c r="E121" t="s">
        <v>20</v>
      </c>
      <c r="F121">
        <v>4.2</v>
      </c>
      <c r="G121">
        <v>0.6</v>
      </c>
      <c r="H121">
        <f t="shared" si="6"/>
        <v>3.8000000000000003</v>
      </c>
      <c r="I121">
        <v>2.21</v>
      </c>
      <c r="J121" t="str">
        <f t="shared" si="7"/>
        <v>third class</v>
      </c>
      <c r="K121">
        <v>1.4</v>
      </c>
      <c r="L121" t="s">
        <v>22</v>
      </c>
      <c r="M121">
        <v>6</v>
      </c>
      <c r="N121">
        <v>6</v>
      </c>
      <c r="O121">
        <v>3</v>
      </c>
      <c r="P121">
        <v>0</v>
      </c>
      <c r="Q121">
        <f t="shared" si="8"/>
        <v>15</v>
      </c>
      <c r="S121" t="str">
        <f t="shared" si="9"/>
        <v>Mentally Strained</v>
      </c>
    </row>
    <row r="122" spans="1:19" x14ac:dyDescent="0.25">
      <c r="A122">
        <v>13</v>
      </c>
      <c r="B122" t="str">
        <f t="shared" si="5"/>
        <v>Young Teenager</v>
      </c>
      <c r="C122" t="s">
        <v>16</v>
      </c>
      <c r="D122">
        <v>2.4</v>
      </c>
      <c r="E122" t="s">
        <v>20</v>
      </c>
      <c r="F122">
        <v>4.0999999999999996</v>
      </c>
      <c r="G122">
        <v>0.8</v>
      </c>
      <c r="H122">
        <f t="shared" si="6"/>
        <v>3.2</v>
      </c>
      <c r="I122">
        <v>2.79</v>
      </c>
      <c r="J122" t="str">
        <f t="shared" si="7"/>
        <v>Second class lower</v>
      </c>
      <c r="K122">
        <v>1.1000000000000001</v>
      </c>
      <c r="L122" t="s">
        <v>22</v>
      </c>
      <c r="M122">
        <v>8</v>
      </c>
      <c r="N122">
        <v>6</v>
      </c>
      <c r="O122">
        <v>3</v>
      </c>
      <c r="P122">
        <v>0</v>
      </c>
      <c r="Q122">
        <f t="shared" si="8"/>
        <v>17</v>
      </c>
      <c r="S122" t="str">
        <f t="shared" si="9"/>
        <v>Mentally Strained</v>
      </c>
    </row>
    <row r="123" spans="1:19" x14ac:dyDescent="0.25">
      <c r="A123">
        <v>15</v>
      </c>
      <c r="B123" t="str">
        <f t="shared" si="5"/>
        <v>Young Teenager</v>
      </c>
      <c r="C123" t="s">
        <v>19</v>
      </c>
      <c r="D123">
        <v>4</v>
      </c>
      <c r="E123" t="s">
        <v>17</v>
      </c>
      <c r="F123">
        <v>8.1</v>
      </c>
      <c r="G123">
        <v>2.1</v>
      </c>
      <c r="H123">
        <f t="shared" si="6"/>
        <v>6.1</v>
      </c>
      <c r="I123">
        <v>2.0099999999999998</v>
      </c>
      <c r="J123" t="str">
        <f t="shared" si="7"/>
        <v>third class</v>
      </c>
      <c r="K123">
        <v>0.4</v>
      </c>
      <c r="L123" t="s">
        <v>22</v>
      </c>
      <c r="M123">
        <v>4</v>
      </c>
      <c r="N123">
        <v>8</v>
      </c>
      <c r="O123">
        <v>8</v>
      </c>
      <c r="P123">
        <v>0</v>
      </c>
      <c r="Q123">
        <f t="shared" si="8"/>
        <v>20</v>
      </c>
      <c r="S123" t="str">
        <f t="shared" si="9"/>
        <v>Mentally Unstable</v>
      </c>
    </row>
    <row r="124" spans="1:19" x14ac:dyDescent="0.25">
      <c r="A124">
        <v>17</v>
      </c>
      <c r="B124" t="str">
        <f t="shared" si="5"/>
        <v>Old Teenager</v>
      </c>
      <c r="C124" t="s">
        <v>19</v>
      </c>
      <c r="D124">
        <v>6</v>
      </c>
      <c r="E124" t="s">
        <v>23</v>
      </c>
      <c r="F124">
        <v>8.8000000000000007</v>
      </c>
      <c r="G124">
        <v>1.3</v>
      </c>
      <c r="H124">
        <f t="shared" si="6"/>
        <v>7.3</v>
      </c>
      <c r="I124">
        <v>4</v>
      </c>
      <c r="J124" t="str">
        <f t="shared" si="7"/>
        <v>first class</v>
      </c>
      <c r="K124">
        <v>0.9</v>
      </c>
      <c r="L124" t="s">
        <v>22</v>
      </c>
      <c r="M124">
        <v>8</v>
      </c>
      <c r="N124">
        <v>10</v>
      </c>
      <c r="O124">
        <v>7</v>
      </c>
      <c r="P124">
        <v>0</v>
      </c>
      <c r="Q124">
        <f t="shared" si="8"/>
        <v>25</v>
      </c>
      <c r="S124" t="str">
        <f t="shared" si="9"/>
        <v>Mentally Unstable</v>
      </c>
    </row>
    <row r="125" spans="1:19" x14ac:dyDescent="0.25">
      <c r="A125">
        <v>18</v>
      </c>
      <c r="B125" t="str">
        <f t="shared" si="5"/>
        <v>Old Teenager</v>
      </c>
      <c r="C125" t="s">
        <v>16</v>
      </c>
      <c r="D125">
        <v>1.2</v>
      </c>
      <c r="E125" t="s">
        <v>20</v>
      </c>
      <c r="F125">
        <v>8</v>
      </c>
      <c r="G125">
        <v>1.7</v>
      </c>
      <c r="H125">
        <f t="shared" si="6"/>
        <v>2.9</v>
      </c>
      <c r="I125">
        <v>3.12</v>
      </c>
      <c r="J125" t="str">
        <f t="shared" si="7"/>
        <v>Second class upper</v>
      </c>
      <c r="K125">
        <v>0.1</v>
      </c>
      <c r="L125" t="s">
        <v>18</v>
      </c>
      <c r="M125">
        <v>6</v>
      </c>
      <c r="N125">
        <v>4</v>
      </c>
      <c r="O125">
        <v>2</v>
      </c>
      <c r="P125">
        <v>0</v>
      </c>
      <c r="Q125">
        <f t="shared" si="8"/>
        <v>12</v>
      </c>
      <c r="S125" t="str">
        <f t="shared" si="9"/>
        <v>Mentally Strained</v>
      </c>
    </row>
    <row r="126" spans="1:19" x14ac:dyDescent="0.25">
      <c r="A126">
        <v>16</v>
      </c>
      <c r="B126" t="str">
        <f t="shared" si="5"/>
        <v>Old Teenager</v>
      </c>
      <c r="C126" t="s">
        <v>16</v>
      </c>
      <c r="D126">
        <v>5.7</v>
      </c>
      <c r="E126" t="s">
        <v>23</v>
      </c>
      <c r="F126">
        <v>5.8</v>
      </c>
      <c r="G126">
        <v>2.8</v>
      </c>
      <c r="H126">
        <f t="shared" si="6"/>
        <v>8.5</v>
      </c>
      <c r="I126">
        <v>2.17</v>
      </c>
      <c r="J126" t="str">
        <f t="shared" si="7"/>
        <v>third class</v>
      </c>
      <c r="K126">
        <v>0.5</v>
      </c>
      <c r="L126" t="s">
        <v>22</v>
      </c>
      <c r="M126">
        <v>3</v>
      </c>
      <c r="N126">
        <v>9</v>
      </c>
      <c r="O126">
        <v>2</v>
      </c>
      <c r="P126">
        <v>0</v>
      </c>
      <c r="Q126">
        <f t="shared" si="8"/>
        <v>14</v>
      </c>
      <c r="S126" t="str">
        <f t="shared" si="9"/>
        <v>Mentally Strained</v>
      </c>
    </row>
    <row r="127" spans="1:19" x14ac:dyDescent="0.25">
      <c r="A127">
        <v>19</v>
      </c>
      <c r="B127" t="str">
        <f t="shared" si="5"/>
        <v>Old Teenager</v>
      </c>
      <c r="C127" t="s">
        <v>16</v>
      </c>
      <c r="D127">
        <v>6.5</v>
      </c>
      <c r="E127" t="s">
        <v>23</v>
      </c>
      <c r="F127">
        <v>8.1</v>
      </c>
      <c r="G127">
        <v>2.2999999999999998</v>
      </c>
      <c r="H127">
        <f t="shared" si="6"/>
        <v>8.8000000000000007</v>
      </c>
      <c r="I127">
        <v>2.21</v>
      </c>
      <c r="J127" t="str">
        <f t="shared" si="7"/>
        <v>third class</v>
      </c>
      <c r="K127">
        <v>0.4</v>
      </c>
      <c r="L127" t="s">
        <v>21</v>
      </c>
      <c r="M127">
        <v>8</v>
      </c>
      <c r="N127">
        <v>8</v>
      </c>
      <c r="O127">
        <v>6</v>
      </c>
      <c r="P127">
        <v>0</v>
      </c>
      <c r="Q127">
        <f t="shared" si="8"/>
        <v>22</v>
      </c>
      <c r="S127" t="str">
        <f t="shared" si="9"/>
        <v>Mentally Unstable</v>
      </c>
    </row>
    <row r="128" spans="1:19" x14ac:dyDescent="0.25">
      <c r="A128">
        <v>16</v>
      </c>
      <c r="B128" t="str">
        <f t="shared" si="5"/>
        <v>Old Teenager</v>
      </c>
      <c r="C128" t="s">
        <v>16</v>
      </c>
      <c r="D128">
        <v>6.6</v>
      </c>
      <c r="E128" t="s">
        <v>17</v>
      </c>
      <c r="F128">
        <v>5.6</v>
      </c>
      <c r="G128">
        <v>0.8</v>
      </c>
      <c r="H128">
        <f t="shared" si="6"/>
        <v>7.3999999999999995</v>
      </c>
      <c r="I128">
        <v>3.48</v>
      </c>
      <c r="J128" t="str">
        <f t="shared" si="7"/>
        <v>Second class upper</v>
      </c>
      <c r="K128">
        <v>1.7</v>
      </c>
      <c r="L128" t="s">
        <v>22</v>
      </c>
      <c r="M128">
        <v>4</v>
      </c>
      <c r="N128">
        <v>3</v>
      </c>
      <c r="O128">
        <v>4</v>
      </c>
      <c r="P128">
        <v>0</v>
      </c>
      <c r="Q128">
        <f t="shared" si="8"/>
        <v>11</v>
      </c>
      <c r="S128" t="str">
        <f t="shared" si="9"/>
        <v>Mentally Strained</v>
      </c>
    </row>
    <row r="129" spans="1:19" x14ac:dyDescent="0.25">
      <c r="A129">
        <v>13</v>
      </c>
      <c r="B129" t="str">
        <f t="shared" si="5"/>
        <v>Young Teenager</v>
      </c>
      <c r="C129" t="s">
        <v>16</v>
      </c>
      <c r="D129">
        <v>6</v>
      </c>
      <c r="E129" t="s">
        <v>20</v>
      </c>
      <c r="F129">
        <v>7.2</v>
      </c>
      <c r="G129">
        <v>1.5</v>
      </c>
      <c r="H129">
        <f t="shared" si="6"/>
        <v>7.5</v>
      </c>
      <c r="I129">
        <v>2.36</v>
      </c>
      <c r="J129" t="str">
        <f t="shared" si="7"/>
        <v>third class</v>
      </c>
      <c r="K129">
        <v>0.2</v>
      </c>
      <c r="L129" t="s">
        <v>18</v>
      </c>
      <c r="M129">
        <v>1</v>
      </c>
      <c r="N129">
        <v>3</v>
      </c>
      <c r="O129">
        <v>4</v>
      </c>
      <c r="P129">
        <v>0</v>
      </c>
      <c r="Q129">
        <f t="shared" si="8"/>
        <v>8</v>
      </c>
      <c r="S129" t="str">
        <f t="shared" si="9"/>
        <v>Mentally Sound</v>
      </c>
    </row>
    <row r="130" spans="1:19" x14ac:dyDescent="0.25">
      <c r="A130">
        <v>18</v>
      </c>
      <c r="B130" t="str">
        <f t="shared" si="5"/>
        <v>Old Teenager</v>
      </c>
      <c r="C130" t="s">
        <v>19</v>
      </c>
      <c r="D130">
        <v>1.1000000000000001</v>
      </c>
      <c r="E130" t="s">
        <v>23</v>
      </c>
      <c r="F130">
        <v>8</v>
      </c>
      <c r="G130">
        <v>2.7</v>
      </c>
      <c r="H130">
        <f t="shared" si="6"/>
        <v>3.8000000000000003</v>
      </c>
      <c r="I130">
        <v>2.04</v>
      </c>
      <c r="J130" t="str">
        <f t="shared" si="7"/>
        <v>third class</v>
      </c>
      <c r="K130">
        <v>0.1</v>
      </c>
      <c r="L130" t="s">
        <v>18</v>
      </c>
      <c r="M130">
        <v>7</v>
      </c>
      <c r="N130">
        <v>10</v>
      </c>
      <c r="O130">
        <v>2</v>
      </c>
      <c r="P130">
        <v>0</v>
      </c>
      <c r="Q130">
        <f t="shared" si="8"/>
        <v>19</v>
      </c>
      <c r="S130" t="str">
        <f t="shared" si="9"/>
        <v>Mentally Strained</v>
      </c>
    </row>
    <row r="131" spans="1:19" x14ac:dyDescent="0.25">
      <c r="A131">
        <v>13</v>
      </c>
      <c r="B131" t="str">
        <f t="shared" ref="B131:B194" si="10">IF(A131&lt;=15,"Young Teenager","Old Teenager")</f>
        <v>Young Teenager</v>
      </c>
      <c r="C131" t="s">
        <v>19</v>
      </c>
      <c r="D131">
        <v>3.8</v>
      </c>
      <c r="E131" t="s">
        <v>17</v>
      </c>
      <c r="F131">
        <v>7.9</v>
      </c>
      <c r="G131">
        <v>1.3</v>
      </c>
      <c r="H131">
        <f t="shared" ref="H131:H194" si="11">SUM(D131,G131)</f>
        <v>5.0999999999999996</v>
      </c>
      <c r="I131">
        <v>3.97</v>
      </c>
      <c r="J131" t="str">
        <f t="shared" ref="J131:J194" si="12">IF(I131&lt;=2.49,"third class",IF(I131&lt;3,"Second class lower",IF(I131&lt;3.6,"Second class upper","first class")))</f>
        <v>first class</v>
      </c>
      <c r="K131">
        <v>0.2</v>
      </c>
      <c r="L131" t="s">
        <v>22</v>
      </c>
      <c r="M131">
        <v>7</v>
      </c>
      <c r="N131">
        <v>10</v>
      </c>
      <c r="O131">
        <v>9</v>
      </c>
      <c r="P131">
        <v>0</v>
      </c>
      <c r="Q131">
        <f t="shared" ref="Q131:Q194" si="13">SUM(M131:P131)</f>
        <v>26</v>
      </c>
      <c r="S131" t="str">
        <f t="shared" ref="S131:S194" si="14">IF(Q131&lt;10,"Mentally Sound",IF(Q131&gt;=20,"Mentally Unstable","Mentally Strained"))</f>
        <v>Mentally Unstable</v>
      </c>
    </row>
    <row r="132" spans="1:19" x14ac:dyDescent="0.25">
      <c r="A132">
        <v>13</v>
      </c>
      <c r="B132" t="str">
        <f t="shared" si="10"/>
        <v>Young Teenager</v>
      </c>
      <c r="C132" t="s">
        <v>19</v>
      </c>
      <c r="D132">
        <v>4.7</v>
      </c>
      <c r="E132" t="s">
        <v>23</v>
      </c>
      <c r="F132">
        <v>6.8</v>
      </c>
      <c r="G132">
        <v>1.7</v>
      </c>
      <c r="H132">
        <f t="shared" si="11"/>
        <v>6.4</v>
      </c>
      <c r="I132">
        <v>3.27</v>
      </c>
      <c r="J132" t="str">
        <f t="shared" si="12"/>
        <v>Second class upper</v>
      </c>
      <c r="K132">
        <v>1.4</v>
      </c>
      <c r="L132" t="s">
        <v>18</v>
      </c>
      <c r="M132">
        <v>4</v>
      </c>
      <c r="N132">
        <v>2</v>
      </c>
      <c r="O132">
        <v>4</v>
      </c>
      <c r="P132">
        <v>0</v>
      </c>
      <c r="Q132">
        <f t="shared" si="13"/>
        <v>10</v>
      </c>
      <c r="S132" t="str">
        <f t="shared" si="14"/>
        <v>Mentally Strained</v>
      </c>
    </row>
    <row r="133" spans="1:19" x14ac:dyDescent="0.25">
      <c r="A133">
        <v>15</v>
      </c>
      <c r="B133" t="str">
        <f t="shared" si="10"/>
        <v>Young Teenager</v>
      </c>
      <c r="C133" t="s">
        <v>16</v>
      </c>
      <c r="D133">
        <v>7.4</v>
      </c>
      <c r="E133" t="s">
        <v>20</v>
      </c>
      <c r="F133">
        <v>6.3</v>
      </c>
      <c r="G133">
        <v>1.3</v>
      </c>
      <c r="H133">
        <f t="shared" si="11"/>
        <v>8.7000000000000011</v>
      </c>
      <c r="I133">
        <v>3.47</v>
      </c>
      <c r="J133" t="str">
        <f t="shared" si="12"/>
        <v>Second class upper</v>
      </c>
      <c r="K133">
        <v>1.2</v>
      </c>
      <c r="L133" t="s">
        <v>22</v>
      </c>
      <c r="M133">
        <v>1</v>
      </c>
      <c r="N133">
        <v>3</v>
      </c>
      <c r="O133">
        <v>9</v>
      </c>
      <c r="P133">
        <v>0</v>
      </c>
      <c r="Q133">
        <f t="shared" si="13"/>
        <v>13</v>
      </c>
      <c r="S133" t="str">
        <f t="shared" si="14"/>
        <v>Mentally Strained</v>
      </c>
    </row>
    <row r="134" spans="1:19" x14ac:dyDescent="0.25">
      <c r="A134">
        <v>17</v>
      </c>
      <c r="B134" t="str">
        <f t="shared" si="10"/>
        <v>Old Teenager</v>
      </c>
      <c r="C134" t="s">
        <v>16</v>
      </c>
      <c r="D134">
        <v>3.9</v>
      </c>
      <c r="E134" t="s">
        <v>17</v>
      </c>
      <c r="F134">
        <v>7.1</v>
      </c>
      <c r="G134">
        <v>2.4</v>
      </c>
      <c r="H134">
        <f t="shared" si="11"/>
        <v>6.3</v>
      </c>
      <c r="I134">
        <v>3.82</v>
      </c>
      <c r="J134" t="str">
        <f t="shared" si="12"/>
        <v>first class</v>
      </c>
      <c r="K134">
        <v>0.8</v>
      </c>
      <c r="L134" t="s">
        <v>21</v>
      </c>
      <c r="M134">
        <v>3</v>
      </c>
      <c r="N134">
        <v>6</v>
      </c>
      <c r="O134">
        <v>10</v>
      </c>
      <c r="P134">
        <v>0</v>
      </c>
      <c r="Q134">
        <f t="shared" si="13"/>
        <v>19</v>
      </c>
      <c r="S134" t="str">
        <f t="shared" si="14"/>
        <v>Mentally Strained</v>
      </c>
    </row>
    <row r="135" spans="1:19" x14ac:dyDescent="0.25">
      <c r="A135">
        <v>18</v>
      </c>
      <c r="B135" t="str">
        <f t="shared" si="10"/>
        <v>Old Teenager</v>
      </c>
      <c r="C135" t="s">
        <v>16</v>
      </c>
      <c r="D135">
        <v>3.1</v>
      </c>
      <c r="E135" t="s">
        <v>17</v>
      </c>
      <c r="F135">
        <v>5.7</v>
      </c>
      <c r="G135">
        <v>2.9</v>
      </c>
      <c r="H135">
        <f t="shared" si="11"/>
        <v>6</v>
      </c>
      <c r="I135">
        <v>3.1</v>
      </c>
      <c r="J135" t="str">
        <f t="shared" si="12"/>
        <v>Second class upper</v>
      </c>
      <c r="K135">
        <v>0.6</v>
      </c>
      <c r="L135" t="s">
        <v>22</v>
      </c>
      <c r="M135">
        <v>9</v>
      </c>
      <c r="N135">
        <v>4</v>
      </c>
      <c r="O135">
        <v>2</v>
      </c>
      <c r="P135">
        <v>0</v>
      </c>
      <c r="Q135">
        <f t="shared" si="13"/>
        <v>15</v>
      </c>
      <c r="S135" t="str">
        <f t="shared" si="14"/>
        <v>Mentally Strained</v>
      </c>
    </row>
    <row r="136" spans="1:19" x14ac:dyDescent="0.25">
      <c r="A136">
        <v>16</v>
      </c>
      <c r="B136" t="str">
        <f t="shared" si="10"/>
        <v>Old Teenager</v>
      </c>
      <c r="C136" t="s">
        <v>19</v>
      </c>
      <c r="D136">
        <v>2.6</v>
      </c>
      <c r="E136" t="s">
        <v>20</v>
      </c>
      <c r="F136">
        <v>8.8000000000000007</v>
      </c>
      <c r="G136">
        <v>1.7</v>
      </c>
      <c r="H136">
        <f t="shared" si="11"/>
        <v>4.3</v>
      </c>
      <c r="I136">
        <v>2.39</v>
      </c>
      <c r="J136" t="str">
        <f t="shared" si="12"/>
        <v>third class</v>
      </c>
      <c r="K136">
        <v>1</v>
      </c>
      <c r="L136" t="s">
        <v>22</v>
      </c>
      <c r="M136">
        <v>5</v>
      </c>
      <c r="N136">
        <v>2</v>
      </c>
      <c r="O136">
        <v>6</v>
      </c>
      <c r="P136">
        <v>0</v>
      </c>
      <c r="Q136">
        <f t="shared" si="13"/>
        <v>13</v>
      </c>
      <c r="S136" t="str">
        <f t="shared" si="14"/>
        <v>Mentally Strained</v>
      </c>
    </row>
    <row r="137" spans="1:19" x14ac:dyDescent="0.25">
      <c r="A137">
        <v>13</v>
      </c>
      <c r="B137" t="str">
        <f t="shared" si="10"/>
        <v>Young Teenager</v>
      </c>
      <c r="C137" t="s">
        <v>16</v>
      </c>
      <c r="D137">
        <v>5</v>
      </c>
      <c r="E137" t="s">
        <v>20</v>
      </c>
      <c r="F137">
        <v>6.9</v>
      </c>
      <c r="G137">
        <v>0.6</v>
      </c>
      <c r="H137">
        <f t="shared" si="11"/>
        <v>5.6</v>
      </c>
      <c r="I137">
        <v>3.03</v>
      </c>
      <c r="J137" t="str">
        <f t="shared" si="12"/>
        <v>Second class upper</v>
      </c>
      <c r="K137">
        <v>0.8</v>
      </c>
      <c r="L137" t="s">
        <v>18</v>
      </c>
      <c r="M137">
        <v>9</v>
      </c>
      <c r="N137">
        <v>3</v>
      </c>
      <c r="O137">
        <v>8</v>
      </c>
      <c r="P137">
        <v>0</v>
      </c>
      <c r="Q137">
        <f t="shared" si="13"/>
        <v>20</v>
      </c>
      <c r="S137" t="str">
        <f t="shared" si="14"/>
        <v>Mentally Unstable</v>
      </c>
    </row>
    <row r="138" spans="1:19" x14ac:dyDescent="0.25">
      <c r="A138">
        <v>18</v>
      </c>
      <c r="B138" t="str">
        <f t="shared" si="10"/>
        <v>Old Teenager</v>
      </c>
      <c r="C138" t="s">
        <v>16</v>
      </c>
      <c r="D138">
        <v>4.5</v>
      </c>
      <c r="E138" t="s">
        <v>17</v>
      </c>
      <c r="F138">
        <v>8.1</v>
      </c>
      <c r="G138">
        <v>1.6</v>
      </c>
      <c r="H138">
        <f t="shared" si="11"/>
        <v>6.1</v>
      </c>
      <c r="I138">
        <v>3.72</v>
      </c>
      <c r="J138" t="str">
        <f t="shared" si="12"/>
        <v>first class</v>
      </c>
      <c r="K138">
        <v>1.2</v>
      </c>
      <c r="L138" t="s">
        <v>18</v>
      </c>
      <c r="M138">
        <v>1</v>
      </c>
      <c r="N138">
        <v>2</v>
      </c>
      <c r="O138">
        <v>1</v>
      </c>
      <c r="P138">
        <v>0</v>
      </c>
      <c r="Q138">
        <f t="shared" si="13"/>
        <v>4</v>
      </c>
      <c r="S138" t="str">
        <f t="shared" si="14"/>
        <v>Mentally Sound</v>
      </c>
    </row>
    <row r="139" spans="1:19" x14ac:dyDescent="0.25">
      <c r="A139">
        <v>17</v>
      </c>
      <c r="B139" t="str">
        <f t="shared" si="10"/>
        <v>Old Teenager</v>
      </c>
      <c r="C139" t="s">
        <v>16</v>
      </c>
      <c r="D139">
        <v>2.1</v>
      </c>
      <c r="E139" t="s">
        <v>20</v>
      </c>
      <c r="F139">
        <v>4.7</v>
      </c>
      <c r="G139">
        <v>2</v>
      </c>
      <c r="H139">
        <f t="shared" si="11"/>
        <v>4.0999999999999996</v>
      </c>
      <c r="I139">
        <v>2.99</v>
      </c>
      <c r="J139" t="str">
        <f t="shared" si="12"/>
        <v>Second class lower</v>
      </c>
      <c r="K139">
        <v>1.9</v>
      </c>
      <c r="L139" t="s">
        <v>18</v>
      </c>
      <c r="M139">
        <v>5</v>
      </c>
      <c r="N139">
        <v>1</v>
      </c>
      <c r="O139">
        <v>8</v>
      </c>
      <c r="P139">
        <v>0</v>
      </c>
      <c r="Q139">
        <f t="shared" si="13"/>
        <v>14</v>
      </c>
      <c r="S139" t="str">
        <f t="shared" si="14"/>
        <v>Mentally Strained</v>
      </c>
    </row>
    <row r="140" spans="1:19" x14ac:dyDescent="0.25">
      <c r="A140">
        <v>14</v>
      </c>
      <c r="B140" t="str">
        <f t="shared" si="10"/>
        <v>Young Teenager</v>
      </c>
      <c r="C140" t="s">
        <v>19</v>
      </c>
      <c r="D140">
        <v>6.4</v>
      </c>
      <c r="E140" t="s">
        <v>17</v>
      </c>
      <c r="F140">
        <v>6</v>
      </c>
      <c r="G140">
        <v>1.1000000000000001</v>
      </c>
      <c r="H140">
        <f t="shared" si="11"/>
        <v>7.5</v>
      </c>
      <c r="I140">
        <v>3.81</v>
      </c>
      <c r="J140" t="str">
        <f t="shared" si="12"/>
        <v>first class</v>
      </c>
      <c r="K140">
        <v>0.9</v>
      </c>
      <c r="L140" t="s">
        <v>22</v>
      </c>
      <c r="M140">
        <v>8</v>
      </c>
      <c r="N140">
        <v>2</v>
      </c>
      <c r="O140">
        <v>3</v>
      </c>
      <c r="P140">
        <v>0</v>
      </c>
      <c r="Q140">
        <f t="shared" si="13"/>
        <v>13</v>
      </c>
      <c r="S140" t="str">
        <f t="shared" si="14"/>
        <v>Mentally Strained</v>
      </c>
    </row>
    <row r="141" spans="1:19" x14ac:dyDescent="0.25">
      <c r="A141">
        <v>15</v>
      </c>
      <c r="B141" t="str">
        <f t="shared" si="10"/>
        <v>Young Teenager</v>
      </c>
      <c r="C141" t="s">
        <v>19</v>
      </c>
      <c r="D141">
        <v>2.2999999999999998</v>
      </c>
      <c r="E141" t="s">
        <v>20</v>
      </c>
      <c r="F141">
        <v>6.5</v>
      </c>
      <c r="G141">
        <v>2.6</v>
      </c>
      <c r="H141">
        <f t="shared" si="11"/>
        <v>4.9000000000000004</v>
      </c>
      <c r="I141">
        <v>3.18</v>
      </c>
      <c r="J141" t="str">
        <f t="shared" si="12"/>
        <v>Second class upper</v>
      </c>
      <c r="K141">
        <v>0.1</v>
      </c>
      <c r="L141" t="s">
        <v>18</v>
      </c>
      <c r="M141">
        <v>1</v>
      </c>
      <c r="N141">
        <v>8</v>
      </c>
      <c r="O141">
        <v>4</v>
      </c>
      <c r="P141">
        <v>0</v>
      </c>
      <c r="Q141">
        <f t="shared" si="13"/>
        <v>13</v>
      </c>
      <c r="S141" t="str">
        <f t="shared" si="14"/>
        <v>Mentally Strained</v>
      </c>
    </row>
    <row r="142" spans="1:19" x14ac:dyDescent="0.25">
      <c r="A142">
        <v>13</v>
      </c>
      <c r="B142" t="str">
        <f t="shared" si="10"/>
        <v>Young Teenager</v>
      </c>
      <c r="C142" t="s">
        <v>19</v>
      </c>
      <c r="D142">
        <v>4.4000000000000004</v>
      </c>
      <c r="E142" t="s">
        <v>20</v>
      </c>
      <c r="F142">
        <v>8.8000000000000007</v>
      </c>
      <c r="G142">
        <v>1.3</v>
      </c>
      <c r="H142">
        <f t="shared" si="11"/>
        <v>5.7</v>
      </c>
      <c r="I142">
        <v>2.69</v>
      </c>
      <c r="J142" t="str">
        <f t="shared" si="12"/>
        <v>Second class lower</v>
      </c>
      <c r="K142">
        <v>0.4</v>
      </c>
      <c r="L142" t="s">
        <v>18</v>
      </c>
      <c r="M142">
        <v>3</v>
      </c>
      <c r="N142">
        <v>1</v>
      </c>
      <c r="O142">
        <v>7</v>
      </c>
      <c r="P142">
        <v>0</v>
      </c>
      <c r="Q142">
        <f t="shared" si="13"/>
        <v>11</v>
      </c>
      <c r="S142" t="str">
        <f t="shared" si="14"/>
        <v>Mentally Strained</v>
      </c>
    </row>
    <row r="143" spans="1:19" x14ac:dyDescent="0.25">
      <c r="A143">
        <v>19</v>
      </c>
      <c r="B143" t="str">
        <f t="shared" si="10"/>
        <v>Old Teenager</v>
      </c>
      <c r="C143" t="s">
        <v>16</v>
      </c>
      <c r="D143">
        <v>2.2999999999999998</v>
      </c>
      <c r="E143" t="s">
        <v>17</v>
      </c>
      <c r="F143">
        <v>6.9</v>
      </c>
      <c r="G143">
        <v>2.2999999999999998</v>
      </c>
      <c r="H143">
        <f t="shared" si="11"/>
        <v>4.5999999999999996</v>
      </c>
      <c r="I143">
        <v>2.17</v>
      </c>
      <c r="J143" t="str">
        <f t="shared" si="12"/>
        <v>third class</v>
      </c>
      <c r="K143">
        <v>1.6</v>
      </c>
      <c r="L143" t="s">
        <v>22</v>
      </c>
      <c r="M143">
        <v>3</v>
      </c>
      <c r="N143">
        <v>6</v>
      </c>
      <c r="O143">
        <v>10</v>
      </c>
      <c r="P143">
        <v>0</v>
      </c>
      <c r="Q143">
        <f t="shared" si="13"/>
        <v>19</v>
      </c>
      <c r="S143" t="str">
        <f t="shared" si="14"/>
        <v>Mentally Strained</v>
      </c>
    </row>
    <row r="144" spans="1:19" x14ac:dyDescent="0.25">
      <c r="A144">
        <v>13</v>
      </c>
      <c r="B144" t="str">
        <f t="shared" si="10"/>
        <v>Young Teenager</v>
      </c>
      <c r="C144" t="s">
        <v>16</v>
      </c>
      <c r="D144">
        <v>4.3</v>
      </c>
      <c r="E144" t="s">
        <v>17</v>
      </c>
      <c r="F144">
        <v>4.4000000000000004</v>
      </c>
      <c r="G144">
        <v>0.7</v>
      </c>
      <c r="H144">
        <f t="shared" si="11"/>
        <v>5</v>
      </c>
      <c r="I144">
        <v>3.19</v>
      </c>
      <c r="J144" t="str">
        <f t="shared" si="12"/>
        <v>Second class upper</v>
      </c>
      <c r="K144">
        <v>0.3</v>
      </c>
      <c r="L144" t="s">
        <v>18</v>
      </c>
      <c r="M144">
        <v>6</v>
      </c>
      <c r="N144">
        <v>2</v>
      </c>
      <c r="O144">
        <v>6</v>
      </c>
      <c r="P144">
        <v>0</v>
      </c>
      <c r="Q144">
        <f t="shared" si="13"/>
        <v>14</v>
      </c>
      <c r="S144" t="str">
        <f t="shared" si="14"/>
        <v>Mentally Strained</v>
      </c>
    </row>
    <row r="145" spans="1:19" x14ac:dyDescent="0.25">
      <c r="A145">
        <v>18</v>
      </c>
      <c r="B145" t="str">
        <f t="shared" si="10"/>
        <v>Old Teenager</v>
      </c>
      <c r="C145" t="s">
        <v>19</v>
      </c>
      <c r="D145">
        <v>3.9</v>
      </c>
      <c r="E145" t="s">
        <v>20</v>
      </c>
      <c r="F145">
        <v>5.2</v>
      </c>
      <c r="G145">
        <v>1.8</v>
      </c>
      <c r="H145">
        <f t="shared" si="11"/>
        <v>5.7</v>
      </c>
      <c r="I145">
        <v>2.41</v>
      </c>
      <c r="J145" t="str">
        <f t="shared" si="12"/>
        <v>third class</v>
      </c>
      <c r="K145">
        <v>0.6</v>
      </c>
      <c r="L145" t="s">
        <v>21</v>
      </c>
      <c r="M145">
        <v>9</v>
      </c>
      <c r="N145">
        <v>5</v>
      </c>
      <c r="O145">
        <v>5</v>
      </c>
      <c r="P145">
        <v>0</v>
      </c>
      <c r="Q145">
        <f t="shared" si="13"/>
        <v>19</v>
      </c>
      <c r="S145" t="str">
        <f t="shared" si="14"/>
        <v>Mentally Strained</v>
      </c>
    </row>
    <row r="146" spans="1:19" x14ac:dyDescent="0.25">
      <c r="A146">
        <v>18</v>
      </c>
      <c r="B146" t="str">
        <f t="shared" si="10"/>
        <v>Old Teenager</v>
      </c>
      <c r="C146" t="s">
        <v>16</v>
      </c>
      <c r="D146">
        <v>2.9</v>
      </c>
      <c r="E146" t="s">
        <v>20</v>
      </c>
      <c r="F146">
        <v>7.5</v>
      </c>
      <c r="G146">
        <v>0.9</v>
      </c>
      <c r="H146">
        <f t="shared" si="11"/>
        <v>3.8</v>
      </c>
      <c r="I146">
        <v>2.62</v>
      </c>
      <c r="J146" t="str">
        <f t="shared" si="12"/>
        <v>Second class lower</v>
      </c>
      <c r="K146">
        <v>2</v>
      </c>
      <c r="L146" t="s">
        <v>21</v>
      </c>
      <c r="M146">
        <v>3</v>
      </c>
      <c r="N146">
        <v>1</v>
      </c>
      <c r="O146">
        <v>9</v>
      </c>
      <c r="P146">
        <v>0</v>
      </c>
      <c r="Q146">
        <f t="shared" si="13"/>
        <v>13</v>
      </c>
      <c r="S146" t="str">
        <f t="shared" si="14"/>
        <v>Mentally Strained</v>
      </c>
    </row>
    <row r="147" spans="1:19" x14ac:dyDescent="0.25">
      <c r="A147">
        <v>14</v>
      </c>
      <c r="B147" t="str">
        <f t="shared" si="10"/>
        <v>Young Teenager</v>
      </c>
      <c r="C147" t="s">
        <v>16</v>
      </c>
      <c r="D147">
        <v>2.1</v>
      </c>
      <c r="E147" t="s">
        <v>17</v>
      </c>
      <c r="F147">
        <v>8.5</v>
      </c>
      <c r="G147">
        <v>1.1000000000000001</v>
      </c>
      <c r="H147">
        <f t="shared" si="11"/>
        <v>3.2</v>
      </c>
      <c r="I147">
        <v>3.03</v>
      </c>
      <c r="J147" t="str">
        <f t="shared" si="12"/>
        <v>Second class upper</v>
      </c>
      <c r="K147">
        <v>1.6</v>
      </c>
      <c r="L147" t="s">
        <v>22</v>
      </c>
      <c r="M147">
        <v>5</v>
      </c>
      <c r="N147">
        <v>6</v>
      </c>
      <c r="O147">
        <v>7</v>
      </c>
      <c r="P147">
        <v>0</v>
      </c>
      <c r="Q147">
        <f t="shared" si="13"/>
        <v>18</v>
      </c>
      <c r="S147" t="str">
        <f t="shared" si="14"/>
        <v>Mentally Strained</v>
      </c>
    </row>
    <row r="148" spans="1:19" x14ac:dyDescent="0.25">
      <c r="A148">
        <v>14</v>
      </c>
      <c r="B148" t="str">
        <f t="shared" si="10"/>
        <v>Young Teenager</v>
      </c>
      <c r="C148" t="s">
        <v>16</v>
      </c>
      <c r="D148">
        <v>2.1</v>
      </c>
      <c r="E148" t="s">
        <v>20</v>
      </c>
      <c r="F148">
        <v>5</v>
      </c>
      <c r="G148">
        <v>1.4</v>
      </c>
      <c r="H148">
        <f t="shared" si="11"/>
        <v>3.5</v>
      </c>
      <c r="I148">
        <v>2.96</v>
      </c>
      <c r="J148" t="str">
        <f t="shared" si="12"/>
        <v>Second class lower</v>
      </c>
      <c r="K148">
        <v>1.1000000000000001</v>
      </c>
      <c r="L148" t="s">
        <v>18</v>
      </c>
      <c r="M148">
        <v>7</v>
      </c>
      <c r="N148">
        <v>1</v>
      </c>
      <c r="O148">
        <v>9</v>
      </c>
      <c r="P148">
        <v>0</v>
      </c>
      <c r="Q148">
        <f t="shared" si="13"/>
        <v>17</v>
      </c>
      <c r="S148" t="str">
        <f t="shared" si="14"/>
        <v>Mentally Strained</v>
      </c>
    </row>
    <row r="149" spans="1:19" x14ac:dyDescent="0.25">
      <c r="A149">
        <v>16</v>
      </c>
      <c r="B149" t="str">
        <f t="shared" si="10"/>
        <v>Old Teenager</v>
      </c>
      <c r="C149" t="s">
        <v>16</v>
      </c>
      <c r="D149">
        <v>3.8</v>
      </c>
      <c r="E149" t="s">
        <v>20</v>
      </c>
      <c r="F149">
        <v>5.7</v>
      </c>
      <c r="G149">
        <v>1.3</v>
      </c>
      <c r="H149">
        <f t="shared" si="11"/>
        <v>5.0999999999999996</v>
      </c>
      <c r="I149">
        <v>3.84</v>
      </c>
      <c r="J149" t="str">
        <f t="shared" si="12"/>
        <v>first class</v>
      </c>
      <c r="K149">
        <v>1.6</v>
      </c>
      <c r="L149" t="s">
        <v>22</v>
      </c>
      <c r="M149">
        <v>3</v>
      </c>
      <c r="N149">
        <v>4</v>
      </c>
      <c r="O149">
        <v>10</v>
      </c>
      <c r="P149">
        <v>0</v>
      </c>
      <c r="Q149">
        <f t="shared" si="13"/>
        <v>17</v>
      </c>
      <c r="S149" t="str">
        <f t="shared" si="14"/>
        <v>Mentally Strained</v>
      </c>
    </row>
    <row r="150" spans="1:19" x14ac:dyDescent="0.25">
      <c r="A150">
        <v>15</v>
      </c>
      <c r="B150" t="str">
        <f t="shared" si="10"/>
        <v>Young Teenager</v>
      </c>
      <c r="C150" t="s">
        <v>19</v>
      </c>
      <c r="D150">
        <v>1.1000000000000001</v>
      </c>
      <c r="E150" t="s">
        <v>20</v>
      </c>
      <c r="F150">
        <v>8.1999999999999993</v>
      </c>
      <c r="G150">
        <v>0.7</v>
      </c>
      <c r="H150">
        <f t="shared" si="11"/>
        <v>1.8</v>
      </c>
      <c r="I150">
        <v>2.94</v>
      </c>
      <c r="J150" t="str">
        <f t="shared" si="12"/>
        <v>Second class lower</v>
      </c>
      <c r="K150">
        <v>0.7</v>
      </c>
      <c r="L150" t="s">
        <v>21</v>
      </c>
      <c r="M150">
        <v>10</v>
      </c>
      <c r="N150">
        <v>7</v>
      </c>
      <c r="O150">
        <v>9</v>
      </c>
      <c r="P150">
        <v>0</v>
      </c>
      <c r="Q150">
        <f t="shared" si="13"/>
        <v>26</v>
      </c>
      <c r="S150" t="str">
        <f t="shared" si="14"/>
        <v>Mentally Unstable</v>
      </c>
    </row>
    <row r="151" spans="1:19" x14ac:dyDescent="0.25">
      <c r="A151">
        <v>14</v>
      </c>
      <c r="B151" t="str">
        <f t="shared" si="10"/>
        <v>Young Teenager</v>
      </c>
      <c r="C151" t="s">
        <v>16</v>
      </c>
      <c r="D151">
        <v>2.5</v>
      </c>
      <c r="E151" t="s">
        <v>23</v>
      </c>
      <c r="F151">
        <v>5.3</v>
      </c>
      <c r="G151">
        <v>2.4</v>
      </c>
      <c r="H151">
        <f t="shared" si="11"/>
        <v>4.9000000000000004</v>
      </c>
      <c r="I151">
        <v>3.87</v>
      </c>
      <c r="J151" t="str">
        <f t="shared" si="12"/>
        <v>first class</v>
      </c>
      <c r="K151">
        <v>1.3</v>
      </c>
      <c r="L151" t="s">
        <v>21</v>
      </c>
      <c r="M151">
        <v>10</v>
      </c>
      <c r="N151">
        <v>9</v>
      </c>
      <c r="O151">
        <v>6</v>
      </c>
      <c r="P151">
        <v>0</v>
      </c>
      <c r="Q151">
        <f t="shared" si="13"/>
        <v>25</v>
      </c>
      <c r="S151" t="str">
        <f t="shared" si="14"/>
        <v>Mentally Unstable</v>
      </c>
    </row>
    <row r="152" spans="1:19" x14ac:dyDescent="0.25">
      <c r="A152">
        <v>19</v>
      </c>
      <c r="B152" t="str">
        <f t="shared" si="10"/>
        <v>Old Teenager</v>
      </c>
      <c r="C152" t="s">
        <v>19</v>
      </c>
      <c r="D152">
        <v>4.0999999999999996</v>
      </c>
      <c r="E152" t="s">
        <v>17</v>
      </c>
      <c r="F152">
        <v>6.4</v>
      </c>
      <c r="G152">
        <v>0.9</v>
      </c>
      <c r="H152">
        <f t="shared" si="11"/>
        <v>5</v>
      </c>
      <c r="I152">
        <v>2.4700000000000002</v>
      </c>
      <c r="J152" t="str">
        <f t="shared" si="12"/>
        <v>third class</v>
      </c>
      <c r="K152">
        <v>1.2</v>
      </c>
      <c r="L152" t="s">
        <v>21</v>
      </c>
      <c r="M152">
        <v>7</v>
      </c>
      <c r="N152">
        <v>3</v>
      </c>
      <c r="O152">
        <v>4</v>
      </c>
      <c r="P152">
        <v>0</v>
      </c>
      <c r="Q152">
        <f t="shared" si="13"/>
        <v>14</v>
      </c>
      <c r="S152" t="str">
        <f t="shared" si="14"/>
        <v>Mentally Strained</v>
      </c>
    </row>
    <row r="153" spans="1:19" x14ac:dyDescent="0.25">
      <c r="A153">
        <v>16</v>
      </c>
      <c r="B153" t="str">
        <f t="shared" si="10"/>
        <v>Old Teenager</v>
      </c>
      <c r="C153" t="s">
        <v>16</v>
      </c>
      <c r="D153">
        <v>3</v>
      </c>
      <c r="E153" t="s">
        <v>17</v>
      </c>
      <c r="F153">
        <v>8.6</v>
      </c>
      <c r="G153">
        <v>1.5</v>
      </c>
      <c r="H153">
        <f t="shared" si="11"/>
        <v>4.5</v>
      </c>
      <c r="I153">
        <v>2.84</v>
      </c>
      <c r="J153" t="str">
        <f t="shared" si="12"/>
        <v>Second class lower</v>
      </c>
      <c r="K153">
        <v>0.3</v>
      </c>
      <c r="L153" t="s">
        <v>21</v>
      </c>
      <c r="M153">
        <v>6</v>
      </c>
      <c r="N153">
        <v>4</v>
      </c>
      <c r="O153">
        <v>3</v>
      </c>
      <c r="P153">
        <v>0</v>
      </c>
      <c r="Q153">
        <f t="shared" si="13"/>
        <v>13</v>
      </c>
      <c r="S153" t="str">
        <f t="shared" si="14"/>
        <v>Mentally Strained</v>
      </c>
    </row>
    <row r="154" spans="1:19" x14ac:dyDescent="0.25">
      <c r="A154">
        <v>13</v>
      </c>
      <c r="B154" t="str">
        <f t="shared" si="10"/>
        <v>Young Teenager</v>
      </c>
      <c r="C154" t="s">
        <v>19</v>
      </c>
      <c r="D154">
        <v>3.9</v>
      </c>
      <c r="E154" t="s">
        <v>17</v>
      </c>
      <c r="F154">
        <v>5</v>
      </c>
      <c r="G154">
        <v>0.7</v>
      </c>
      <c r="H154">
        <f t="shared" si="11"/>
        <v>4.5999999999999996</v>
      </c>
      <c r="I154">
        <v>2.98</v>
      </c>
      <c r="J154" t="str">
        <f t="shared" si="12"/>
        <v>Second class lower</v>
      </c>
      <c r="K154">
        <v>0.3</v>
      </c>
      <c r="L154" t="s">
        <v>22</v>
      </c>
      <c r="M154">
        <v>10</v>
      </c>
      <c r="N154">
        <v>8</v>
      </c>
      <c r="O154">
        <v>3</v>
      </c>
      <c r="P154">
        <v>0</v>
      </c>
      <c r="Q154">
        <f t="shared" si="13"/>
        <v>21</v>
      </c>
      <c r="S154" t="str">
        <f t="shared" si="14"/>
        <v>Mentally Unstable</v>
      </c>
    </row>
    <row r="155" spans="1:19" x14ac:dyDescent="0.25">
      <c r="A155">
        <v>13</v>
      </c>
      <c r="B155" t="str">
        <f t="shared" si="10"/>
        <v>Young Teenager</v>
      </c>
      <c r="C155" t="s">
        <v>16</v>
      </c>
      <c r="D155">
        <v>7</v>
      </c>
      <c r="E155" t="s">
        <v>20</v>
      </c>
      <c r="F155">
        <v>8.9</v>
      </c>
      <c r="G155">
        <v>0.6</v>
      </c>
      <c r="H155">
        <f t="shared" si="11"/>
        <v>7.6</v>
      </c>
      <c r="I155">
        <v>2.7</v>
      </c>
      <c r="J155" t="str">
        <f t="shared" si="12"/>
        <v>Second class lower</v>
      </c>
      <c r="K155">
        <v>1.8</v>
      </c>
      <c r="L155" t="s">
        <v>22</v>
      </c>
      <c r="M155">
        <v>5</v>
      </c>
      <c r="N155">
        <v>4</v>
      </c>
      <c r="O155">
        <v>1</v>
      </c>
      <c r="P155">
        <v>0</v>
      </c>
      <c r="Q155">
        <f t="shared" si="13"/>
        <v>10</v>
      </c>
      <c r="S155" t="str">
        <f t="shared" si="14"/>
        <v>Mentally Strained</v>
      </c>
    </row>
    <row r="156" spans="1:19" x14ac:dyDescent="0.25">
      <c r="A156">
        <v>16</v>
      </c>
      <c r="B156" t="str">
        <f t="shared" si="10"/>
        <v>Old Teenager</v>
      </c>
      <c r="C156" t="s">
        <v>16</v>
      </c>
      <c r="D156">
        <v>3.6</v>
      </c>
      <c r="E156" t="s">
        <v>23</v>
      </c>
      <c r="F156">
        <v>8.9</v>
      </c>
      <c r="G156">
        <v>1.9</v>
      </c>
      <c r="H156">
        <f t="shared" si="11"/>
        <v>5.5</v>
      </c>
      <c r="I156">
        <v>2.11</v>
      </c>
      <c r="J156" t="str">
        <f t="shared" si="12"/>
        <v>third class</v>
      </c>
      <c r="K156">
        <v>1.7</v>
      </c>
      <c r="L156" t="s">
        <v>18</v>
      </c>
      <c r="M156">
        <v>9</v>
      </c>
      <c r="N156">
        <v>5</v>
      </c>
      <c r="O156">
        <v>2</v>
      </c>
      <c r="P156">
        <v>0</v>
      </c>
      <c r="Q156">
        <f t="shared" si="13"/>
        <v>16</v>
      </c>
      <c r="S156" t="str">
        <f t="shared" si="14"/>
        <v>Mentally Strained</v>
      </c>
    </row>
    <row r="157" spans="1:19" x14ac:dyDescent="0.25">
      <c r="A157">
        <v>15</v>
      </c>
      <c r="B157" t="str">
        <f t="shared" si="10"/>
        <v>Young Teenager</v>
      </c>
      <c r="C157" t="s">
        <v>16</v>
      </c>
      <c r="D157">
        <v>7.6</v>
      </c>
      <c r="E157" t="s">
        <v>17</v>
      </c>
      <c r="F157">
        <v>7.6</v>
      </c>
      <c r="G157">
        <v>2.7</v>
      </c>
      <c r="H157">
        <f t="shared" si="11"/>
        <v>10.3</v>
      </c>
      <c r="I157">
        <v>2.36</v>
      </c>
      <c r="J157" t="str">
        <f t="shared" si="12"/>
        <v>third class</v>
      </c>
      <c r="K157">
        <v>1.2</v>
      </c>
      <c r="L157" t="s">
        <v>22</v>
      </c>
      <c r="M157">
        <v>5</v>
      </c>
      <c r="N157">
        <v>10</v>
      </c>
      <c r="O157">
        <v>3</v>
      </c>
      <c r="P157">
        <v>0</v>
      </c>
      <c r="Q157">
        <f t="shared" si="13"/>
        <v>18</v>
      </c>
      <c r="S157" t="str">
        <f t="shared" si="14"/>
        <v>Mentally Strained</v>
      </c>
    </row>
    <row r="158" spans="1:19" x14ac:dyDescent="0.25">
      <c r="A158">
        <v>19</v>
      </c>
      <c r="B158" t="str">
        <f t="shared" si="10"/>
        <v>Old Teenager</v>
      </c>
      <c r="C158" t="s">
        <v>16</v>
      </c>
      <c r="D158">
        <v>1.3</v>
      </c>
      <c r="E158" t="s">
        <v>17</v>
      </c>
      <c r="F158">
        <v>4.5</v>
      </c>
      <c r="G158">
        <v>0.7</v>
      </c>
      <c r="H158">
        <f t="shared" si="11"/>
        <v>2</v>
      </c>
      <c r="I158">
        <v>2.5099999999999998</v>
      </c>
      <c r="J158" t="str">
        <f t="shared" si="12"/>
        <v>Second class lower</v>
      </c>
      <c r="K158">
        <v>0.8</v>
      </c>
      <c r="L158" t="s">
        <v>18</v>
      </c>
      <c r="M158">
        <v>10</v>
      </c>
      <c r="N158">
        <v>9</v>
      </c>
      <c r="O158">
        <v>7</v>
      </c>
      <c r="P158">
        <v>0</v>
      </c>
      <c r="Q158">
        <f t="shared" si="13"/>
        <v>26</v>
      </c>
      <c r="S158" t="str">
        <f t="shared" si="14"/>
        <v>Mentally Unstable</v>
      </c>
    </row>
    <row r="159" spans="1:19" x14ac:dyDescent="0.25">
      <c r="A159">
        <v>17</v>
      </c>
      <c r="B159" t="str">
        <f t="shared" si="10"/>
        <v>Old Teenager</v>
      </c>
      <c r="C159" t="s">
        <v>19</v>
      </c>
      <c r="D159">
        <v>2.1</v>
      </c>
      <c r="E159" t="s">
        <v>23</v>
      </c>
      <c r="F159">
        <v>7.8</v>
      </c>
      <c r="G159">
        <v>2.1</v>
      </c>
      <c r="H159">
        <f t="shared" si="11"/>
        <v>4.2</v>
      </c>
      <c r="I159">
        <v>3.29</v>
      </c>
      <c r="J159" t="str">
        <f t="shared" si="12"/>
        <v>Second class upper</v>
      </c>
      <c r="K159">
        <v>1.5</v>
      </c>
      <c r="L159" t="s">
        <v>18</v>
      </c>
      <c r="M159">
        <v>8</v>
      </c>
      <c r="N159">
        <v>1</v>
      </c>
      <c r="O159">
        <v>7</v>
      </c>
      <c r="P159">
        <v>0</v>
      </c>
      <c r="Q159">
        <f t="shared" si="13"/>
        <v>16</v>
      </c>
      <c r="S159" t="str">
        <f t="shared" si="14"/>
        <v>Mentally Strained</v>
      </c>
    </row>
    <row r="160" spans="1:19" x14ac:dyDescent="0.25">
      <c r="A160">
        <v>15</v>
      </c>
      <c r="B160" t="str">
        <f t="shared" si="10"/>
        <v>Young Teenager</v>
      </c>
      <c r="C160" t="s">
        <v>19</v>
      </c>
      <c r="D160">
        <v>2.7</v>
      </c>
      <c r="E160" t="s">
        <v>23</v>
      </c>
      <c r="F160">
        <v>8.8000000000000007</v>
      </c>
      <c r="G160">
        <v>1.9</v>
      </c>
      <c r="H160">
        <f t="shared" si="11"/>
        <v>4.5999999999999996</v>
      </c>
      <c r="I160">
        <v>2.14</v>
      </c>
      <c r="J160" t="str">
        <f t="shared" si="12"/>
        <v>third class</v>
      </c>
      <c r="K160">
        <v>0.4</v>
      </c>
      <c r="L160" t="s">
        <v>21</v>
      </c>
      <c r="M160">
        <v>8</v>
      </c>
      <c r="N160">
        <v>10</v>
      </c>
      <c r="O160">
        <v>3</v>
      </c>
      <c r="P160">
        <v>0</v>
      </c>
      <c r="Q160">
        <f t="shared" si="13"/>
        <v>21</v>
      </c>
      <c r="S160" t="str">
        <f t="shared" si="14"/>
        <v>Mentally Unstable</v>
      </c>
    </row>
    <row r="161" spans="1:19" x14ac:dyDescent="0.25">
      <c r="A161">
        <v>13</v>
      </c>
      <c r="B161" t="str">
        <f t="shared" si="10"/>
        <v>Young Teenager</v>
      </c>
      <c r="C161" t="s">
        <v>16</v>
      </c>
      <c r="D161">
        <v>7.5</v>
      </c>
      <c r="E161" t="s">
        <v>23</v>
      </c>
      <c r="F161">
        <v>8</v>
      </c>
      <c r="G161">
        <v>2</v>
      </c>
      <c r="H161">
        <f t="shared" si="11"/>
        <v>9.5</v>
      </c>
      <c r="I161">
        <v>3.25</v>
      </c>
      <c r="J161" t="str">
        <f t="shared" si="12"/>
        <v>Second class upper</v>
      </c>
      <c r="K161">
        <v>0.7</v>
      </c>
      <c r="L161" t="s">
        <v>22</v>
      </c>
      <c r="M161">
        <v>9</v>
      </c>
      <c r="N161">
        <v>10</v>
      </c>
      <c r="O161">
        <v>2</v>
      </c>
      <c r="P161">
        <v>0</v>
      </c>
      <c r="Q161">
        <f t="shared" si="13"/>
        <v>21</v>
      </c>
      <c r="S161" t="str">
        <f t="shared" si="14"/>
        <v>Mentally Unstable</v>
      </c>
    </row>
    <row r="162" spans="1:19" x14ac:dyDescent="0.25">
      <c r="A162">
        <v>16</v>
      </c>
      <c r="B162" t="str">
        <f t="shared" si="10"/>
        <v>Old Teenager</v>
      </c>
      <c r="C162" t="s">
        <v>19</v>
      </c>
      <c r="D162">
        <v>6.1</v>
      </c>
      <c r="E162" t="s">
        <v>23</v>
      </c>
      <c r="F162">
        <v>8.8000000000000007</v>
      </c>
      <c r="G162">
        <v>1.7</v>
      </c>
      <c r="H162">
        <f t="shared" si="11"/>
        <v>7.8</v>
      </c>
      <c r="I162">
        <v>3.55</v>
      </c>
      <c r="J162" t="str">
        <f t="shared" si="12"/>
        <v>Second class upper</v>
      </c>
      <c r="K162">
        <v>1.3</v>
      </c>
      <c r="L162" t="s">
        <v>22</v>
      </c>
      <c r="M162">
        <v>6</v>
      </c>
      <c r="N162">
        <v>10</v>
      </c>
      <c r="O162">
        <v>9</v>
      </c>
      <c r="P162">
        <v>0</v>
      </c>
      <c r="Q162">
        <f t="shared" si="13"/>
        <v>25</v>
      </c>
      <c r="S162" t="str">
        <f t="shared" si="14"/>
        <v>Mentally Unstable</v>
      </c>
    </row>
    <row r="163" spans="1:19" x14ac:dyDescent="0.25">
      <c r="A163">
        <v>19</v>
      </c>
      <c r="B163" t="str">
        <f t="shared" si="10"/>
        <v>Old Teenager</v>
      </c>
      <c r="C163" t="s">
        <v>16</v>
      </c>
      <c r="D163">
        <v>2.4</v>
      </c>
      <c r="E163" t="s">
        <v>23</v>
      </c>
      <c r="F163">
        <v>7.4</v>
      </c>
      <c r="G163">
        <v>1.2</v>
      </c>
      <c r="H163">
        <f t="shared" si="11"/>
        <v>3.5999999999999996</v>
      </c>
      <c r="I163">
        <v>2.5</v>
      </c>
      <c r="J163" t="str">
        <f t="shared" si="12"/>
        <v>Second class lower</v>
      </c>
      <c r="K163">
        <v>1.8</v>
      </c>
      <c r="L163" t="s">
        <v>21</v>
      </c>
      <c r="M163">
        <v>2</v>
      </c>
      <c r="N163">
        <v>5</v>
      </c>
      <c r="O163">
        <v>2</v>
      </c>
      <c r="P163">
        <v>0</v>
      </c>
      <c r="Q163">
        <f t="shared" si="13"/>
        <v>9</v>
      </c>
      <c r="S163" t="str">
        <f t="shared" si="14"/>
        <v>Mentally Sound</v>
      </c>
    </row>
    <row r="164" spans="1:19" x14ac:dyDescent="0.25">
      <c r="A164">
        <v>19</v>
      </c>
      <c r="B164" t="str">
        <f t="shared" si="10"/>
        <v>Old Teenager</v>
      </c>
      <c r="C164" t="s">
        <v>16</v>
      </c>
      <c r="D164">
        <v>2</v>
      </c>
      <c r="E164" t="s">
        <v>20</v>
      </c>
      <c r="F164">
        <v>5.3</v>
      </c>
      <c r="G164">
        <v>1.7</v>
      </c>
      <c r="H164">
        <f t="shared" si="11"/>
        <v>3.7</v>
      </c>
      <c r="I164">
        <v>2.91</v>
      </c>
      <c r="J164" t="str">
        <f t="shared" si="12"/>
        <v>Second class lower</v>
      </c>
      <c r="K164">
        <v>0.8</v>
      </c>
      <c r="L164" t="s">
        <v>18</v>
      </c>
      <c r="M164">
        <v>9</v>
      </c>
      <c r="N164">
        <v>5</v>
      </c>
      <c r="O164">
        <v>9</v>
      </c>
      <c r="P164">
        <v>0</v>
      </c>
      <c r="Q164">
        <f t="shared" si="13"/>
        <v>23</v>
      </c>
      <c r="S164" t="str">
        <f t="shared" si="14"/>
        <v>Mentally Unstable</v>
      </c>
    </row>
    <row r="165" spans="1:19" x14ac:dyDescent="0.25">
      <c r="A165">
        <v>15</v>
      </c>
      <c r="B165" t="str">
        <f t="shared" si="10"/>
        <v>Young Teenager</v>
      </c>
      <c r="C165" t="s">
        <v>19</v>
      </c>
      <c r="D165">
        <v>7.8</v>
      </c>
      <c r="E165" t="s">
        <v>20</v>
      </c>
      <c r="F165">
        <v>5.3</v>
      </c>
      <c r="G165">
        <v>0.5</v>
      </c>
      <c r="H165">
        <f t="shared" si="11"/>
        <v>8.3000000000000007</v>
      </c>
      <c r="I165">
        <v>2.3199999999999998</v>
      </c>
      <c r="J165" t="str">
        <f t="shared" si="12"/>
        <v>third class</v>
      </c>
      <c r="K165">
        <v>0.8</v>
      </c>
      <c r="L165" t="s">
        <v>18</v>
      </c>
      <c r="M165">
        <v>8</v>
      </c>
      <c r="N165">
        <v>9</v>
      </c>
      <c r="O165">
        <v>3</v>
      </c>
      <c r="P165">
        <v>1</v>
      </c>
      <c r="Q165">
        <f t="shared" si="13"/>
        <v>21</v>
      </c>
      <c r="S165" t="str">
        <f t="shared" si="14"/>
        <v>Mentally Unstable</v>
      </c>
    </row>
    <row r="166" spans="1:19" x14ac:dyDescent="0.25">
      <c r="A166">
        <v>16</v>
      </c>
      <c r="B166" t="str">
        <f t="shared" si="10"/>
        <v>Old Teenager</v>
      </c>
      <c r="C166" t="s">
        <v>19</v>
      </c>
      <c r="D166">
        <v>6.8</v>
      </c>
      <c r="E166" t="s">
        <v>20</v>
      </c>
      <c r="F166">
        <v>7.2</v>
      </c>
      <c r="G166">
        <v>2.5</v>
      </c>
      <c r="H166">
        <f t="shared" si="11"/>
        <v>9.3000000000000007</v>
      </c>
      <c r="I166">
        <v>3.61</v>
      </c>
      <c r="J166" t="str">
        <f t="shared" si="12"/>
        <v>first class</v>
      </c>
      <c r="K166">
        <v>0.5</v>
      </c>
      <c r="L166" t="s">
        <v>22</v>
      </c>
      <c r="M166">
        <v>10</v>
      </c>
      <c r="N166">
        <v>1</v>
      </c>
      <c r="O166">
        <v>9</v>
      </c>
      <c r="P166">
        <v>0</v>
      </c>
      <c r="Q166">
        <f t="shared" si="13"/>
        <v>20</v>
      </c>
      <c r="S166" t="str">
        <f t="shared" si="14"/>
        <v>Mentally Unstable</v>
      </c>
    </row>
    <row r="167" spans="1:19" x14ac:dyDescent="0.25">
      <c r="A167">
        <v>17</v>
      </c>
      <c r="B167" t="str">
        <f t="shared" si="10"/>
        <v>Old Teenager</v>
      </c>
      <c r="C167" t="s">
        <v>16</v>
      </c>
      <c r="D167">
        <v>8</v>
      </c>
      <c r="E167" t="s">
        <v>17</v>
      </c>
      <c r="F167">
        <v>4.5999999999999996</v>
      </c>
      <c r="G167">
        <v>2.6</v>
      </c>
      <c r="H167">
        <f t="shared" si="11"/>
        <v>10.6</v>
      </c>
      <c r="I167">
        <v>3.06</v>
      </c>
      <c r="J167" t="str">
        <f t="shared" si="12"/>
        <v>Second class upper</v>
      </c>
      <c r="K167">
        <v>0.1</v>
      </c>
      <c r="L167" t="s">
        <v>21</v>
      </c>
      <c r="M167">
        <v>9</v>
      </c>
      <c r="N167">
        <v>2</v>
      </c>
      <c r="O167">
        <v>6</v>
      </c>
      <c r="P167">
        <v>0</v>
      </c>
      <c r="Q167">
        <f t="shared" si="13"/>
        <v>17</v>
      </c>
      <c r="S167" t="str">
        <f t="shared" si="14"/>
        <v>Mentally Strained</v>
      </c>
    </row>
    <row r="168" spans="1:19" x14ac:dyDescent="0.25">
      <c r="A168">
        <v>13</v>
      </c>
      <c r="B168" t="str">
        <f t="shared" si="10"/>
        <v>Young Teenager</v>
      </c>
      <c r="C168" t="s">
        <v>19</v>
      </c>
      <c r="D168">
        <v>7.3</v>
      </c>
      <c r="E168" t="s">
        <v>23</v>
      </c>
      <c r="F168">
        <v>8.9</v>
      </c>
      <c r="G168">
        <v>2.7</v>
      </c>
      <c r="H168">
        <f t="shared" si="11"/>
        <v>10</v>
      </c>
      <c r="I168">
        <v>3.68</v>
      </c>
      <c r="J168" t="str">
        <f t="shared" si="12"/>
        <v>first class</v>
      </c>
      <c r="K168">
        <v>1.9</v>
      </c>
      <c r="L168" t="s">
        <v>18</v>
      </c>
      <c r="M168">
        <v>6</v>
      </c>
      <c r="N168">
        <v>6</v>
      </c>
      <c r="O168">
        <v>10</v>
      </c>
      <c r="P168">
        <v>0</v>
      </c>
      <c r="Q168">
        <f t="shared" si="13"/>
        <v>22</v>
      </c>
      <c r="S168" t="str">
        <f t="shared" si="14"/>
        <v>Mentally Unstable</v>
      </c>
    </row>
    <row r="169" spans="1:19" x14ac:dyDescent="0.25">
      <c r="A169">
        <v>15</v>
      </c>
      <c r="B169" t="str">
        <f t="shared" si="10"/>
        <v>Young Teenager</v>
      </c>
      <c r="C169" t="s">
        <v>19</v>
      </c>
      <c r="D169">
        <v>1.5</v>
      </c>
      <c r="E169" t="s">
        <v>23</v>
      </c>
      <c r="F169">
        <v>8.6999999999999993</v>
      </c>
      <c r="G169">
        <v>1.2</v>
      </c>
      <c r="H169">
        <f t="shared" si="11"/>
        <v>2.7</v>
      </c>
      <c r="I169">
        <v>2.52</v>
      </c>
      <c r="J169" t="str">
        <f t="shared" si="12"/>
        <v>Second class lower</v>
      </c>
      <c r="K169">
        <v>0.1</v>
      </c>
      <c r="L169" t="s">
        <v>18</v>
      </c>
      <c r="M169">
        <v>9</v>
      </c>
      <c r="N169">
        <v>7</v>
      </c>
      <c r="O169">
        <v>2</v>
      </c>
      <c r="P169">
        <v>0</v>
      </c>
      <c r="Q169">
        <f t="shared" si="13"/>
        <v>18</v>
      </c>
      <c r="S169" t="str">
        <f t="shared" si="14"/>
        <v>Mentally Strained</v>
      </c>
    </row>
    <row r="170" spans="1:19" x14ac:dyDescent="0.25">
      <c r="A170">
        <v>15</v>
      </c>
      <c r="B170" t="str">
        <f t="shared" si="10"/>
        <v>Young Teenager</v>
      </c>
      <c r="C170" t="s">
        <v>19</v>
      </c>
      <c r="D170">
        <v>3.4</v>
      </c>
      <c r="E170" t="s">
        <v>17</v>
      </c>
      <c r="F170">
        <v>5</v>
      </c>
      <c r="G170">
        <v>1.8</v>
      </c>
      <c r="H170">
        <f t="shared" si="11"/>
        <v>5.2</v>
      </c>
      <c r="I170">
        <v>3.2</v>
      </c>
      <c r="J170" t="str">
        <f t="shared" si="12"/>
        <v>Second class upper</v>
      </c>
      <c r="K170">
        <v>1.5</v>
      </c>
      <c r="L170" t="s">
        <v>22</v>
      </c>
      <c r="M170">
        <v>4</v>
      </c>
      <c r="N170">
        <v>5</v>
      </c>
      <c r="O170">
        <v>1</v>
      </c>
      <c r="P170">
        <v>0</v>
      </c>
      <c r="Q170">
        <f t="shared" si="13"/>
        <v>10</v>
      </c>
      <c r="S170" t="str">
        <f t="shared" si="14"/>
        <v>Mentally Strained</v>
      </c>
    </row>
    <row r="171" spans="1:19" x14ac:dyDescent="0.25">
      <c r="A171">
        <v>15</v>
      </c>
      <c r="B171" t="str">
        <f t="shared" si="10"/>
        <v>Young Teenager</v>
      </c>
      <c r="C171" t="s">
        <v>16</v>
      </c>
      <c r="D171">
        <v>7.3</v>
      </c>
      <c r="E171" t="s">
        <v>23</v>
      </c>
      <c r="F171">
        <v>4.8</v>
      </c>
      <c r="G171">
        <v>2.6</v>
      </c>
      <c r="H171">
        <f t="shared" si="11"/>
        <v>9.9</v>
      </c>
      <c r="I171">
        <v>3.81</v>
      </c>
      <c r="J171" t="str">
        <f t="shared" si="12"/>
        <v>first class</v>
      </c>
      <c r="K171">
        <v>1.5</v>
      </c>
      <c r="L171" t="s">
        <v>18</v>
      </c>
      <c r="M171">
        <v>4</v>
      </c>
      <c r="N171">
        <v>7</v>
      </c>
      <c r="O171">
        <v>4</v>
      </c>
      <c r="P171">
        <v>0</v>
      </c>
      <c r="Q171">
        <f t="shared" si="13"/>
        <v>15</v>
      </c>
      <c r="S171" t="str">
        <f t="shared" si="14"/>
        <v>Mentally Strained</v>
      </c>
    </row>
    <row r="172" spans="1:19" x14ac:dyDescent="0.25">
      <c r="A172">
        <v>13</v>
      </c>
      <c r="B172" t="str">
        <f t="shared" si="10"/>
        <v>Young Teenager</v>
      </c>
      <c r="C172" t="s">
        <v>19</v>
      </c>
      <c r="D172">
        <v>1.9</v>
      </c>
      <c r="E172" t="s">
        <v>20</v>
      </c>
      <c r="F172">
        <v>8.5</v>
      </c>
      <c r="G172">
        <v>0.8</v>
      </c>
      <c r="H172">
        <f t="shared" si="11"/>
        <v>2.7</v>
      </c>
      <c r="I172">
        <v>3.33</v>
      </c>
      <c r="J172" t="str">
        <f t="shared" si="12"/>
        <v>Second class upper</v>
      </c>
      <c r="K172">
        <v>1.3</v>
      </c>
      <c r="L172" t="s">
        <v>22</v>
      </c>
      <c r="M172">
        <v>5</v>
      </c>
      <c r="N172">
        <v>1</v>
      </c>
      <c r="O172">
        <v>3</v>
      </c>
      <c r="P172">
        <v>0</v>
      </c>
      <c r="Q172">
        <f t="shared" si="13"/>
        <v>9</v>
      </c>
      <c r="S172" t="str">
        <f t="shared" si="14"/>
        <v>Mentally Sound</v>
      </c>
    </row>
    <row r="173" spans="1:19" x14ac:dyDescent="0.25">
      <c r="A173">
        <v>17</v>
      </c>
      <c r="B173" t="str">
        <f t="shared" si="10"/>
        <v>Old Teenager</v>
      </c>
      <c r="C173" t="s">
        <v>19</v>
      </c>
      <c r="D173">
        <v>3.9</v>
      </c>
      <c r="E173" t="s">
        <v>17</v>
      </c>
      <c r="F173">
        <v>8.1999999999999993</v>
      </c>
      <c r="G173">
        <v>1.3</v>
      </c>
      <c r="H173">
        <f t="shared" si="11"/>
        <v>5.2</v>
      </c>
      <c r="I173">
        <v>3.21</v>
      </c>
      <c r="J173" t="str">
        <f t="shared" si="12"/>
        <v>Second class upper</v>
      </c>
      <c r="K173">
        <v>1.8</v>
      </c>
      <c r="L173" t="s">
        <v>22</v>
      </c>
      <c r="M173">
        <v>3</v>
      </c>
      <c r="N173">
        <v>7</v>
      </c>
      <c r="O173">
        <v>7</v>
      </c>
      <c r="P173">
        <v>0</v>
      </c>
      <c r="Q173">
        <f t="shared" si="13"/>
        <v>17</v>
      </c>
      <c r="S173" t="str">
        <f t="shared" si="14"/>
        <v>Mentally Strained</v>
      </c>
    </row>
    <row r="174" spans="1:19" x14ac:dyDescent="0.25">
      <c r="A174">
        <v>18</v>
      </c>
      <c r="B174" t="str">
        <f t="shared" si="10"/>
        <v>Old Teenager</v>
      </c>
      <c r="C174" t="s">
        <v>16</v>
      </c>
      <c r="D174">
        <v>1.3</v>
      </c>
      <c r="E174" t="s">
        <v>17</v>
      </c>
      <c r="F174">
        <v>5.8</v>
      </c>
      <c r="G174">
        <v>1.3</v>
      </c>
      <c r="H174">
        <f t="shared" si="11"/>
        <v>2.6</v>
      </c>
      <c r="I174">
        <v>3.35</v>
      </c>
      <c r="J174" t="str">
        <f t="shared" si="12"/>
        <v>Second class upper</v>
      </c>
      <c r="K174">
        <v>1.9</v>
      </c>
      <c r="L174" t="s">
        <v>22</v>
      </c>
      <c r="M174">
        <v>9</v>
      </c>
      <c r="N174">
        <v>4</v>
      </c>
      <c r="O174">
        <v>9</v>
      </c>
      <c r="P174">
        <v>0</v>
      </c>
      <c r="Q174">
        <f t="shared" si="13"/>
        <v>22</v>
      </c>
      <c r="S174" t="str">
        <f t="shared" si="14"/>
        <v>Mentally Unstable</v>
      </c>
    </row>
    <row r="175" spans="1:19" x14ac:dyDescent="0.25">
      <c r="A175">
        <v>19</v>
      </c>
      <c r="B175" t="str">
        <f t="shared" si="10"/>
        <v>Old Teenager</v>
      </c>
      <c r="C175" t="s">
        <v>16</v>
      </c>
      <c r="D175">
        <v>4.7</v>
      </c>
      <c r="E175" t="s">
        <v>20</v>
      </c>
      <c r="F175">
        <v>8.1999999999999993</v>
      </c>
      <c r="G175">
        <v>1.8</v>
      </c>
      <c r="H175">
        <f t="shared" si="11"/>
        <v>6.5</v>
      </c>
      <c r="I175">
        <v>2.2599999999999998</v>
      </c>
      <c r="J175" t="str">
        <f t="shared" si="12"/>
        <v>third class</v>
      </c>
      <c r="K175">
        <v>1</v>
      </c>
      <c r="L175" t="s">
        <v>18</v>
      </c>
      <c r="M175">
        <v>7</v>
      </c>
      <c r="N175">
        <v>4</v>
      </c>
      <c r="O175">
        <v>7</v>
      </c>
      <c r="P175">
        <v>0</v>
      </c>
      <c r="Q175">
        <f t="shared" si="13"/>
        <v>18</v>
      </c>
      <c r="S175" t="str">
        <f t="shared" si="14"/>
        <v>Mentally Strained</v>
      </c>
    </row>
    <row r="176" spans="1:19" x14ac:dyDescent="0.25">
      <c r="A176">
        <v>15</v>
      </c>
      <c r="B176" t="str">
        <f t="shared" si="10"/>
        <v>Young Teenager</v>
      </c>
      <c r="C176" t="s">
        <v>16</v>
      </c>
      <c r="D176">
        <v>1.9</v>
      </c>
      <c r="E176" t="s">
        <v>20</v>
      </c>
      <c r="F176">
        <v>5.8</v>
      </c>
      <c r="G176">
        <v>2.2999999999999998</v>
      </c>
      <c r="H176">
        <f t="shared" si="11"/>
        <v>4.1999999999999993</v>
      </c>
      <c r="I176">
        <v>2.4700000000000002</v>
      </c>
      <c r="J176" t="str">
        <f t="shared" si="12"/>
        <v>third class</v>
      </c>
      <c r="K176">
        <v>0.3</v>
      </c>
      <c r="L176" t="s">
        <v>21</v>
      </c>
      <c r="M176">
        <v>10</v>
      </c>
      <c r="N176">
        <v>9</v>
      </c>
      <c r="O176">
        <v>4</v>
      </c>
      <c r="P176">
        <v>0</v>
      </c>
      <c r="Q176">
        <f t="shared" si="13"/>
        <v>23</v>
      </c>
      <c r="S176" t="str">
        <f t="shared" si="14"/>
        <v>Mentally Unstable</v>
      </c>
    </row>
    <row r="177" spans="1:19" x14ac:dyDescent="0.25">
      <c r="A177">
        <v>18</v>
      </c>
      <c r="B177" t="str">
        <f t="shared" si="10"/>
        <v>Old Teenager</v>
      </c>
      <c r="C177" t="s">
        <v>19</v>
      </c>
      <c r="D177">
        <v>7</v>
      </c>
      <c r="E177" t="s">
        <v>23</v>
      </c>
      <c r="F177">
        <v>6.3</v>
      </c>
      <c r="G177">
        <v>1.6</v>
      </c>
      <c r="H177">
        <f t="shared" si="11"/>
        <v>8.6</v>
      </c>
      <c r="I177">
        <v>2.5499999999999998</v>
      </c>
      <c r="J177" t="str">
        <f t="shared" si="12"/>
        <v>Second class lower</v>
      </c>
      <c r="K177">
        <v>0.5</v>
      </c>
      <c r="L177" t="s">
        <v>22</v>
      </c>
      <c r="M177">
        <v>10</v>
      </c>
      <c r="N177">
        <v>1</v>
      </c>
      <c r="O177">
        <v>8</v>
      </c>
      <c r="P177">
        <v>0</v>
      </c>
      <c r="Q177">
        <f t="shared" si="13"/>
        <v>19</v>
      </c>
      <c r="S177" t="str">
        <f t="shared" si="14"/>
        <v>Mentally Strained</v>
      </c>
    </row>
    <row r="178" spans="1:19" x14ac:dyDescent="0.25">
      <c r="A178">
        <v>15</v>
      </c>
      <c r="B178" t="str">
        <f t="shared" si="10"/>
        <v>Young Teenager</v>
      </c>
      <c r="C178" t="s">
        <v>16</v>
      </c>
      <c r="D178">
        <v>6.2</v>
      </c>
      <c r="E178" t="s">
        <v>20</v>
      </c>
      <c r="F178">
        <v>6.3</v>
      </c>
      <c r="G178">
        <v>1.7</v>
      </c>
      <c r="H178">
        <f t="shared" si="11"/>
        <v>7.9</v>
      </c>
      <c r="I178">
        <v>2.2599999999999998</v>
      </c>
      <c r="J178" t="str">
        <f t="shared" si="12"/>
        <v>third class</v>
      </c>
      <c r="K178">
        <v>1.1000000000000001</v>
      </c>
      <c r="L178" t="s">
        <v>21</v>
      </c>
      <c r="M178">
        <v>9</v>
      </c>
      <c r="N178">
        <v>6</v>
      </c>
      <c r="O178">
        <v>2</v>
      </c>
      <c r="P178">
        <v>0</v>
      </c>
      <c r="Q178">
        <f t="shared" si="13"/>
        <v>17</v>
      </c>
      <c r="S178" t="str">
        <f t="shared" si="14"/>
        <v>Mentally Strained</v>
      </c>
    </row>
    <row r="179" spans="1:19" x14ac:dyDescent="0.25">
      <c r="A179">
        <v>14</v>
      </c>
      <c r="B179" t="str">
        <f t="shared" si="10"/>
        <v>Young Teenager</v>
      </c>
      <c r="C179" t="s">
        <v>16</v>
      </c>
      <c r="D179">
        <v>3.2</v>
      </c>
      <c r="E179" t="s">
        <v>20</v>
      </c>
      <c r="F179">
        <v>8</v>
      </c>
      <c r="G179">
        <v>1.3</v>
      </c>
      <c r="H179">
        <f t="shared" si="11"/>
        <v>4.5</v>
      </c>
      <c r="I179">
        <v>2.5</v>
      </c>
      <c r="J179" t="str">
        <f t="shared" si="12"/>
        <v>Second class lower</v>
      </c>
      <c r="K179">
        <v>1.1000000000000001</v>
      </c>
      <c r="L179" t="s">
        <v>21</v>
      </c>
      <c r="M179">
        <v>2</v>
      </c>
      <c r="N179">
        <v>7</v>
      </c>
      <c r="O179">
        <v>5</v>
      </c>
      <c r="P179">
        <v>0</v>
      </c>
      <c r="Q179">
        <f t="shared" si="13"/>
        <v>14</v>
      </c>
      <c r="S179" t="str">
        <f t="shared" si="14"/>
        <v>Mentally Strained</v>
      </c>
    </row>
    <row r="180" spans="1:19" x14ac:dyDescent="0.25">
      <c r="A180">
        <v>18</v>
      </c>
      <c r="B180" t="str">
        <f t="shared" si="10"/>
        <v>Old Teenager</v>
      </c>
      <c r="C180" t="s">
        <v>19</v>
      </c>
      <c r="D180">
        <v>4.5</v>
      </c>
      <c r="E180" t="s">
        <v>23</v>
      </c>
      <c r="F180">
        <v>7.9</v>
      </c>
      <c r="G180">
        <v>1.4</v>
      </c>
      <c r="H180">
        <f t="shared" si="11"/>
        <v>5.9</v>
      </c>
      <c r="I180">
        <v>2.38</v>
      </c>
      <c r="J180" t="str">
        <f t="shared" si="12"/>
        <v>third class</v>
      </c>
      <c r="K180">
        <v>0.1</v>
      </c>
      <c r="L180" t="s">
        <v>21</v>
      </c>
      <c r="M180">
        <v>7</v>
      </c>
      <c r="N180">
        <v>9</v>
      </c>
      <c r="O180">
        <v>1</v>
      </c>
      <c r="P180">
        <v>0</v>
      </c>
      <c r="Q180">
        <f t="shared" si="13"/>
        <v>17</v>
      </c>
      <c r="S180" t="str">
        <f t="shared" si="14"/>
        <v>Mentally Strained</v>
      </c>
    </row>
    <row r="181" spans="1:19" x14ac:dyDescent="0.25">
      <c r="A181">
        <v>14</v>
      </c>
      <c r="B181" t="str">
        <f t="shared" si="10"/>
        <v>Young Teenager</v>
      </c>
      <c r="C181" t="s">
        <v>19</v>
      </c>
      <c r="D181">
        <v>1.1000000000000001</v>
      </c>
      <c r="E181" t="s">
        <v>23</v>
      </c>
      <c r="F181">
        <v>6.1</v>
      </c>
      <c r="G181">
        <v>2.5</v>
      </c>
      <c r="H181">
        <f t="shared" si="11"/>
        <v>3.6</v>
      </c>
      <c r="I181">
        <v>2.8</v>
      </c>
      <c r="J181" t="str">
        <f t="shared" si="12"/>
        <v>Second class lower</v>
      </c>
      <c r="K181">
        <v>1.8</v>
      </c>
      <c r="L181" t="s">
        <v>21</v>
      </c>
      <c r="M181">
        <v>4</v>
      </c>
      <c r="N181">
        <v>10</v>
      </c>
      <c r="O181">
        <v>3</v>
      </c>
      <c r="P181">
        <v>0</v>
      </c>
      <c r="Q181">
        <f t="shared" si="13"/>
        <v>17</v>
      </c>
      <c r="S181" t="str">
        <f t="shared" si="14"/>
        <v>Mentally Strained</v>
      </c>
    </row>
    <row r="182" spans="1:19" x14ac:dyDescent="0.25">
      <c r="A182">
        <v>13</v>
      </c>
      <c r="B182" t="str">
        <f t="shared" si="10"/>
        <v>Young Teenager</v>
      </c>
      <c r="C182" t="s">
        <v>16</v>
      </c>
      <c r="D182">
        <v>5.9</v>
      </c>
      <c r="E182" t="s">
        <v>17</v>
      </c>
      <c r="F182">
        <v>8</v>
      </c>
      <c r="G182">
        <v>2.8</v>
      </c>
      <c r="H182">
        <f t="shared" si="11"/>
        <v>8.6999999999999993</v>
      </c>
      <c r="I182">
        <v>3.21</v>
      </c>
      <c r="J182" t="str">
        <f t="shared" si="12"/>
        <v>Second class upper</v>
      </c>
      <c r="K182">
        <v>1.6</v>
      </c>
      <c r="L182" t="s">
        <v>22</v>
      </c>
      <c r="M182">
        <v>2</v>
      </c>
      <c r="N182">
        <v>8</v>
      </c>
      <c r="O182">
        <v>8</v>
      </c>
      <c r="P182">
        <v>0</v>
      </c>
      <c r="Q182">
        <f t="shared" si="13"/>
        <v>18</v>
      </c>
      <c r="S182" t="str">
        <f t="shared" si="14"/>
        <v>Mentally Strained</v>
      </c>
    </row>
    <row r="183" spans="1:19" x14ac:dyDescent="0.25">
      <c r="A183">
        <v>17</v>
      </c>
      <c r="B183" t="str">
        <f t="shared" si="10"/>
        <v>Old Teenager</v>
      </c>
      <c r="C183" t="s">
        <v>16</v>
      </c>
      <c r="D183">
        <v>5.0999999999999996</v>
      </c>
      <c r="E183" t="s">
        <v>23</v>
      </c>
      <c r="F183">
        <v>5</v>
      </c>
      <c r="G183">
        <v>2.2000000000000002</v>
      </c>
      <c r="H183">
        <f t="shared" si="11"/>
        <v>7.3</v>
      </c>
      <c r="I183">
        <v>3.58</v>
      </c>
      <c r="J183" t="str">
        <f t="shared" si="12"/>
        <v>Second class upper</v>
      </c>
      <c r="K183">
        <v>1.2</v>
      </c>
      <c r="L183" t="s">
        <v>21</v>
      </c>
      <c r="M183">
        <v>6</v>
      </c>
      <c r="N183">
        <v>3</v>
      </c>
      <c r="O183">
        <v>9</v>
      </c>
      <c r="P183">
        <v>0</v>
      </c>
      <c r="Q183">
        <f t="shared" si="13"/>
        <v>18</v>
      </c>
      <c r="S183" t="str">
        <f t="shared" si="14"/>
        <v>Mentally Strained</v>
      </c>
    </row>
    <row r="184" spans="1:19" x14ac:dyDescent="0.25">
      <c r="A184">
        <v>15</v>
      </c>
      <c r="B184" t="str">
        <f t="shared" si="10"/>
        <v>Young Teenager</v>
      </c>
      <c r="C184" t="s">
        <v>16</v>
      </c>
      <c r="D184">
        <v>1.6</v>
      </c>
      <c r="E184" t="s">
        <v>17</v>
      </c>
      <c r="F184">
        <v>6.9</v>
      </c>
      <c r="G184">
        <v>2.2999999999999998</v>
      </c>
      <c r="H184">
        <f t="shared" si="11"/>
        <v>3.9</v>
      </c>
      <c r="I184">
        <v>3.16</v>
      </c>
      <c r="J184" t="str">
        <f t="shared" si="12"/>
        <v>Second class upper</v>
      </c>
      <c r="K184">
        <v>0.9</v>
      </c>
      <c r="L184" t="s">
        <v>22</v>
      </c>
      <c r="M184">
        <v>3</v>
      </c>
      <c r="N184">
        <v>1</v>
      </c>
      <c r="O184">
        <v>5</v>
      </c>
      <c r="P184">
        <v>0</v>
      </c>
      <c r="Q184">
        <f t="shared" si="13"/>
        <v>9</v>
      </c>
      <c r="S184" t="str">
        <f t="shared" si="14"/>
        <v>Mentally Sound</v>
      </c>
    </row>
    <row r="185" spans="1:19" x14ac:dyDescent="0.25">
      <c r="A185">
        <v>15</v>
      </c>
      <c r="B185" t="str">
        <f t="shared" si="10"/>
        <v>Young Teenager</v>
      </c>
      <c r="C185" t="s">
        <v>19</v>
      </c>
      <c r="D185">
        <v>7.2</v>
      </c>
      <c r="E185" t="s">
        <v>20</v>
      </c>
      <c r="F185">
        <v>8</v>
      </c>
      <c r="G185">
        <v>1.4</v>
      </c>
      <c r="H185">
        <f t="shared" si="11"/>
        <v>8.6</v>
      </c>
      <c r="I185">
        <v>3.64</v>
      </c>
      <c r="J185" t="str">
        <f t="shared" si="12"/>
        <v>first class</v>
      </c>
      <c r="K185">
        <v>0.4</v>
      </c>
      <c r="L185" t="s">
        <v>22</v>
      </c>
      <c r="M185">
        <v>10</v>
      </c>
      <c r="N185">
        <v>5</v>
      </c>
      <c r="O185">
        <v>7</v>
      </c>
      <c r="P185">
        <v>0</v>
      </c>
      <c r="Q185">
        <f t="shared" si="13"/>
        <v>22</v>
      </c>
      <c r="S185" t="str">
        <f t="shared" si="14"/>
        <v>Mentally Unstable</v>
      </c>
    </row>
    <row r="186" spans="1:19" x14ac:dyDescent="0.25">
      <c r="A186">
        <v>17</v>
      </c>
      <c r="B186" t="str">
        <f t="shared" si="10"/>
        <v>Old Teenager</v>
      </c>
      <c r="C186" t="s">
        <v>19</v>
      </c>
      <c r="D186">
        <v>1.4</v>
      </c>
      <c r="E186" t="s">
        <v>17</v>
      </c>
      <c r="F186">
        <v>6.9</v>
      </c>
      <c r="G186">
        <v>2.4</v>
      </c>
      <c r="H186">
        <f t="shared" si="11"/>
        <v>3.8</v>
      </c>
      <c r="I186">
        <v>3.06</v>
      </c>
      <c r="J186" t="str">
        <f t="shared" si="12"/>
        <v>Second class upper</v>
      </c>
      <c r="K186">
        <v>1.9</v>
      </c>
      <c r="L186" t="s">
        <v>22</v>
      </c>
      <c r="M186">
        <v>4</v>
      </c>
      <c r="N186">
        <v>10</v>
      </c>
      <c r="O186">
        <v>8</v>
      </c>
      <c r="P186">
        <v>0</v>
      </c>
      <c r="Q186">
        <f t="shared" si="13"/>
        <v>22</v>
      </c>
      <c r="S186" t="str">
        <f t="shared" si="14"/>
        <v>Mentally Unstable</v>
      </c>
    </row>
    <row r="187" spans="1:19" x14ac:dyDescent="0.25">
      <c r="A187">
        <v>17</v>
      </c>
      <c r="B187" t="str">
        <f t="shared" si="10"/>
        <v>Old Teenager</v>
      </c>
      <c r="C187" t="s">
        <v>19</v>
      </c>
      <c r="D187">
        <v>6.6</v>
      </c>
      <c r="E187" t="s">
        <v>17</v>
      </c>
      <c r="F187">
        <v>8</v>
      </c>
      <c r="G187">
        <v>2.2000000000000002</v>
      </c>
      <c r="H187">
        <f t="shared" si="11"/>
        <v>8.8000000000000007</v>
      </c>
      <c r="I187">
        <v>2.21</v>
      </c>
      <c r="J187" t="str">
        <f t="shared" si="12"/>
        <v>third class</v>
      </c>
      <c r="K187">
        <v>1</v>
      </c>
      <c r="L187" t="s">
        <v>21</v>
      </c>
      <c r="M187">
        <v>10</v>
      </c>
      <c r="N187">
        <v>8</v>
      </c>
      <c r="O187">
        <v>10</v>
      </c>
      <c r="P187">
        <v>0</v>
      </c>
      <c r="Q187">
        <f t="shared" si="13"/>
        <v>28</v>
      </c>
      <c r="S187" t="str">
        <f t="shared" si="14"/>
        <v>Mentally Unstable</v>
      </c>
    </row>
    <row r="188" spans="1:19" x14ac:dyDescent="0.25">
      <c r="A188">
        <v>15</v>
      </c>
      <c r="B188" t="str">
        <f t="shared" si="10"/>
        <v>Young Teenager</v>
      </c>
      <c r="C188" t="s">
        <v>19</v>
      </c>
      <c r="D188">
        <v>3.5</v>
      </c>
      <c r="E188" t="s">
        <v>17</v>
      </c>
      <c r="F188">
        <v>6.3</v>
      </c>
      <c r="G188">
        <v>0.8</v>
      </c>
      <c r="H188">
        <f t="shared" si="11"/>
        <v>4.3</v>
      </c>
      <c r="I188">
        <v>2.71</v>
      </c>
      <c r="J188" t="str">
        <f t="shared" si="12"/>
        <v>Second class lower</v>
      </c>
      <c r="K188">
        <v>1.8</v>
      </c>
      <c r="L188" t="s">
        <v>21</v>
      </c>
      <c r="M188">
        <v>7</v>
      </c>
      <c r="N188">
        <v>4</v>
      </c>
      <c r="O188">
        <v>2</v>
      </c>
      <c r="P188">
        <v>0</v>
      </c>
      <c r="Q188">
        <f t="shared" si="13"/>
        <v>13</v>
      </c>
      <c r="S188" t="str">
        <f t="shared" si="14"/>
        <v>Mentally Strained</v>
      </c>
    </row>
    <row r="189" spans="1:19" x14ac:dyDescent="0.25">
      <c r="A189">
        <v>17</v>
      </c>
      <c r="B189" t="str">
        <f t="shared" si="10"/>
        <v>Old Teenager</v>
      </c>
      <c r="C189" t="s">
        <v>19</v>
      </c>
      <c r="D189">
        <v>5.4</v>
      </c>
      <c r="E189" t="s">
        <v>23</v>
      </c>
      <c r="F189">
        <v>6.3</v>
      </c>
      <c r="G189">
        <v>2.8</v>
      </c>
      <c r="H189">
        <f t="shared" si="11"/>
        <v>8.1999999999999993</v>
      </c>
      <c r="I189">
        <v>3.06</v>
      </c>
      <c r="J189" t="str">
        <f t="shared" si="12"/>
        <v>Second class upper</v>
      </c>
      <c r="K189">
        <v>0.8</v>
      </c>
      <c r="L189" t="s">
        <v>18</v>
      </c>
      <c r="M189">
        <v>3</v>
      </c>
      <c r="N189">
        <v>7</v>
      </c>
      <c r="O189">
        <v>9</v>
      </c>
      <c r="P189">
        <v>0</v>
      </c>
      <c r="Q189">
        <f t="shared" si="13"/>
        <v>19</v>
      </c>
      <c r="S189" t="str">
        <f t="shared" si="14"/>
        <v>Mentally Strained</v>
      </c>
    </row>
    <row r="190" spans="1:19" x14ac:dyDescent="0.25">
      <c r="A190">
        <v>16</v>
      </c>
      <c r="B190" t="str">
        <f t="shared" si="10"/>
        <v>Old Teenager</v>
      </c>
      <c r="C190" t="s">
        <v>19</v>
      </c>
      <c r="D190">
        <v>4.2</v>
      </c>
      <c r="E190" t="s">
        <v>23</v>
      </c>
      <c r="F190">
        <v>7.3</v>
      </c>
      <c r="G190">
        <v>1.1000000000000001</v>
      </c>
      <c r="H190">
        <f t="shared" si="11"/>
        <v>5.3000000000000007</v>
      </c>
      <c r="I190">
        <v>3.1</v>
      </c>
      <c r="J190" t="str">
        <f t="shared" si="12"/>
        <v>Second class upper</v>
      </c>
      <c r="K190">
        <v>1.6</v>
      </c>
      <c r="L190" t="s">
        <v>22</v>
      </c>
      <c r="M190">
        <v>1</v>
      </c>
      <c r="N190">
        <v>6</v>
      </c>
      <c r="O190">
        <v>2</v>
      </c>
      <c r="P190">
        <v>0</v>
      </c>
      <c r="Q190">
        <f t="shared" si="13"/>
        <v>9</v>
      </c>
      <c r="S190" t="str">
        <f t="shared" si="14"/>
        <v>Mentally Sound</v>
      </c>
    </row>
    <row r="191" spans="1:19" x14ac:dyDescent="0.25">
      <c r="A191">
        <v>13</v>
      </c>
      <c r="B191" t="str">
        <f t="shared" si="10"/>
        <v>Young Teenager</v>
      </c>
      <c r="C191" t="s">
        <v>16</v>
      </c>
      <c r="D191">
        <v>2.5</v>
      </c>
      <c r="E191" t="s">
        <v>17</v>
      </c>
      <c r="F191">
        <v>8.3000000000000007</v>
      </c>
      <c r="G191">
        <v>1.6</v>
      </c>
      <c r="H191">
        <f t="shared" si="11"/>
        <v>4.0999999999999996</v>
      </c>
      <c r="I191">
        <v>2.91</v>
      </c>
      <c r="J191" t="str">
        <f t="shared" si="12"/>
        <v>Second class lower</v>
      </c>
      <c r="K191">
        <v>0.6</v>
      </c>
      <c r="L191" t="s">
        <v>21</v>
      </c>
      <c r="M191">
        <v>10</v>
      </c>
      <c r="N191">
        <v>2</v>
      </c>
      <c r="O191">
        <v>6</v>
      </c>
      <c r="P191">
        <v>0</v>
      </c>
      <c r="Q191">
        <f t="shared" si="13"/>
        <v>18</v>
      </c>
      <c r="S191" t="str">
        <f t="shared" si="14"/>
        <v>Mentally Strained</v>
      </c>
    </row>
    <row r="192" spans="1:19" x14ac:dyDescent="0.25">
      <c r="A192">
        <v>16</v>
      </c>
      <c r="B192" t="str">
        <f t="shared" si="10"/>
        <v>Old Teenager</v>
      </c>
      <c r="C192" t="s">
        <v>19</v>
      </c>
      <c r="D192">
        <v>3.8</v>
      </c>
      <c r="E192" t="s">
        <v>20</v>
      </c>
      <c r="F192">
        <v>6</v>
      </c>
      <c r="G192">
        <v>3</v>
      </c>
      <c r="H192">
        <f t="shared" si="11"/>
        <v>6.8</v>
      </c>
      <c r="I192">
        <v>2.1</v>
      </c>
      <c r="J192" t="str">
        <f t="shared" si="12"/>
        <v>third class</v>
      </c>
      <c r="K192">
        <v>0.2</v>
      </c>
      <c r="L192" t="s">
        <v>18</v>
      </c>
      <c r="M192">
        <v>7</v>
      </c>
      <c r="N192">
        <v>9</v>
      </c>
      <c r="O192">
        <v>1</v>
      </c>
      <c r="P192">
        <v>0</v>
      </c>
      <c r="Q192">
        <f t="shared" si="13"/>
        <v>17</v>
      </c>
      <c r="S192" t="str">
        <f t="shared" si="14"/>
        <v>Mentally Strained</v>
      </c>
    </row>
    <row r="193" spans="1:19" x14ac:dyDescent="0.25">
      <c r="A193">
        <v>13</v>
      </c>
      <c r="B193" t="str">
        <f t="shared" si="10"/>
        <v>Young Teenager</v>
      </c>
      <c r="C193" t="s">
        <v>16</v>
      </c>
      <c r="D193">
        <v>1.8</v>
      </c>
      <c r="E193" t="s">
        <v>17</v>
      </c>
      <c r="F193">
        <v>8.9</v>
      </c>
      <c r="G193">
        <v>1.2</v>
      </c>
      <c r="H193">
        <f t="shared" si="11"/>
        <v>3</v>
      </c>
      <c r="I193">
        <v>3.67</v>
      </c>
      <c r="J193" t="str">
        <f t="shared" si="12"/>
        <v>first class</v>
      </c>
      <c r="K193">
        <v>0.1</v>
      </c>
      <c r="L193" t="s">
        <v>22</v>
      </c>
      <c r="M193">
        <v>2</v>
      </c>
      <c r="N193">
        <v>8</v>
      </c>
      <c r="O193">
        <v>9</v>
      </c>
      <c r="P193">
        <v>0</v>
      </c>
      <c r="Q193">
        <f t="shared" si="13"/>
        <v>19</v>
      </c>
      <c r="S193" t="str">
        <f t="shared" si="14"/>
        <v>Mentally Strained</v>
      </c>
    </row>
    <row r="194" spans="1:19" x14ac:dyDescent="0.25">
      <c r="A194">
        <v>14</v>
      </c>
      <c r="B194" t="str">
        <f t="shared" si="10"/>
        <v>Young Teenager</v>
      </c>
      <c r="C194" t="s">
        <v>16</v>
      </c>
      <c r="D194">
        <v>5.4</v>
      </c>
      <c r="E194" t="s">
        <v>17</v>
      </c>
      <c r="F194">
        <v>5.6</v>
      </c>
      <c r="G194">
        <v>1.8</v>
      </c>
      <c r="H194">
        <f t="shared" si="11"/>
        <v>7.2</v>
      </c>
      <c r="I194">
        <v>3.01</v>
      </c>
      <c r="J194" t="str">
        <f t="shared" si="12"/>
        <v>Second class upper</v>
      </c>
      <c r="K194">
        <v>0.9</v>
      </c>
      <c r="L194" t="s">
        <v>18</v>
      </c>
      <c r="M194">
        <v>10</v>
      </c>
      <c r="N194">
        <v>6</v>
      </c>
      <c r="O194">
        <v>8</v>
      </c>
      <c r="P194">
        <v>0</v>
      </c>
      <c r="Q194">
        <f t="shared" si="13"/>
        <v>24</v>
      </c>
      <c r="S194" t="str">
        <f t="shared" si="14"/>
        <v>Mentally Unstable</v>
      </c>
    </row>
    <row r="195" spans="1:19" x14ac:dyDescent="0.25">
      <c r="A195">
        <v>14</v>
      </c>
      <c r="B195" t="str">
        <f t="shared" ref="B195:B258" si="15">IF(A195&lt;=15,"Young Teenager","Old Teenager")</f>
        <v>Young Teenager</v>
      </c>
      <c r="C195" t="s">
        <v>19</v>
      </c>
      <c r="D195">
        <v>7.7</v>
      </c>
      <c r="E195" t="s">
        <v>17</v>
      </c>
      <c r="F195">
        <v>6.1</v>
      </c>
      <c r="G195">
        <v>0.8</v>
      </c>
      <c r="H195">
        <f t="shared" ref="H195:H258" si="16">SUM(D195,G195)</f>
        <v>8.5</v>
      </c>
      <c r="I195">
        <v>3.47</v>
      </c>
      <c r="J195" t="str">
        <f t="shared" ref="J195:J258" si="17">IF(I195&lt;=2.49,"third class",IF(I195&lt;3,"Second class lower",IF(I195&lt;3.6,"Second class upper","first class")))</f>
        <v>Second class upper</v>
      </c>
      <c r="K195">
        <v>1.5</v>
      </c>
      <c r="L195" t="s">
        <v>22</v>
      </c>
      <c r="M195">
        <v>9</v>
      </c>
      <c r="N195">
        <v>10</v>
      </c>
      <c r="O195">
        <v>9</v>
      </c>
      <c r="P195">
        <v>0</v>
      </c>
      <c r="Q195">
        <f t="shared" ref="Q195:Q258" si="18">SUM(M195:P195)</f>
        <v>28</v>
      </c>
      <c r="S195" t="str">
        <f t="shared" ref="S195:S258" si="19">IF(Q195&lt;10,"Mentally Sound",IF(Q195&gt;=20,"Mentally Unstable","Mentally Strained"))</f>
        <v>Mentally Unstable</v>
      </c>
    </row>
    <row r="196" spans="1:19" x14ac:dyDescent="0.25">
      <c r="A196">
        <v>18</v>
      </c>
      <c r="B196" t="str">
        <f t="shared" si="15"/>
        <v>Old Teenager</v>
      </c>
      <c r="C196" t="s">
        <v>19</v>
      </c>
      <c r="D196">
        <v>4.0999999999999996</v>
      </c>
      <c r="E196" t="s">
        <v>17</v>
      </c>
      <c r="F196">
        <v>8</v>
      </c>
      <c r="G196">
        <v>1.7</v>
      </c>
      <c r="H196">
        <f t="shared" si="16"/>
        <v>5.8</v>
      </c>
      <c r="I196">
        <v>2.29</v>
      </c>
      <c r="J196" t="str">
        <f t="shared" si="17"/>
        <v>third class</v>
      </c>
      <c r="K196">
        <v>1.4</v>
      </c>
      <c r="L196" t="s">
        <v>18</v>
      </c>
      <c r="M196">
        <v>2</v>
      </c>
      <c r="N196">
        <v>1</v>
      </c>
      <c r="O196">
        <v>10</v>
      </c>
      <c r="P196">
        <v>0</v>
      </c>
      <c r="Q196">
        <f t="shared" si="18"/>
        <v>13</v>
      </c>
      <c r="S196" t="str">
        <f t="shared" si="19"/>
        <v>Mentally Strained</v>
      </c>
    </row>
    <row r="197" spans="1:19" x14ac:dyDescent="0.25">
      <c r="A197">
        <v>15</v>
      </c>
      <c r="B197" t="str">
        <f t="shared" si="15"/>
        <v>Young Teenager</v>
      </c>
      <c r="C197" t="s">
        <v>19</v>
      </c>
      <c r="D197">
        <v>6.6</v>
      </c>
      <c r="E197" t="s">
        <v>23</v>
      </c>
      <c r="F197">
        <v>4.9000000000000004</v>
      </c>
      <c r="G197">
        <v>3</v>
      </c>
      <c r="H197">
        <f t="shared" si="16"/>
        <v>9.6</v>
      </c>
      <c r="I197">
        <v>2.99</v>
      </c>
      <c r="J197" t="str">
        <f t="shared" si="17"/>
        <v>Second class lower</v>
      </c>
      <c r="K197">
        <v>0.9</v>
      </c>
      <c r="L197" t="s">
        <v>22</v>
      </c>
      <c r="M197">
        <v>4</v>
      </c>
      <c r="N197">
        <v>8</v>
      </c>
      <c r="O197">
        <v>3</v>
      </c>
      <c r="P197">
        <v>0</v>
      </c>
      <c r="Q197">
        <f t="shared" si="18"/>
        <v>15</v>
      </c>
      <c r="S197" t="str">
        <f t="shared" si="19"/>
        <v>Mentally Strained</v>
      </c>
    </row>
    <row r="198" spans="1:19" x14ac:dyDescent="0.25">
      <c r="A198">
        <v>16</v>
      </c>
      <c r="B198" t="str">
        <f t="shared" si="15"/>
        <v>Old Teenager</v>
      </c>
      <c r="C198" t="s">
        <v>16</v>
      </c>
      <c r="D198">
        <v>2.2999999999999998</v>
      </c>
      <c r="E198" t="s">
        <v>23</v>
      </c>
      <c r="F198">
        <v>4.0999999999999996</v>
      </c>
      <c r="G198">
        <v>0.8</v>
      </c>
      <c r="H198">
        <f t="shared" si="16"/>
        <v>3.0999999999999996</v>
      </c>
      <c r="I198">
        <v>3.18</v>
      </c>
      <c r="J198" t="str">
        <f t="shared" si="17"/>
        <v>Second class upper</v>
      </c>
      <c r="K198">
        <v>1.7</v>
      </c>
      <c r="L198" t="s">
        <v>22</v>
      </c>
      <c r="M198">
        <v>5</v>
      </c>
      <c r="N198">
        <v>3</v>
      </c>
      <c r="O198">
        <v>8</v>
      </c>
      <c r="P198">
        <v>0</v>
      </c>
      <c r="Q198">
        <f t="shared" si="18"/>
        <v>16</v>
      </c>
      <c r="S198" t="str">
        <f t="shared" si="19"/>
        <v>Mentally Strained</v>
      </c>
    </row>
    <row r="199" spans="1:19" x14ac:dyDescent="0.25">
      <c r="A199">
        <v>17</v>
      </c>
      <c r="B199" t="str">
        <f t="shared" si="15"/>
        <v>Old Teenager</v>
      </c>
      <c r="C199" t="s">
        <v>19</v>
      </c>
      <c r="D199">
        <v>7.5</v>
      </c>
      <c r="E199" t="s">
        <v>17</v>
      </c>
      <c r="F199">
        <v>5.9</v>
      </c>
      <c r="G199">
        <v>2.9</v>
      </c>
      <c r="H199">
        <f t="shared" si="16"/>
        <v>10.4</v>
      </c>
      <c r="I199">
        <v>3.71</v>
      </c>
      <c r="J199" t="str">
        <f t="shared" si="17"/>
        <v>first class</v>
      </c>
      <c r="K199">
        <v>1.7</v>
      </c>
      <c r="L199" t="s">
        <v>18</v>
      </c>
      <c r="M199">
        <v>3</v>
      </c>
      <c r="N199">
        <v>1</v>
      </c>
      <c r="O199">
        <v>10</v>
      </c>
      <c r="P199">
        <v>0</v>
      </c>
      <c r="Q199">
        <f t="shared" si="18"/>
        <v>14</v>
      </c>
      <c r="S199" t="str">
        <f t="shared" si="19"/>
        <v>Mentally Strained</v>
      </c>
    </row>
    <row r="200" spans="1:19" x14ac:dyDescent="0.25">
      <c r="A200">
        <v>18</v>
      </c>
      <c r="B200" t="str">
        <f t="shared" si="15"/>
        <v>Old Teenager</v>
      </c>
      <c r="C200" t="s">
        <v>16</v>
      </c>
      <c r="D200">
        <v>7.1</v>
      </c>
      <c r="E200" t="s">
        <v>17</v>
      </c>
      <c r="F200">
        <v>8</v>
      </c>
      <c r="G200">
        <v>2.9</v>
      </c>
      <c r="H200">
        <f t="shared" si="16"/>
        <v>10</v>
      </c>
      <c r="I200">
        <v>2.59</v>
      </c>
      <c r="J200" t="str">
        <f t="shared" si="17"/>
        <v>Second class lower</v>
      </c>
      <c r="K200">
        <v>1.2</v>
      </c>
      <c r="L200" t="s">
        <v>21</v>
      </c>
      <c r="M200">
        <v>10</v>
      </c>
      <c r="N200">
        <v>8</v>
      </c>
      <c r="O200">
        <v>5</v>
      </c>
      <c r="P200">
        <v>0</v>
      </c>
      <c r="Q200">
        <f t="shared" si="18"/>
        <v>23</v>
      </c>
      <c r="S200" t="str">
        <f t="shared" si="19"/>
        <v>Mentally Unstable</v>
      </c>
    </row>
    <row r="201" spans="1:19" x14ac:dyDescent="0.25">
      <c r="A201">
        <v>17</v>
      </c>
      <c r="B201" t="str">
        <f t="shared" si="15"/>
        <v>Old Teenager</v>
      </c>
      <c r="C201" t="s">
        <v>19</v>
      </c>
      <c r="D201">
        <v>1.7</v>
      </c>
      <c r="E201" t="s">
        <v>23</v>
      </c>
      <c r="F201">
        <v>6.3</v>
      </c>
      <c r="G201">
        <v>1.5</v>
      </c>
      <c r="H201">
        <f t="shared" si="16"/>
        <v>3.2</v>
      </c>
      <c r="I201">
        <v>2.66</v>
      </c>
      <c r="J201" t="str">
        <f t="shared" si="17"/>
        <v>Second class lower</v>
      </c>
      <c r="K201">
        <v>1.8</v>
      </c>
      <c r="L201" t="s">
        <v>18</v>
      </c>
      <c r="M201">
        <v>1</v>
      </c>
      <c r="N201">
        <v>4</v>
      </c>
      <c r="O201">
        <v>10</v>
      </c>
      <c r="P201">
        <v>0</v>
      </c>
      <c r="Q201">
        <f t="shared" si="18"/>
        <v>15</v>
      </c>
      <c r="S201" t="str">
        <f t="shared" si="19"/>
        <v>Mentally Strained</v>
      </c>
    </row>
    <row r="202" spans="1:19" x14ac:dyDescent="0.25">
      <c r="A202">
        <v>13</v>
      </c>
      <c r="B202" t="str">
        <f t="shared" si="15"/>
        <v>Young Teenager</v>
      </c>
      <c r="C202" t="s">
        <v>16</v>
      </c>
      <c r="D202">
        <v>7.9</v>
      </c>
      <c r="E202" t="s">
        <v>17</v>
      </c>
      <c r="F202">
        <v>5.8</v>
      </c>
      <c r="G202">
        <v>0.8</v>
      </c>
      <c r="H202">
        <f t="shared" si="16"/>
        <v>8.7000000000000011</v>
      </c>
      <c r="I202">
        <v>3.31</v>
      </c>
      <c r="J202" t="str">
        <f t="shared" si="17"/>
        <v>Second class upper</v>
      </c>
      <c r="K202">
        <v>1.6</v>
      </c>
      <c r="L202" t="s">
        <v>22</v>
      </c>
      <c r="M202">
        <v>3</v>
      </c>
      <c r="N202">
        <v>7</v>
      </c>
      <c r="O202">
        <v>2</v>
      </c>
      <c r="P202">
        <v>0</v>
      </c>
      <c r="Q202">
        <f t="shared" si="18"/>
        <v>12</v>
      </c>
      <c r="S202" t="str">
        <f t="shared" si="19"/>
        <v>Mentally Strained</v>
      </c>
    </row>
    <row r="203" spans="1:19" x14ac:dyDescent="0.25">
      <c r="A203">
        <v>16</v>
      </c>
      <c r="B203" t="str">
        <f t="shared" si="15"/>
        <v>Old Teenager</v>
      </c>
      <c r="C203" t="s">
        <v>19</v>
      </c>
      <c r="D203">
        <v>4</v>
      </c>
      <c r="E203" t="s">
        <v>17</v>
      </c>
      <c r="F203">
        <v>7.9</v>
      </c>
      <c r="G203">
        <v>1.9</v>
      </c>
      <c r="H203">
        <f t="shared" si="16"/>
        <v>5.9</v>
      </c>
      <c r="I203">
        <v>2.56</v>
      </c>
      <c r="J203" t="str">
        <f t="shared" si="17"/>
        <v>Second class lower</v>
      </c>
      <c r="K203">
        <v>0.1</v>
      </c>
      <c r="L203" t="s">
        <v>21</v>
      </c>
      <c r="M203">
        <v>4</v>
      </c>
      <c r="N203">
        <v>9</v>
      </c>
      <c r="O203">
        <v>9</v>
      </c>
      <c r="P203">
        <v>0</v>
      </c>
      <c r="Q203">
        <f t="shared" si="18"/>
        <v>22</v>
      </c>
      <c r="S203" t="str">
        <f t="shared" si="19"/>
        <v>Mentally Unstable</v>
      </c>
    </row>
    <row r="204" spans="1:19" x14ac:dyDescent="0.25">
      <c r="A204">
        <v>15</v>
      </c>
      <c r="B204" t="str">
        <f t="shared" si="15"/>
        <v>Young Teenager</v>
      </c>
      <c r="C204" t="s">
        <v>19</v>
      </c>
      <c r="D204">
        <v>1.2</v>
      </c>
      <c r="E204" t="s">
        <v>20</v>
      </c>
      <c r="F204">
        <v>8.1</v>
      </c>
      <c r="G204">
        <v>2</v>
      </c>
      <c r="H204">
        <f t="shared" si="16"/>
        <v>3.2</v>
      </c>
      <c r="I204">
        <v>3.33</v>
      </c>
      <c r="J204" t="str">
        <f t="shared" si="17"/>
        <v>Second class upper</v>
      </c>
      <c r="K204">
        <v>1.5</v>
      </c>
      <c r="L204" t="s">
        <v>22</v>
      </c>
      <c r="M204">
        <v>7</v>
      </c>
      <c r="N204">
        <v>3</v>
      </c>
      <c r="O204">
        <v>8</v>
      </c>
      <c r="P204">
        <v>0</v>
      </c>
      <c r="Q204">
        <f t="shared" si="18"/>
        <v>18</v>
      </c>
      <c r="S204" t="str">
        <f t="shared" si="19"/>
        <v>Mentally Strained</v>
      </c>
    </row>
    <row r="205" spans="1:19" x14ac:dyDescent="0.25">
      <c r="A205">
        <v>19</v>
      </c>
      <c r="B205" t="str">
        <f t="shared" si="15"/>
        <v>Old Teenager</v>
      </c>
      <c r="C205" t="s">
        <v>16</v>
      </c>
      <c r="D205">
        <v>3.5</v>
      </c>
      <c r="E205" t="s">
        <v>20</v>
      </c>
      <c r="F205">
        <v>8.4</v>
      </c>
      <c r="G205">
        <v>1.7</v>
      </c>
      <c r="H205">
        <f t="shared" si="16"/>
        <v>5.2</v>
      </c>
      <c r="I205">
        <v>2.46</v>
      </c>
      <c r="J205" t="str">
        <f t="shared" si="17"/>
        <v>third class</v>
      </c>
      <c r="K205">
        <v>0.1</v>
      </c>
      <c r="L205" t="s">
        <v>21</v>
      </c>
      <c r="M205">
        <v>6</v>
      </c>
      <c r="N205">
        <v>9</v>
      </c>
      <c r="O205">
        <v>3</v>
      </c>
      <c r="P205">
        <v>0</v>
      </c>
      <c r="Q205">
        <f t="shared" si="18"/>
        <v>18</v>
      </c>
      <c r="S205" t="str">
        <f t="shared" si="19"/>
        <v>Mentally Strained</v>
      </c>
    </row>
    <row r="206" spans="1:19" x14ac:dyDescent="0.25">
      <c r="A206">
        <v>17</v>
      </c>
      <c r="B206" t="str">
        <f t="shared" si="15"/>
        <v>Old Teenager</v>
      </c>
      <c r="C206" t="s">
        <v>16</v>
      </c>
      <c r="D206">
        <v>1.1000000000000001</v>
      </c>
      <c r="E206" t="s">
        <v>17</v>
      </c>
      <c r="F206">
        <v>6.8</v>
      </c>
      <c r="G206">
        <v>2</v>
      </c>
      <c r="H206">
        <f t="shared" si="16"/>
        <v>3.1</v>
      </c>
      <c r="I206">
        <v>3.45</v>
      </c>
      <c r="J206" t="str">
        <f t="shared" si="17"/>
        <v>Second class upper</v>
      </c>
      <c r="K206">
        <v>1.3</v>
      </c>
      <c r="L206" t="s">
        <v>22</v>
      </c>
      <c r="M206">
        <v>7</v>
      </c>
      <c r="N206">
        <v>1</v>
      </c>
      <c r="O206">
        <v>2</v>
      </c>
      <c r="P206">
        <v>0</v>
      </c>
      <c r="Q206">
        <f t="shared" si="18"/>
        <v>10</v>
      </c>
      <c r="S206" t="str">
        <f t="shared" si="19"/>
        <v>Mentally Strained</v>
      </c>
    </row>
    <row r="207" spans="1:19" x14ac:dyDescent="0.25">
      <c r="A207">
        <v>19</v>
      </c>
      <c r="B207" t="str">
        <f t="shared" si="15"/>
        <v>Old Teenager</v>
      </c>
      <c r="C207" t="s">
        <v>19</v>
      </c>
      <c r="D207">
        <v>1.6</v>
      </c>
      <c r="E207" t="s">
        <v>20</v>
      </c>
      <c r="F207">
        <v>4.0999999999999996</v>
      </c>
      <c r="G207">
        <v>1.6</v>
      </c>
      <c r="H207">
        <f t="shared" si="16"/>
        <v>3.2</v>
      </c>
      <c r="I207">
        <v>3.15</v>
      </c>
      <c r="J207" t="str">
        <f t="shared" si="17"/>
        <v>Second class upper</v>
      </c>
      <c r="K207">
        <v>0.9</v>
      </c>
      <c r="L207" t="s">
        <v>22</v>
      </c>
      <c r="M207">
        <v>2</v>
      </c>
      <c r="N207">
        <v>6</v>
      </c>
      <c r="O207">
        <v>4</v>
      </c>
      <c r="P207">
        <v>0</v>
      </c>
      <c r="Q207">
        <f t="shared" si="18"/>
        <v>12</v>
      </c>
      <c r="S207" t="str">
        <f t="shared" si="19"/>
        <v>Mentally Strained</v>
      </c>
    </row>
    <row r="208" spans="1:19" x14ac:dyDescent="0.25">
      <c r="A208">
        <v>16</v>
      </c>
      <c r="B208" t="str">
        <f t="shared" si="15"/>
        <v>Old Teenager</v>
      </c>
      <c r="C208" t="s">
        <v>19</v>
      </c>
      <c r="D208">
        <v>2.5</v>
      </c>
      <c r="E208" t="s">
        <v>20</v>
      </c>
      <c r="F208">
        <v>8.9</v>
      </c>
      <c r="G208">
        <v>2.9</v>
      </c>
      <c r="H208">
        <f t="shared" si="16"/>
        <v>5.4</v>
      </c>
      <c r="I208">
        <v>2.5299999999999998</v>
      </c>
      <c r="J208" t="str">
        <f t="shared" si="17"/>
        <v>Second class lower</v>
      </c>
      <c r="K208">
        <v>0.1</v>
      </c>
      <c r="L208" t="s">
        <v>21</v>
      </c>
      <c r="M208">
        <v>8</v>
      </c>
      <c r="N208">
        <v>7</v>
      </c>
      <c r="O208">
        <v>3</v>
      </c>
      <c r="P208">
        <v>0</v>
      </c>
      <c r="Q208">
        <f t="shared" si="18"/>
        <v>18</v>
      </c>
      <c r="S208" t="str">
        <f t="shared" si="19"/>
        <v>Mentally Strained</v>
      </c>
    </row>
    <row r="209" spans="1:19" x14ac:dyDescent="0.25">
      <c r="A209">
        <v>15</v>
      </c>
      <c r="B209" t="str">
        <f t="shared" si="15"/>
        <v>Young Teenager</v>
      </c>
      <c r="C209" t="s">
        <v>16</v>
      </c>
      <c r="D209">
        <v>2.8</v>
      </c>
      <c r="E209" t="s">
        <v>17</v>
      </c>
      <c r="F209">
        <v>7.2</v>
      </c>
      <c r="G209">
        <v>1.8</v>
      </c>
      <c r="H209">
        <f t="shared" si="16"/>
        <v>4.5999999999999996</v>
      </c>
      <c r="I209">
        <v>2.91</v>
      </c>
      <c r="J209" t="str">
        <f t="shared" si="17"/>
        <v>Second class lower</v>
      </c>
      <c r="K209">
        <v>0.2</v>
      </c>
      <c r="L209" t="s">
        <v>18</v>
      </c>
      <c r="M209">
        <v>5</v>
      </c>
      <c r="N209">
        <v>5</v>
      </c>
      <c r="O209">
        <v>4</v>
      </c>
      <c r="P209">
        <v>0</v>
      </c>
      <c r="Q209">
        <f t="shared" si="18"/>
        <v>14</v>
      </c>
      <c r="S209" t="str">
        <f t="shared" si="19"/>
        <v>Mentally Strained</v>
      </c>
    </row>
    <row r="210" spans="1:19" x14ac:dyDescent="0.25">
      <c r="A210">
        <v>15</v>
      </c>
      <c r="B210" t="str">
        <f t="shared" si="15"/>
        <v>Young Teenager</v>
      </c>
      <c r="C210" t="s">
        <v>16</v>
      </c>
      <c r="D210">
        <v>2.2000000000000002</v>
      </c>
      <c r="E210" t="s">
        <v>17</v>
      </c>
      <c r="F210">
        <v>5.2</v>
      </c>
      <c r="G210">
        <v>1.4</v>
      </c>
      <c r="H210">
        <f t="shared" si="16"/>
        <v>3.6</v>
      </c>
      <c r="I210">
        <v>2.62</v>
      </c>
      <c r="J210" t="str">
        <f t="shared" si="17"/>
        <v>Second class lower</v>
      </c>
      <c r="K210">
        <v>1.5</v>
      </c>
      <c r="L210" t="s">
        <v>22</v>
      </c>
      <c r="M210">
        <v>10</v>
      </c>
      <c r="N210">
        <v>7</v>
      </c>
      <c r="O210">
        <v>5</v>
      </c>
      <c r="P210">
        <v>0</v>
      </c>
      <c r="Q210">
        <f t="shared" si="18"/>
        <v>22</v>
      </c>
      <c r="S210" t="str">
        <f t="shared" si="19"/>
        <v>Mentally Unstable</v>
      </c>
    </row>
    <row r="211" spans="1:19" x14ac:dyDescent="0.25">
      <c r="A211">
        <v>16</v>
      </c>
      <c r="B211" t="str">
        <f t="shared" si="15"/>
        <v>Old Teenager</v>
      </c>
      <c r="C211" t="s">
        <v>16</v>
      </c>
      <c r="D211">
        <v>4.8</v>
      </c>
      <c r="E211" t="s">
        <v>23</v>
      </c>
      <c r="F211">
        <v>6.8</v>
      </c>
      <c r="G211">
        <v>1</v>
      </c>
      <c r="H211">
        <f t="shared" si="16"/>
        <v>5.8</v>
      </c>
      <c r="I211">
        <v>2.6</v>
      </c>
      <c r="J211" t="str">
        <f t="shared" si="17"/>
        <v>Second class lower</v>
      </c>
      <c r="K211">
        <v>1.1000000000000001</v>
      </c>
      <c r="L211" t="s">
        <v>22</v>
      </c>
      <c r="M211">
        <v>1</v>
      </c>
      <c r="N211">
        <v>5</v>
      </c>
      <c r="O211">
        <v>6</v>
      </c>
      <c r="P211">
        <v>0</v>
      </c>
      <c r="Q211">
        <f t="shared" si="18"/>
        <v>12</v>
      </c>
      <c r="S211" t="str">
        <f t="shared" si="19"/>
        <v>Mentally Strained</v>
      </c>
    </row>
    <row r="212" spans="1:19" x14ac:dyDescent="0.25">
      <c r="A212">
        <v>18</v>
      </c>
      <c r="B212" t="str">
        <f t="shared" si="15"/>
        <v>Old Teenager</v>
      </c>
      <c r="C212" t="s">
        <v>19</v>
      </c>
      <c r="D212">
        <v>3.7</v>
      </c>
      <c r="E212" t="s">
        <v>23</v>
      </c>
      <c r="F212">
        <v>7.9</v>
      </c>
      <c r="G212">
        <v>2.7</v>
      </c>
      <c r="H212">
        <f t="shared" si="16"/>
        <v>6.4</v>
      </c>
      <c r="I212">
        <v>3.11</v>
      </c>
      <c r="J212" t="str">
        <f t="shared" si="17"/>
        <v>Second class upper</v>
      </c>
      <c r="K212">
        <v>0.3</v>
      </c>
      <c r="L212" t="s">
        <v>22</v>
      </c>
      <c r="M212">
        <v>6</v>
      </c>
      <c r="N212">
        <v>6</v>
      </c>
      <c r="O212">
        <v>5</v>
      </c>
      <c r="P212">
        <v>0</v>
      </c>
      <c r="Q212">
        <f t="shared" si="18"/>
        <v>17</v>
      </c>
      <c r="S212" t="str">
        <f t="shared" si="19"/>
        <v>Mentally Strained</v>
      </c>
    </row>
    <row r="213" spans="1:19" x14ac:dyDescent="0.25">
      <c r="A213">
        <v>16</v>
      </c>
      <c r="B213" t="str">
        <f t="shared" si="15"/>
        <v>Old Teenager</v>
      </c>
      <c r="C213" t="s">
        <v>16</v>
      </c>
      <c r="D213">
        <v>5.5</v>
      </c>
      <c r="E213" t="s">
        <v>17</v>
      </c>
      <c r="F213">
        <v>8.3000000000000007</v>
      </c>
      <c r="G213">
        <v>2.2999999999999998</v>
      </c>
      <c r="H213">
        <f t="shared" si="16"/>
        <v>7.8</v>
      </c>
      <c r="I213">
        <v>3.47</v>
      </c>
      <c r="J213" t="str">
        <f t="shared" si="17"/>
        <v>Second class upper</v>
      </c>
      <c r="K213">
        <v>1.6</v>
      </c>
      <c r="L213" t="s">
        <v>22</v>
      </c>
      <c r="M213">
        <v>4</v>
      </c>
      <c r="N213">
        <v>8</v>
      </c>
      <c r="O213">
        <v>5</v>
      </c>
      <c r="P213">
        <v>0</v>
      </c>
      <c r="Q213">
        <f t="shared" si="18"/>
        <v>17</v>
      </c>
      <c r="S213" t="str">
        <f t="shared" si="19"/>
        <v>Mentally Strained</v>
      </c>
    </row>
    <row r="214" spans="1:19" x14ac:dyDescent="0.25">
      <c r="A214">
        <v>16</v>
      </c>
      <c r="B214" t="str">
        <f t="shared" si="15"/>
        <v>Old Teenager</v>
      </c>
      <c r="C214" t="s">
        <v>16</v>
      </c>
      <c r="D214">
        <v>2.5</v>
      </c>
      <c r="E214" t="s">
        <v>17</v>
      </c>
      <c r="F214">
        <v>6.8</v>
      </c>
      <c r="G214">
        <v>1</v>
      </c>
      <c r="H214">
        <f t="shared" si="16"/>
        <v>3.5</v>
      </c>
      <c r="I214">
        <v>3.77</v>
      </c>
      <c r="J214" t="str">
        <f t="shared" si="17"/>
        <v>first class</v>
      </c>
      <c r="K214">
        <v>1</v>
      </c>
      <c r="L214" t="s">
        <v>21</v>
      </c>
      <c r="M214">
        <v>3</v>
      </c>
      <c r="N214">
        <v>9</v>
      </c>
      <c r="O214">
        <v>9</v>
      </c>
      <c r="P214">
        <v>0</v>
      </c>
      <c r="Q214">
        <f t="shared" si="18"/>
        <v>21</v>
      </c>
      <c r="S214" t="str">
        <f t="shared" si="19"/>
        <v>Mentally Unstable</v>
      </c>
    </row>
    <row r="215" spans="1:19" x14ac:dyDescent="0.25">
      <c r="A215">
        <v>18</v>
      </c>
      <c r="B215" t="str">
        <f t="shared" si="15"/>
        <v>Old Teenager</v>
      </c>
      <c r="C215" t="s">
        <v>19</v>
      </c>
      <c r="D215">
        <v>1.9</v>
      </c>
      <c r="E215" t="s">
        <v>20</v>
      </c>
      <c r="F215">
        <v>5.8</v>
      </c>
      <c r="G215">
        <v>1.7</v>
      </c>
      <c r="H215">
        <f t="shared" si="16"/>
        <v>3.5999999999999996</v>
      </c>
      <c r="I215">
        <v>3.52</v>
      </c>
      <c r="J215" t="str">
        <f t="shared" si="17"/>
        <v>Second class upper</v>
      </c>
      <c r="K215">
        <v>0.2</v>
      </c>
      <c r="L215" t="s">
        <v>18</v>
      </c>
      <c r="M215">
        <v>6</v>
      </c>
      <c r="N215">
        <v>5</v>
      </c>
      <c r="O215">
        <v>1</v>
      </c>
      <c r="P215">
        <v>0</v>
      </c>
      <c r="Q215">
        <f t="shared" si="18"/>
        <v>12</v>
      </c>
      <c r="S215" t="str">
        <f t="shared" si="19"/>
        <v>Mentally Strained</v>
      </c>
    </row>
    <row r="216" spans="1:19" x14ac:dyDescent="0.25">
      <c r="A216">
        <v>13</v>
      </c>
      <c r="B216" t="str">
        <f t="shared" si="15"/>
        <v>Young Teenager</v>
      </c>
      <c r="C216" t="s">
        <v>16</v>
      </c>
      <c r="D216">
        <v>5.9</v>
      </c>
      <c r="E216" t="s">
        <v>17</v>
      </c>
      <c r="F216">
        <v>7.5</v>
      </c>
      <c r="G216">
        <v>1.4</v>
      </c>
      <c r="H216">
        <f t="shared" si="16"/>
        <v>7.3000000000000007</v>
      </c>
      <c r="I216">
        <v>2.58</v>
      </c>
      <c r="J216" t="str">
        <f t="shared" si="17"/>
        <v>Second class lower</v>
      </c>
      <c r="K216">
        <v>1.2</v>
      </c>
      <c r="L216" t="s">
        <v>18</v>
      </c>
      <c r="M216">
        <v>6</v>
      </c>
      <c r="N216">
        <v>2</v>
      </c>
      <c r="O216">
        <v>8</v>
      </c>
      <c r="P216">
        <v>0</v>
      </c>
      <c r="Q216">
        <f t="shared" si="18"/>
        <v>16</v>
      </c>
      <c r="S216" t="str">
        <f t="shared" si="19"/>
        <v>Mentally Strained</v>
      </c>
    </row>
    <row r="217" spans="1:19" x14ac:dyDescent="0.25">
      <c r="A217">
        <v>13</v>
      </c>
      <c r="B217" t="str">
        <f t="shared" si="15"/>
        <v>Young Teenager</v>
      </c>
      <c r="C217" t="s">
        <v>19</v>
      </c>
      <c r="D217">
        <v>6.5</v>
      </c>
      <c r="E217" t="s">
        <v>20</v>
      </c>
      <c r="F217">
        <v>8.3000000000000007</v>
      </c>
      <c r="G217">
        <v>0.6</v>
      </c>
      <c r="H217">
        <f t="shared" si="16"/>
        <v>7.1</v>
      </c>
      <c r="I217">
        <v>3.05</v>
      </c>
      <c r="J217" t="str">
        <f t="shared" si="17"/>
        <v>Second class upper</v>
      </c>
      <c r="K217">
        <v>0.3</v>
      </c>
      <c r="L217" t="s">
        <v>21</v>
      </c>
      <c r="M217">
        <v>2</v>
      </c>
      <c r="N217">
        <v>7</v>
      </c>
      <c r="O217">
        <v>8</v>
      </c>
      <c r="P217">
        <v>0</v>
      </c>
      <c r="Q217">
        <f t="shared" si="18"/>
        <v>17</v>
      </c>
      <c r="S217" t="str">
        <f t="shared" si="19"/>
        <v>Mentally Strained</v>
      </c>
    </row>
    <row r="218" spans="1:19" x14ac:dyDescent="0.25">
      <c r="A218">
        <v>15</v>
      </c>
      <c r="B218" t="str">
        <f t="shared" si="15"/>
        <v>Young Teenager</v>
      </c>
      <c r="C218" t="s">
        <v>16</v>
      </c>
      <c r="D218">
        <v>7.5</v>
      </c>
      <c r="E218" t="s">
        <v>17</v>
      </c>
      <c r="F218">
        <v>8.1</v>
      </c>
      <c r="G218">
        <v>2.5</v>
      </c>
      <c r="H218">
        <f t="shared" si="16"/>
        <v>10</v>
      </c>
      <c r="I218">
        <v>3.56</v>
      </c>
      <c r="J218" t="str">
        <f t="shared" si="17"/>
        <v>Second class upper</v>
      </c>
      <c r="K218">
        <v>1.2</v>
      </c>
      <c r="L218" t="s">
        <v>22</v>
      </c>
      <c r="M218">
        <v>6</v>
      </c>
      <c r="N218">
        <v>8</v>
      </c>
      <c r="O218">
        <v>10</v>
      </c>
      <c r="P218">
        <v>0</v>
      </c>
      <c r="Q218">
        <f t="shared" si="18"/>
        <v>24</v>
      </c>
      <c r="S218" t="str">
        <f t="shared" si="19"/>
        <v>Mentally Unstable</v>
      </c>
    </row>
    <row r="219" spans="1:19" x14ac:dyDescent="0.25">
      <c r="A219">
        <v>19</v>
      </c>
      <c r="B219" t="str">
        <f t="shared" si="15"/>
        <v>Old Teenager</v>
      </c>
      <c r="C219" t="s">
        <v>16</v>
      </c>
      <c r="D219">
        <v>4.9000000000000004</v>
      </c>
      <c r="E219" t="s">
        <v>20</v>
      </c>
      <c r="F219">
        <v>4.5</v>
      </c>
      <c r="G219">
        <v>2.9</v>
      </c>
      <c r="H219">
        <f t="shared" si="16"/>
        <v>7.8000000000000007</v>
      </c>
      <c r="I219">
        <v>3.88</v>
      </c>
      <c r="J219" t="str">
        <f t="shared" si="17"/>
        <v>first class</v>
      </c>
      <c r="K219">
        <v>0.8</v>
      </c>
      <c r="L219" t="s">
        <v>18</v>
      </c>
      <c r="M219">
        <v>5</v>
      </c>
      <c r="N219">
        <v>5</v>
      </c>
      <c r="O219">
        <v>6</v>
      </c>
      <c r="P219">
        <v>0</v>
      </c>
      <c r="Q219">
        <f t="shared" si="18"/>
        <v>16</v>
      </c>
      <c r="S219" t="str">
        <f t="shared" si="19"/>
        <v>Mentally Strained</v>
      </c>
    </row>
    <row r="220" spans="1:19" x14ac:dyDescent="0.25">
      <c r="A220">
        <v>13</v>
      </c>
      <c r="B220" t="str">
        <f t="shared" si="15"/>
        <v>Young Teenager</v>
      </c>
      <c r="C220" t="s">
        <v>16</v>
      </c>
      <c r="D220">
        <v>2.2000000000000002</v>
      </c>
      <c r="E220" t="s">
        <v>20</v>
      </c>
      <c r="F220">
        <v>5.3</v>
      </c>
      <c r="G220">
        <v>1.4</v>
      </c>
      <c r="H220">
        <f t="shared" si="16"/>
        <v>3.6</v>
      </c>
      <c r="I220">
        <v>3.97</v>
      </c>
      <c r="J220" t="str">
        <f t="shared" si="17"/>
        <v>first class</v>
      </c>
      <c r="K220">
        <v>0</v>
      </c>
      <c r="L220" t="s">
        <v>18</v>
      </c>
      <c r="M220">
        <v>1</v>
      </c>
      <c r="N220">
        <v>10</v>
      </c>
      <c r="O220">
        <v>7</v>
      </c>
      <c r="P220">
        <v>0</v>
      </c>
      <c r="Q220">
        <f t="shared" si="18"/>
        <v>18</v>
      </c>
      <c r="S220" t="str">
        <f t="shared" si="19"/>
        <v>Mentally Strained</v>
      </c>
    </row>
    <row r="221" spans="1:19" x14ac:dyDescent="0.25">
      <c r="A221">
        <v>14</v>
      </c>
      <c r="B221" t="str">
        <f t="shared" si="15"/>
        <v>Young Teenager</v>
      </c>
      <c r="C221" t="s">
        <v>16</v>
      </c>
      <c r="D221">
        <v>5.8</v>
      </c>
      <c r="E221" t="s">
        <v>23</v>
      </c>
      <c r="F221">
        <v>6.9</v>
      </c>
      <c r="G221">
        <v>0.7</v>
      </c>
      <c r="H221">
        <f t="shared" si="16"/>
        <v>6.5</v>
      </c>
      <c r="I221">
        <v>3.01</v>
      </c>
      <c r="J221" t="str">
        <f t="shared" si="17"/>
        <v>Second class upper</v>
      </c>
      <c r="K221">
        <v>1.9</v>
      </c>
      <c r="L221" t="s">
        <v>21</v>
      </c>
      <c r="M221">
        <v>9</v>
      </c>
      <c r="N221">
        <v>9</v>
      </c>
      <c r="O221">
        <v>4</v>
      </c>
      <c r="P221">
        <v>0</v>
      </c>
      <c r="Q221">
        <f t="shared" si="18"/>
        <v>22</v>
      </c>
      <c r="S221" t="str">
        <f t="shared" si="19"/>
        <v>Mentally Unstable</v>
      </c>
    </row>
    <row r="222" spans="1:19" x14ac:dyDescent="0.25">
      <c r="A222">
        <v>14</v>
      </c>
      <c r="B222" t="str">
        <f t="shared" si="15"/>
        <v>Young Teenager</v>
      </c>
      <c r="C222" t="s">
        <v>16</v>
      </c>
      <c r="D222">
        <v>1.3</v>
      </c>
      <c r="E222" t="s">
        <v>17</v>
      </c>
      <c r="F222">
        <v>8.5</v>
      </c>
      <c r="G222">
        <v>0.9</v>
      </c>
      <c r="H222">
        <f t="shared" si="16"/>
        <v>2.2000000000000002</v>
      </c>
      <c r="I222">
        <v>3.71</v>
      </c>
      <c r="J222" t="str">
        <f t="shared" si="17"/>
        <v>first class</v>
      </c>
      <c r="K222">
        <v>0.7</v>
      </c>
      <c r="L222" t="s">
        <v>21</v>
      </c>
      <c r="M222">
        <v>3</v>
      </c>
      <c r="N222">
        <v>3</v>
      </c>
      <c r="O222">
        <v>6</v>
      </c>
      <c r="P222">
        <v>0</v>
      </c>
      <c r="Q222">
        <f t="shared" si="18"/>
        <v>12</v>
      </c>
      <c r="S222" t="str">
        <f t="shared" si="19"/>
        <v>Mentally Strained</v>
      </c>
    </row>
    <row r="223" spans="1:19" x14ac:dyDescent="0.25">
      <c r="A223">
        <v>19</v>
      </c>
      <c r="B223" t="str">
        <f t="shared" si="15"/>
        <v>Old Teenager</v>
      </c>
      <c r="C223" t="s">
        <v>19</v>
      </c>
      <c r="D223">
        <v>2.8</v>
      </c>
      <c r="E223" t="s">
        <v>20</v>
      </c>
      <c r="F223">
        <v>4.8</v>
      </c>
      <c r="G223">
        <v>1.7</v>
      </c>
      <c r="H223">
        <f t="shared" si="16"/>
        <v>4.5</v>
      </c>
      <c r="I223">
        <v>2.8</v>
      </c>
      <c r="J223" t="str">
        <f t="shared" si="17"/>
        <v>Second class lower</v>
      </c>
      <c r="K223">
        <v>0.6</v>
      </c>
      <c r="L223" t="s">
        <v>18</v>
      </c>
      <c r="M223">
        <v>5</v>
      </c>
      <c r="N223">
        <v>7</v>
      </c>
      <c r="O223">
        <v>4</v>
      </c>
      <c r="P223">
        <v>0</v>
      </c>
      <c r="Q223">
        <f t="shared" si="18"/>
        <v>16</v>
      </c>
      <c r="S223" t="str">
        <f t="shared" si="19"/>
        <v>Mentally Strained</v>
      </c>
    </row>
    <row r="224" spans="1:19" x14ac:dyDescent="0.25">
      <c r="A224">
        <v>19</v>
      </c>
      <c r="B224" t="str">
        <f t="shared" si="15"/>
        <v>Old Teenager</v>
      </c>
      <c r="C224" t="s">
        <v>19</v>
      </c>
      <c r="D224">
        <v>4</v>
      </c>
      <c r="E224" t="s">
        <v>20</v>
      </c>
      <c r="F224">
        <v>6.5</v>
      </c>
      <c r="G224">
        <v>2.4</v>
      </c>
      <c r="H224">
        <f t="shared" si="16"/>
        <v>6.4</v>
      </c>
      <c r="I224">
        <v>3.67</v>
      </c>
      <c r="J224" t="str">
        <f t="shared" si="17"/>
        <v>first class</v>
      </c>
      <c r="K224">
        <v>0.6</v>
      </c>
      <c r="L224" t="s">
        <v>18</v>
      </c>
      <c r="M224">
        <v>4</v>
      </c>
      <c r="N224">
        <v>6</v>
      </c>
      <c r="O224">
        <v>4</v>
      </c>
      <c r="P224">
        <v>0</v>
      </c>
      <c r="Q224">
        <f t="shared" si="18"/>
        <v>14</v>
      </c>
      <c r="S224" t="str">
        <f t="shared" si="19"/>
        <v>Mentally Strained</v>
      </c>
    </row>
    <row r="225" spans="1:19" x14ac:dyDescent="0.25">
      <c r="A225">
        <v>14</v>
      </c>
      <c r="B225" t="str">
        <f t="shared" si="15"/>
        <v>Young Teenager</v>
      </c>
      <c r="C225" t="s">
        <v>19</v>
      </c>
      <c r="D225">
        <v>1.7</v>
      </c>
      <c r="E225" t="s">
        <v>20</v>
      </c>
      <c r="F225">
        <v>4.9000000000000004</v>
      </c>
      <c r="G225">
        <v>1.6</v>
      </c>
      <c r="H225">
        <f t="shared" si="16"/>
        <v>3.3</v>
      </c>
      <c r="I225">
        <v>2.36</v>
      </c>
      <c r="J225" t="str">
        <f t="shared" si="17"/>
        <v>third class</v>
      </c>
      <c r="K225">
        <v>1.7</v>
      </c>
      <c r="L225" t="s">
        <v>21</v>
      </c>
      <c r="M225">
        <v>3</v>
      </c>
      <c r="N225">
        <v>1</v>
      </c>
      <c r="O225">
        <v>6</v>
      </c>
      <c r="P225">
        <v>0</v>
      </c>
      <c r="Q225">
        <f t="shared" si="18"/>
        <v>10</v>
      </c>
      <c r="S225" t="str">
        <f t="shared" si="19"/>
        <v>Mentally Strained</v>
      </c>
    </row>
    <row r="226" spans="1:19" x14ac:dyDescent="0.25">
      <c r="A226">
        <v>18</v>
      </c>
      <c r="B226" t="str">
        <f t="shared" si="15"/>
        <v>Old Teenager</v>
      </c>
      <c r="C226" t="s">
        <v>19</v>
      </c>
      <c r="D226">
        <v>1.4</v>
      </c>
      <c r="E226" t="s">
        <v>20</v>
      </c>
      <c r="F226">
        <v>6.1</v>
      </c>
      <c r="G226">
        <v>1.6</v>
      </c>
      <c r="H226">
        <f t="shared" si="16"/>
        <v>3</v>
      </c>
      <c r="I226">
        <v>2.56</v>
      </c>
      <c r="J226" t="str">
        <f t="shared" si="17"/>
        <v>Second class lower</v>
      </c>
      <c r="K226">
        <v>1.2</v>
      </c>
      <c r="L226" t="s">
        <v>21</v>
      </c>
      <c r="M226">
        <v>2</v>
      </c>
      <c r="N226">
        <v>7</v>
      </c>
      <c r="O226">
        <v>8</v>
      </c>
      <c r="P226">
        <v>0</v>
      </c>
      <c r="Q226">
        <f t="shared" si="18"/>
        <v>17</v>
      </c>
      <c r="S226" t="str">
        <f t="shared" si="19"/>
        <v>Mentally Strained</v>
      </c>
    </row>
    <row r="227" spans="1:19" x14ac:dyDescent="0.25">
      <c r="A227">
        <v>19</v>
      </c>
      <c r="B227" t="str">
        <f t="shared" si="15"/>
        <v>Old Teenager</v>
      </c>
      <c r="C227" t="s">
        <v>16</v>
      </c>
      <c r="D227">
        <v>2.2999999999999998</v>
      </c>
      <c r="E227" t="s">
        <v>20</v>
      </c>
      <c r="F227">
        <v>6.5</v>
      </c>
      <c r="G227">
        <v>3</v>
      </c>
      <c r="H227">
        <f t="shared" si="16"/>
        <v>5.3</v>
      </c>
      <c r="I227">
        <v>3.5</v>
      </c>
      <c r="J227" t="str">
        <f t="shared" si="17"/>
        <v>Second class upper</v>
      </c>
      <c r="K227">
        <v>0.1</v>
      </c>
      <c r="L227" t="s">
        <v>21</v>
      </c>
      <c r="M227">
        <v>9</v>
      </c>
      <c r="N227">
        <v>10</v>
      </c>
      <c r="O227">
        <v>8</v>
      </c>
      <c r="P227">
        <v>0</v>
      </c>
      <c r="Q227">
        <f t="shared" si="18"/>
        <v>27</v>
      </c>
      <c r="S227" t="str">
        <f t="shared" si="19"/>
        <v>Mentally Unstable</v>
      </c>
    </row>
    <row r="228" spans="1:19" x14ac:dyDescent="0.25">
      <c r="A228">
        <v>14</v>
      </c>
      <c r="B228" t="str">
        <f t="shared" si="15"/>
        <v>Young Teenager</v>
      </c>
      <c r="C228" t="s">
        <v>16</v>
      </c>
      <c r="D228">
        <v>3.8</v>
      </c>
      <c r="E228" t="s">
        <v>17</v>
      </c>
      <c r="F228">
        <v>5.3</v>
      </c>
      <c r="G228">
        <v>1</v>
      </c>
      <c r="H228">
        <f t="shared" si="16"/>
        <v>4.8</v>
      </c>
      <c r="I228">
        <v>2.2799999999999998</v>
      </c>
      <c r="J228" t="str">
        <f t="shared" si="17"/>
        <v>third class</v>
      </c>
      <c r="K228">
        <v>1.2</v>
      </c>
      <c r="L228" t="s">
        <v>18</v>
      </c>
      <c r="M228">
        <v>9</v>
      </c>
      <c r="N228">
        <v>3</v>
      </c>
      <c r="O228">
        <v>1</v>
      </c>
      <c r="P228">
        <v>0</v>
      </c>
      <c r="Q228">
        <f t="shared" si="18"/>
        <v>13</v>
      </c>
      <c r="S228" t="str">
        <f t="shared" si="19"/>
        <v>Mentally Strained</v>
      </c>
    </row>
    <row r="229" spans="1:19" x14ac:dyDescent="0.25">
      <c r="A229">
        <v>13</v>
      </c>
      <c r="B229" t="str">
        <f t="shared" si="15"/>
        <v>Young Teenager</v>
      </c>
      <c r="C229" t="s">
        <v>16</v>
      </c>
      <c r="D229">
        <v>6.4</v>
      </c>
      <c r="E229" t="s">
        <v>20</v>
      </c>
      <c r="F229">
        <v>5.0999999999999996</v>
      </c>
      <c r="G229">
        <v>2.5</v>
      </c>
      <c r="H229">
        <f t="shared" si="16"/>
        <v>8.9</v>
      </c>
      <c r="I229">
        <v>2.62</v>
      </c>
      <c r="J229" t="str">
        <f t="shared" si="17"/>
        <v>Second class lower</v>
      </c>
      <c r="K229">
        <v>1.3</v>
      </c>
      <c r="L229" t="s">
        <v>18</v>
      </c>
      <c r="M229">
        <v>5</v>
      </c>
      <c r="N229">
        <v>4</v>
      </c>
      <c r="O229">
        <v>7</v>
      </c>
      <c r="P229">
        <v>0</v>
      </c>
      <c r="Q229">
        <f t="shared" si="18"/>
        <v>16</v>
      </c>
      <c r="S229" t="str">
        <f t="shared" si="19"/>
        <v>Mentally Strained</v>
      </c>
    </row>
    <row r="230" spans="1:19" x14ac:dyDescent="0.25">
      <c r="A230">
        <v>19</v>
      </c>
      <c r="B230" t="str">
        <f t="shared" si="15"/>
        <v>Old Teenager</v>
      </c>
      <c r="C230" t="s">
        <v>16</v>
      </c>
      <c r="D230">
        <v>6</v>
      </c>
      <c r="E230" t="s">
        <v>23</v>
      </c>
      <c r="F230">
        <v>7.1</v>
      </c>
      <c r="G230">
        <v>0.9</v>
      </c>
      <c r="H230">
        <f t="shared" si="16"/>
        <v>6.9</v>
      </c>
      <c r="I230">
        <v>2.98</v>
      </c>
      <c r="J230" t="str">
        <f t="shared" si="17"/>
        <v>Second class lower</v>
      </c>
      <c r="K230">
        <v>0.1</v>
      </c>
      <c r="L230" t="s">
        <v>18</v>
      </c>
      <c r="M230">
        <v>1</v>
      </c>
      <c r="N230">
        <v>6</v>
      </c>
      <c r="O230">
        <v>5</v>
      </c>
      <c r="P230">
        <v>0</v>
      </c>
      <c r="Q230">
        <f t="shared" si="18"/>
        <v>12</v>
      </c>
      <c r="S230" t="str">
        <f t="shared" si="19"/>
        <v>Mentally Strained</v>
      </c>
    </row>
    <row r="231" spans="1:19" x14ac:dyDescent="0.25">
      <c r="A231">
        <v>16</v>
      </c>
      <c r="B231" t="str">
        <f t="shared" si="15"/>
        <v>Old Teenager</v>
      </c>
      <c r="C231" t="s">
        <v>16</v>
      </c>
      <c r="D231">
        <v>1.9</v>
      </c>
      <c r="E231" t="s">
        <v>17</v>
      </c>
      <c r="F231">
        <v>7.8</v>
      </c>
      <c r="G231">
        <v>2.1</v>
      </c>
      <c r="H231">
        <f t="shared" si="16"/>
        <v>4</v>
      </c>
      <c r="I231">
        <v>2.2599999999999998</v>
      </c>
      <c r="J231" t="str">
        <f t="shared" si="17"/>
        <v>third class</v>
      </c>
      <c r="K231">
        <v>0.3</v>
      </c>
      <c r="L231" t="s">
        <v>21</v>
      </c>
      <c r="M231">
        <v>7</v>
      </c>
      <c r="N231">
        <v>7</v>
      </c>
      <c r="O231">
        <v>5</v>
      </c>
      <c r="P231">
        <v>0</v>
      </c>
      <c r="Q231">
        <f t="shared" si="18"/>
        <v>19</v>
      </c>
      <c r="S231" t="str">
        <f t="shared" si="19"/>
        <v>Mentally Strained</v>
      </c>
    </row>
    <row r="232" spans="1:19" x14ac:dyDescent="0.25">
      <c r="A232">
        <v>17</v>
      </c>
      <c r="B232" t="str">
        <f t="shared" si="15"/>
        <v>Old Teenager</v>
      </c>
      <c r="C232" t="s">
        <v>16</v>
      </c>
      <c r="D232">
        <v>2.4</v>
      </c>
      <c r="E232" t="s">
        <v>20</v>
      </c>
      <c r="F232">
        <v>8.5</v>
      </c>
      <c r="G232">
        <v>2.4</v>
      </c>
      <c r="H232">
        <f t="shared" si="16"/>
        <v>4.8</v>
      </c>
      <c r="I232">
        <v>2.79</v>
      </c>
      <c r="J232" t="str">
        <f t="shared" si="17"/>
        <v>Second class lower</v>
      </c>
      <c r="K232">
        <v>1.1000000000000001</v>
      </c>
      <c r="L232" t="s">
        <v>18</v>
      </c>
      <c r="M232">
        <v>1</v>
      </c>
      <c r="N232">
        <v>6</v>
      </c>
      <c r="O232">
        <v>7</v>
      </c>
      <c r="P232">
        <v>0</v>
      </c>
      <c r="Q232">
        <f t="shared" si="18"/>
        <v>14</v>
      </c>
      <c r="S232" t="str">
        <f t="shared" si="19"/>
        <v>Mentally Strained</v>
      </c>
    </row>
    <row r="233" spans="1:19" x14ac:dyDescent="0.25">
      <c r="A233">
        <v>14</v>
      </c>
      <c r="B233" t="str">
        <f t="shared" si="15"/>
        <v>Young Teenager</v>
      </c>
      <c r="C233" t="s">
        <v>19</v>
      </c>
      <c r="D233">
        <v>2.7</v>
      </c>
      <c r="E233" t="s">
        <v>17</v>
      </c>
      <c r="F233">
        <v>5.0999999999999996</v>
      </c>
      <c r="G233">
        <v>2.4</v>
      </c>
      <c r="H233">
        <f t="shared" si="16"/>
        <v>5.0999999999999996</v>
      </c>
      <c r="I233">
        <v>2.17</v>
      </c>
      <c r="J233" t="str">
        <f t="shared" si="17"/>
        <v>third class</v>
      </c>
      <c r="K233">
        <v>1.8</v>
      </c>
      <c r="L233" t="s">
        <v>21</v>
      </c>
      <c r="M233">
        <v>3</v>
      </c>
      <c r="N233">
        <v>10</v>
      </c>
      <c r="O233">
        <v>8</v>
      </c>
      <c r="P233">
        <v>0</v>
      </c>
      <c r="Q233">
        <f t="shared" si="18"/>
        <v>21</v>
      </c>
      <c r="S233" t="str">
        <f t="shared" si="19"/>
        <v>Mentally Unstable</v>
      </c>
    </row>
    <row r="234" spans="1:19" x14ac:dyDescent="0.25">
      <c r="A234">
        <v>14</v>
      </c>
      <c r="B234" t="str">
        <f t="shared" si="15"/>
        <v>Young Teenager</v>
      </c>
      <c r="C234" t="s">
        <v>16</v>
      </c>
      <c r="D234">
        <v>1.5</v>
      </c>
      <c r="E234" t="s">
        <v>23</v>
      </c>
      <c r="F234">
        <v>7.2</v>
      </c>
      <c r="G234">
        <v>1.7</v>
      </c>
      <c r="H234">
        <f t="shared" si="16"/>
        <v>3.2</v>
      </c>
      <c r="I234">
        <v>2.76</v>
      </c>
      <c r="J234" t="str">
        <f t="shared" si="17"/>
        <v>Second class lower</v>
      </c>
      <c r="K234">
        <v>0</v>
      </c>
      <c r="L234" t="s">
        <v>18</v>
      </c>
      <c r="M234">
        <v>10</v>
      </c>
      <c r="N234">
        <v>7</v>
      </c>
      <c r="O234">
        <v>10</v>
      </c>
      <c r="P234">
        <v>0</v>
      </c>
      <c r="Q234">
        <f t="shared" si="18"/>
        <v>27</v>
      </c>
      <c r="S234" t="str">
        <f t="shared" si="19"/>
        <v>Mentally Unstable</v>
      </c>
    </row>
    <row r="235" spans="1:19" x14ac:dyDescent="0.25">
      <c r="A235">
        <v>18</v>
      </c>
      <c r="B235" t="str">
        <f t="shared" si="15"/>
        <v>Old Teenager</v>
      </c>
      <c r="C235" t="s">
        <v>16</v>
      </c>
      <c r="D235">
        <v>7.7</v>
      </c>
      <c r="E235" t="s">
        <v>17</v>
      </c>
      <c r="F235">
        <v>7.3</v>
      </c>
      <c r="G235">
        <v>1.8</v>
      </c>
      <c r="H235">
        <f t="shared" si="16"/>
        <v>9.5</v>
      </c>
      <c r="I235">
        <v>3.13</v>
      </c>
      <c r="J235" t="str">
        <f t="shared" si="17"/>
        <v>Second class upper</v>
      </c>
      <c r="K235">
        <v>2</v>
      </c>
      <c r="L235" t="s">
        <v>22</v>
      </c>
      <c r="M235">
        <v>7</v>
      </c>
      <c r="N235">
        <v>9</v>
      </c>
      <c r="O235">
        <v>7</v>
      </c>
      <c r="P235">
        <v>0</v>
      </c>
      <c r="Q235">
        <f t="shared" si="18"/>
        <v>23</v>
      </c>
      <c r="S235" t="str">
        <f t="shared" si="19"/>
        <v>Mentally Unstable</v>
      </c>
    </row>
    <row r="236" spans="1:19" x14ac:dyDescent="0.25">
      <c r="A236">
        <v>13</v>
      </c>
      <c r="B236" t="str">
        <f t="shared" si="15"/>
        <v>Young Teenager</v>
      </c>
      <c r="C236" t="s">
        <v>16</v>
      </c>
      <c r="D236">
        <v>2.9</v>
      </c>
      <c r="E236" t="s">
        <v>20</v>
      </c>
      <c r="F236">
        <v>5.0999999999999996</v>
      </c>
      <c r="G236">
        <v>2.2000000000000002</v>
      </c>
      <c r="H236">
        <f t="shared" si="16"/>
        <v>5.0999999999999996</v>
      </c>
      <c r="I236">
        <v>3.81</v>
      </c>
      <c r="J236" t="str">
        <f t="shared" si="17"/>
        <v>first class</v>
      </c>
      <c r="K236">
        <v>0.7</v>
      </c>
      <c r="L236" t="s">
        <v>18</v>
      </c>
      <c r="M236">
        <v>6</v>
      </c>
      <c r="N236">
        <v>6</v>
      </c>
      <c r="O236">
        <v>10</v>
      </c>
      <c r="P236">
        <v>0</v>
      </c>
      <c r="Q236">
        <f t="shared" si="18"/>
        <v>22</v>
      </c>
      <c r="S236" t="str">
        <f t="shared" si="19"/>
        <v>Mentally Unstable</v>
      </c>
    </row>
    <row r="237" spans="1:19" x14ac:dyDescent="0.25">
      <c r="A237">
        <v>16</v>
      </c>
      <c r="B237" t="str">
        <f t="shared" si="15"/>
        <v>Old Teenager</v>
      </c>
      <c r="C237" t="s">
        <v>16</v>
      </c>
      <c r="D237">
        <v>7.6</v>
      </c>
      <c r="E237" t="s">
        <v>20</v>
      </c>
      <c r="F237">
        <v>4.3</v>
      </c>
      <c r="G237">
        <v>2.7</v>
      </c>
      <c r="H237">
        <f t="shared" si="16"/>
        <v>10.3</v>
      </c>
      <c r="I237">
        <v>2.5099999999999998</v>
      </c>
      <c r="J237" t="str">
        <f t="shared" si="17"/>
        <v>Second class lower</v>
      </c>
      <c r="K237">
        <v>0.3</v>
      </c>
      <c r="L237" t="s">
        <v>22</v>
      </c>
      <c r="M237">
        <v>3</v>
      </c>
      <c r="N237">
        <v>9</v>
      </c>
      <c r="O237">
        <v>10</v>
      </c>
      <c r="P237">
        <v>0</v>
      </c>
      <c r="Q237">
        <f t="shared" si="18"/>
        <v>22</v>
      </c>
      <c r="S237" t="str">
        <f t="shared" si="19"/>
        <v>Mentally Unstable</v>
      </c>
    </row>
    <row r="238" spans="1:19" x14ac:dyDescent="0.25">
      <c r="A238">
        <v>18</v>
      </c>
      <c r="B238" t="str">
        <f t="shared" si="15"/>
        <v>Old Teenager</v>
      </c>
      <c r="C238" t="s">
        <v>16</v>
      </c>
      <c r="D238">
        <v>5.7</v>
      </c>
      <c r="E238" t="s">
        <v>23</v>
      </c>
      <c r="F238">
        <v>8.4</v>
      </c>
      <c r="G238">
        <v>2.4</v>
      </c>
      <c r="H238">
        <f t="shared" si="16"/>
        <v>8.1</v>
      </c>
      <c r="I238">
        <v>2.84</v>
      </c>
      <c r="J238" t="str">
        <f t="shared" si="17"/>
        <v>Second class lower</v>
      </c>
      <c r="K238">
        <v>0.7</v>
      </c>
      <c r="L238" t="s">
        <v>18</v>
      </c>
      <c r="M238">
        <v>5</v>
      </c>
      <c r="N238">
        <v>4</v>
      </c>
      <c r="O238">
        <v>9</v>
      </c>
      <c r="P238">
        <v>0</v>
      </c>
      <c r="Q238">
        <f t="shared" si="18"/>
        <v>18</v>
      </c>
      <c r="S238" t="str">
        <f t="shared" si="19"/>
        <v>Mentally Strained</v>
      </c>
    </row>
    <row r="239" spans="1:19" x14ac:dyDescent="0.25">
      <c r="A239">
        <v>19</v>
      </c>
      <c r="B239" t="str">
        <f t="shared" si="15"/>
        <v>Old Teenager</v>
      </c>
      <c r="C239" t="s">
        <v>16</v>
      </c>
      <c r="D239">
        <v>1.2</v>
      </c>
      <c r="E239" t="s">
        <v>20</v>
      </c>
      <c r="F239">
        <v>5</v>
      </c>
      <c r="G239">
        <v>1.5</v>
      </c>
      <c r="H239">
        <f t="shared" si="16"/>
        <v>2.7</v>
      </c>
      <c r="I239">
        <v>2.09</v>
      </c>
      <c r="J239" t="str">
        <f t="shared" si="17"/>
        <v>third class</v>
      </c>
      <c r="K239">
        <v>0.6</v>
      </c>
      <c r="L239" t="s">
        <v>22</v>
      </c>
      <c r="M239">
        <v>5</v>
      </c>
      <c r="N239">
        <v>2</v>
      </c>
      <c r="O239">
        <v>1</v>
      </c>
      <c r="P239">
        <v>0</v>
      </c>
      <c r="Q239">
        <f t="shared" si="18"/>
        <v>8</v>
      </c>
      <c r="S239" t="str">
        <f t="shared" si="19"/>
        <v>Mentally Sound</v>
      </c>
    </row>
    <row r="240" spans="1:19" x14ac:dyDescent="0.25">
      <c r="A240">
        <v>16</v>
      </c>
      <c r="B240" t="str">
        <f t="shared" si="15"/>
        <v>Old Teenager</v>
      </c>
      <c r="C240" t="s">
        <v>19</v>
      </c>
      <c r="D240">
        <v>2.4</v>
      </c>
      <c r="E240" t="s">
        <v>23</v>
      </c>
      <c r="F240">
        <v>6.2</v>
      </c>
      <c r="G240">
        <v>1.6</v>
      </c>
      <c r="H240">
        <f t="shared" si="16"/>
        <v>4</v>
      </c>
      <c r="I240">
        <v>2.38</v>
      </c>
      <c r="J240" t="str">
        <f t="shared" si="17"/>
        <v>third class</v>
      </c>
      <c r="K240">
        <v>0</v>
      </c>
      <c r="L240" t="s">
        <v>22</v>
      </c>
      <c r="M240">
        <v>8</v>
      </c>
      <c r="N240">
        <v>4</v>
      </c>
      <c r="O240">
        <v>10</v>
      </c>
      <c r="P240">
        <v>0</v>
      </c>
      <c r="Q240">
        <f t="shared" si="18"/>
        <v>22</v>
      </c>
      <c r="S240" t="str">
        <f t="shared" si="19"/>
        <v>Mentally Unstable</v>
      </c>
    </row>
    <row r="241" spans="1:19" x14ac:dyDescent="0.25">
      <c r="A241">
        <v>17</v>
      </c>
      <c r="B241" t="str">
        <f t="shared" si="15"/>
        <v>Old Teenager</v>
      </c>
      <c r="C241" t="s">
        <v>19</v>
      </c>
      <c r="D241">
        <v>6.2</v>
      </c>
      <c r="E241" t="s">
        <v>23</v>
      </c>
      <c r="F241">
        <v>5.0999999999999996</v>
      </c>
      <c r="G241">
        <v>2</v>
      </c>
      <c r="H241">
        <f t="shared" si="16"/>
        <v>8.1999999999999993</v>
      </c>
      <c r="I241">
        <v>3.82</v>
      </c>
      <c r="J241" t="str">
        <f t="shared" si="17"/>
        <v>first class</v>
      </c>
      <c r="K241">
        <v>1.7</v>
      </c>
      <c r="L241" t="s">
        <v>22</v>
      </c>
      <c r="M241">
        <v>7</v>
      </c>
      <c r="N241">
        <v>3</v>
      </c>
      <c r="O241">
        <v>5</v>
      </c>
      <c r="P241">
        <v>0</v>
      </c>
      <c r="Q241">
        <f t="shared" si="18"/>
        <v>15</v>
      </c>
      <c r="S241" t="str">
        <f t="shared" si="19"/>
        <v>Mentally Strained</v>
      </c>
    </row>
    <row r="242" spans="1:19" x14ac:dyDescent="0.25">
      <c r="A242">
        <v>14</v>
      </c>
      <c r="B242" t="str">
        <f t="shared" si="15"/>
        <v>Young Teenager</v>
      </c>
      <c r="C242" t="s">
        <v>19</v>
      </c>
      <c r="D242">
        <v>4.7</v>
      </c>
      <c r="E242" t="s">
        <v>17</v>
      </c>
      <c r="F242">
        <v>5.0999999999999996</v>
      </c>
      <c r="G242">
        <v>2.2000000000000002</v>
      </c>
      <c r="H242">
        <f t="shared" si="16"/>
        <v>6.9</v>
      </c>
      <c r="I242">
        <v>2.0299999999999998</v>
      </c>
      <c r="J242" t="str">
        <f t="shared" si="17"/>
        <v>third class</v>
      </c>
      <c r="K242">
        <v>1.1000000000000001</v>
      </c>
      <c r="L242" t="s">
        <v>22</v>
      </c>
      <c r="M242">
        <v>2</v>
      </c>
      <c r="N242">
        <v>10</v>
      </c>
      <c r="O242">
        <v>7</v>
      </c>
      <c r="P242">
        <v>0</v>
      </c>
      <c r="Q242">
        <f t="shared" si="18"/>
        <v>19</v>
      </c>
      <c r="S242" t="str">
        <f t="shared" si="19"/>
        <v>Mentally Strained</v>
      </c>
    </row>
    <row r="243" spans="1:19" x14ac:dyDescent="0.25">
      <c r="A243">
        <v>19</v>
      </c>
      <c r="B243" t="str">
        <f t="shared" si="15"/>
        <v>Old Teenager</v>
      </c>
      <c r="C243" t="s">
        <v>16</v>
      </c>
      <c r="D243">
        <v>5.3</v>
      </c>
      <c r="E243" t="s">
        <v>17</v>
      </c>
      <c r="F243">
        <v>6.7</v>
      </c>
      <c r="G243">
        <v>0.7</v>
      </c>
      <c r="H243">
        <f t="shared" si="16"/>
        <v>6</v>
      </c>
      <c r="I243">
        <v>3.59</v>
      </c>
      <c r="J243" t="str">
        <f t="shared" si="17"/>
        <v>Second class upper</v>
      </c>
      <c r="K243">
        <v>1.8</v>
      </c>
      <c r="L243" t="s">
        <v>21</v>
      </c>
      <c r="M243">
        <v>4</v>
      </c>
      <c r="N243">
        <v>8</v>
      </c>
      <c r="O243">
        <v>8</v>
      </c>
      <c r="P243">
        <v>0</v>
      </c>
      <c r="Q243">
        <f t="shared" si="18"/>
        <v>20</v>
      </c>
      <c r="S243" t="str">
        <f t="shared" si="19"/>
        <v>Mentally Unstable</v>
      </c>
    </row>
    <row r="244" spans="1:19" x14ac:dyDescent="0.25">
      <c r="A244">
        <v>19</v>
      </c>
      <c r="B244" t="str">
        <f t="shared" si="15"/>
        <v>Old Teenager</v>
      </c>
      <c r="C244" t="s">
        <v>19</v>
      </c>
      <c r="D244">
        <v>6</v>
      </c>
      <c r="E244" t="s">
        <v>20</v>
      </c>
      <c r="F244">
        <v>6</v>
      </c>
      <c r="G244">
        <v>0.7</v>
      </c>
      <c r="H244">
        <f t="shared" si="16"/>
        <v>6.7</v>
      </c>
      <c r="I244">
        <v>3.29</v>
      </c>
      <c r="J244" t="str">
        <f t="shared" si="17"/>
        <v>Second class upper</v>
      </c>
      <c r="K244">
        <v>1.4</v>
      </c>
      <c r="L244" t="s">
        <v>18</v>
      </c>
      <c r="M244">
        <v>4</v>
      </c>
      <c r="N244">
        <v>5</v>
      </c>
      <c r="O244">
        <v>1</v>
      </c>
      <c r="P244">
        <v>0</v>
      </c>
      <c r="Q244">
        <f t="shared" si="18"/>
        <v>10</v>
      </c>
      <c r="S244" t="str">
        <f t="shared" si="19"/>
        <v>Mentally Strained</v>
      </c>
    </row>
    <row r="245" spans="1:19" x14ac:dyDescent="0.25">
      <c r="A245">
        <v>16</v>
      </c>
      <c r="B245" t="str">
        <f t="shared" si="15"/>
        <v>Old Teenager</v>
      </c>
      <c r="C245" t="s">
        <v>19</v>
      </c>
      <c r="D245">
        <v>7.8</v>
      </c>
      <c r="E245" t="s">
        <v>20</v>
      </c>
      <c r="F245">
        <v>4.7</v>
      </c>
      <c r="G245">
        <v>2.1</v>
      </c>
      <c r="H245">
        <f t="shared" si="16"/>
        <v>9.9</v>
      </c>
      <c r="I245">
        <v>2.48</v>
      </c>
      <c r="J245" t="str">
        <f t="shared" si="17"/>
        <v>third class</v>
      </c>
      <c r="K245">
        <v>2</v>
      </c>
      <c r="L245" t="s">
        <v>18</v>
      </c>
      <c r="M245">
        <v>8</v>
      </c>
      <c r="N245">
        <v>3</v>
      </c>
      <c r="O245">
        <v>1</v>
      </c>
      <c r="P245">
        <v>0</v>
      </c>
      <c r="Q245">
        <f t="shared" si="18"/>
        <v>12</v>
      </c>
      <c r="S245" t="str">
        <f t="shared" si="19"/>
        <v>Mentally Strained</v>
      </c>
    </row>
    <row r="246" spans="1:19" x14ac:dyDescent="0.25">
      <c r="A246">
        <v>14</v>
      </c>
      <c r="B246" t="str">
        <f t="shared" si="15"/>
        <v>Young Teenager</v>
      </c>
      <c r="C246" t="s">
        <v>19</v>
      </c>
      <c r="D246">
        <v>4.4000000000000004</v>
      </c>
      <c r="E246" t="s">
        <v>23</v>
      </c>
      <c r="F246">
        <v>4.2</v>
      </c>
      <c r="G246">
        <v>2.6</v>
      </c>
      <c r="H246">
        <f t="shared" si="16"/>
        <v>7</v>
      </c>
      <c r="I246">
        <v>2.2799999999999998</v>
      </c>
      <c r="J246" t="str">
        <f t="shared" si="17"/>
        <v>third class</v>
      </c>
      <c r="K246">
        <v>1.3</v>
      </c>
      <c r="L246" t="s">
        <v>22</v>
      </c>
      <c r="M246">
        <v>8</v>
      </c>
      <c r="N246">
        <v>10</v>
      </c>
      <c r="O246">
        <v>4</v>
      </c>
      <c r="P246">
        <v>0</v>
      </c>
      <c r="Q246">
        <f t="shared" si="18"/>
        <v>22</v>
      </c>
      <c r="S246" t="str">
        <f t="shared" si="19"/>
        <v>Mentally Unstable</v>
      </c>
    </row>
    <row r="247" spans="1:19" x14ac:dyDescent="0.25">
      <c r="A247">
        <v>17</v>
      </c>
      <c r="B247" t="str">
        <f t="shared" si="15"/>
        <v>Old Teenager</v>
      </c>
      <c r="C247" t="s">
        <v>16</v>
      </c>
      <c r="D247">
        <v>6.7</v>
      </c>
      <c r="E247" t="s">
        <v>17</v>
      </c>
      <c r="F247">
        <v>7.6</v>
      </c>
      <c r="G247">
        <v>2.4</v>
      </c>
      <c r="H247">
        <f t="shared" si="16"/>
        <v>9.1</v>
      </c>
      <c r="I247">
        <v>3.59</v>
      </c>
      <c r="J247" t="str">
        <f t="shared" si="17"/>
        <v>Second class upper</v>
      </c>
      <c r="K247">
        <v>0.4</v>
      </c>
      <c r="L247" t="s">
        <v>22</v>
      </c>
      <c r="M247">
        <v>9</v>
      </c>
      <c r="N247">
        <v>5</v>
      </c>
      <c r="O247">
        <v>5</v>
      </c>
      <c r="P247">
        <v>0</v>
      </c>
      <c r="Q247">
        <f t="shared" si="18"/>
        <v>19</v>
      </c>
      <c r="S247" t="str">
        <f t="shared" si="19"/>
        <v>Mentally Strained</v>
      </c>
    </row>
    <row r="248" spans="1:19" x14ac:dyDescent="0.25">
      <c r="A248">
        <v>13</v>
      </c>
      <c r="B248" t="str">
        <f t="shared" si="15"/>
        <v>Young Teenager</v>
      </c>
      <c r="C248" t="s">
        <v>19</v>
      </c>
      <c r="D248">
        <v>7.2</v>
      </c>
      <c r="E248" t="s">
        <v>20</v>
      </c>
      <c r="F248">
        <v>7.4</v>
      </c>
      <c r="G248">
        <v>2.2000000000000002</v>
      </c>
      <c r="H248">
        <f t="shared" si="16"/>
        <v>9.4</v>
      </c>
      <c r="I248">
        <v>3.42</v>
      </c>
      <c r="J248" t="str">
        <f t="shared" si="17"/>
        <v>Second class upper</v>
      </c>
      <c r="K248">
        <v>0.1</v>
      </c>
      <c r="L248" t="s">
        <v>18</v>
      </c>
      <c r="M248">
        <v>8</v>
      </c>
      <c r="N248">
        <v>9</v>
      </c>
      <c r="O248">
        <v>6</v>
      </c>
      <c r="P248">
        <v>0</v>
      </c>
      <c r="Q248">
        <f t="shared" si="18"/>
        <v>23</v>
      </c>
      <c r="S248" t="str">
        <f t="shared" si="19"/>
        <v>Mentally Unstable</v>
      </c>
    </row>
    <row r="249" spans="1:19" x14ac:dyDescent="0.25">
      <c r="A249">
        <v>18</v>
      </c>
      <c r="B249" t="str">
        <f t="shared" si="15"/>
        <v>Old Teenager</v>
      </c>
      <c r="C249" t="s">
        <v>16</v>
      </c>
      <c r="D249">
        <v>6.1</v>
      </c>
      <c r="E249" t="s">
        <v>23</v>
      </c>
      <c r="F249">
        <v>4.4000000000000004</v>
      </c>
      <c r="G249">
        <v>2.1</v>
      </c>
      <c r="H249">
        <f t="shared" si="16"/>
        <v>8.1999999999999993</v>
      </c>
      <c r="I249">
        <v>2.23</v>
      </c>
      <c r="J249" t="str">
        <f t="shared" si="17"/>
        <v>third class</v>
      </c>
      <c r="K249">
        <v>1</v>
      </c>
      <c r="L249" t="s">
        <v>18</v>
      </c>
      <c r="M249">
        <v>8</v>
      </c>
      <c r="N249">
        <v>2</v>
      </c>
      <c r="O249">
        <v>5</v>
      </c>
      <c r="P249">
        <v>0</v>
      </c>
      <c r="Q249">
        <f t="shared" si="18"/>
        <v>15</v>
      </c>
      <c r="S249" t="str">
        <f t="shared" si="19"/>
        <v>Mentally Strained</v>
      </c>
    </row>
    <row r="250" spans="1:19" x14ac:dyDescent="0.25">
      <c r="A250">
        <v>16</v>
      </c>
      <c r="B250" t="str">
        <f t="shared" si="15"/>
        <v>Old Teenager</v>
      </c>
      <c r="C250" t="s">
        <v>16</v>
      </c>
      <c r="D250">
        <v>5.4</v>
      </c>
      <c r="E250" t="s">
        <v>20</v>
      </c>
      <c r="F250">
        <v>8.6999999999999993</v>
      </c>
      <c r="G250">
        <v>1.9</v>
      </c>
      <c r="H250">
        <f t="shared" si="16"/>
        <v>7.3000000000000007</v>
      </c>
      <c r="I250">
        <v>2.67</v>
      </c>
      <c r="J250" t="str">
        <f t="shared" si="17"/>
        <v>Second class lower</v>
      </c>
      <c r="K250">
        <v>1.3</v>
      </c>
      <c r="L250" t="s">
        <v>18</v>
      </c>
      <c r="M250">
        <v>1</v>
      </c>
      <c r="N250">
        <v>5</v>
      </c>
      <c r="O250">
        <v>7</v>
      </c>
      <c r="P250">
        <v>0</v>
      </c>
      <c r="Q250">
        <f t="shared" si="18"/>
        <v>13</v>
      </c>
      <c r="S250" t="str">
        <f t="shared" si="19"/>
        <v>Mentally Strained</v>
      </c>
    </row>
    <row r="251" spans="1:19" x14ac:dyDescent="0.25">
      <c r="A251">
        <v>19</v>
      </c>
      <c r="B251" t="str">
        <f t="shared" si="15"/>
        <v>Old Teenager</v>
      </c>
      <c r="C251" t="s">
        <v>16</v>
      </c>
      <c r="D251">
        <v>2.7</v>
      </c>
      <c r="E251" t="s">
        <v>23</v>
      </c>
      <c r="F251">
        <v>7.7</v>
      </c>
      <c r="G251">
        <v>0.7</v>
      </c>
      <c r="H251">
        <f t="shared" si="16"/>
        <v>3.4000000000000004</v>
      </c>
      <c r="I251">
        <v>2.2200000000000002</v>
      </c>
      <c r="J251" t="str">
        <f t="shared" si="17"/>
        <v>third class</v>
      </c>
      <c r="K251">
        <v>0.4</v>
      </c>
      <c r="L251" t="s">
        <v>22</v>
      </c>
      <c r="M251">
        <v>10</v>
      </c>
      <c r="N251">
        <v>8</v>
      </c>
      <c r="O251">
        <v>7</v>
      </c>
      <c r="P251">
        <v>0</v>
      </c>
      <c r="Q251">
        <f t="shared" si="18"/>
        <v>25</v>
      </c>
      <c r="S251" t="str">
        <f t="shared" si="19"/>
        <v>Mentally Unstable</v>
      </c>
    </row>
    <row r="252" spans="1:19" x14ac:dyDescent="0.25">
      <c r="A252">
        <v>13</v>
      </c>
      <c r="B252" t="str">
        <f t="shared" si="15"/>
        <v>Young Teenager</v>
      </c>
      <c r="C252" t="s">
        <v>19</v>
      </c>
      <c r="D252">
        <v>7.9</v>
      </c>
      <c r="E252" t="s">
        <v>17</v>
      </c>
      <c r="F252">
        <v>7.2</v>
      </c>
      <c r="G252">
        <v>1.5</v>
      </c>
      <c r="H252">
        <f t="shared" si="16"/>
        <v>9.4</v>
      </c>
      <c r="I252">
        <v>2.36</v>
      </c>
      <c r="J252" t="str">
        <f t="shared" si="17"/>
        <v>third class</v>
      </c>
      <c r="K252">
        <v>0.2</v>
      </c>
      <c r="L252" t="s">
        <v>22</v>
      </c>
      <c r="M252">
        <v>2</v>
      </c>
      <c r="N252">
        <v>6</v>
      </c>
      <c r="O252">
        <v>8</v>
      </c>
      <c r="P252">
        <v>0</v>
      </c>
      <c r="Q252">
        <f t="shared" si="18"/>
        <v>16</v>
      </c>
      <c r="S252" t="str">
        <f t="shared" si="19"/>
        <v>Mentally Strained</v>
      </c>
    </row>
    <row r="253" spans="1:19" x14ac:dyDescent="0.25">
      <c r="A253">
        <v>13</v>
      </c>
      <c r="B253" t="str">
        <f t="shared" si="15"/>
        <v>Young Teenager</v>
      </c>
      <c r="C253" t="s">
        <v>16</v>
      </c>
      <c r="D253">
        <v>4.5999999999999996</v>
      </c>
      <c r="E253" t="s">
        <v>20</v>
      </c>
      <c r="F253">
        <v>7.3</v>
      </c>
      <c r="G253">
        <v>1.6</v>
      </c>
      <c r="H253">
        <f t="shared" si="16"/>
        <v>6.1999999999999993</v>
      </c>
      <c r="I253">
        <v>2.91</v>
      </c>
      <c r="J253" t="str">
        <f t="shared" si="17"/>
        <v>Second class lower</v>
      </c>
      <c r="K253">
        <v>0.4</v>
      </c>
      <c r="L253" t="s">
        <v>18</v>
      </c>
      <c r="M253">
        <v>10</v>
      </c>
      <c r="N253">
        <v>5</v>
      </c>
      <c r="O253">
        <v>7</v>
      </c>
      <c r="P253">
        <v>0</v>
      </c>
      <c r="Q253">
        <f t="shared" si="18"/>
        <v>22</v>
      </c>
      <c r="S253" t="str">
        <f t="shared" si="19"/>
        <v>Mentally Unstable</v>
      </c>
    </row>
    <row r="254" spans="1:19" x14ac:dyDescent="0.25">
      <c r="A254">
        <v>13</v>
      </c>
      <c r="B254" t="str">
        <f t="shared" si="15"/>
        <v>Young Teenager</v>
      </c>
      <c r="C254" t="s">
        <v>16</v>
      </c>
      <c r="D254">
        <v>5.6</v>
      </c>
      <c r="E254" t="s">
        <v>17</v>
      </c>
      <c r="F254">
        <v>4.5999999999999996</v>
      </c>
      <c r="G254">
        <v>1.9</v>
      </c>
      <c r="H254">
        <f t="shared" si="16"/>
        <v>7.5</v>
      </c>
      <c r="I254">
        <v>2.54</v>
      </c>
      <c r="J254" t="str">
        <f t="shared" si="17"/>
        <v>Second class lower</v>
      </c>
      <c r="K254">
        <v>0.1</v>
      </c>
      <c r="L254" t="s">
        <v>18</v>
      </c>
      <c r="M254">
        <v>5</v>
      </c>
      <c r="N254">
        <v>5</v>
      </c>
      <c r="O254">
        <v>6</v>
      </c>
      <c r="P254">
        <v>0</v>
      </c>
      <c r="Q254">
        <f t="shared" si="18"/>
        <v>16</v>
      </c>
      <c r="S254" t="str">
        <f t="shared" si="19"/>
        <v>Mentally Strained</v>
      </c>
    </row>
    <row r="255" spans="1:19" x14ac:dyDescent="0.25">
      <c r="A255">
        <v>17</v>
      </c>
      <c r="B255" t="str">
        <f t="shared" si="15"/>
        <v>Old Teenager</v>
      </c>
      <c r="C255" t="s">
        <v>19</v>
      </c>
      <c r="D255">
        <v>6.5</v>
      </c>
      <c r="E255" t="s">
        <v>20</v>
      </c>
      <c r="F255">
        <v>6.4</v>
      </c>
      <c r="G255">
        <v>0.7</v>
      </c>
      <c r="H255">
        <f t="shared" si="16"/>
        <v>7.2</v>
      </c>
      <c r="I255">
        <v>3.57</v>
      </c>
      <c r="J255" t="str">
        <f t="shared" si="17"/>
        <v>Second class upper</v>
      </c>
      <c r="K255">
        <v>1.1000000000000001</v>
      </c>
      <c r="L255" t="s">
        <v>18</v>
      </c>
      <c r="M255">
        <v>2</v>
      </c>
      <c r="N255">
        <v>9</v>
      </c>
      <c r="O255">
        <v>6</v>
      </c>
      <c r="P255">
        <v>0</v>
      </c>
      <c r="Q255">
        <f t="shared" si="18"/>
        <v>17</v>
      </c>
      <c r="S255" t="str">
        <f t="shared" si="19"/>
        <v>Mentally Strained</v>
      </c>
    </row>
    <row r="256" spans="1:19" x14ac:dyDescent="0.25">
      <c r="A256">
        <v>19</v>
      </c>
      <c r="B256" t="str">
        <f t="shared" si="15"/>
        <v>Old Teenager</v>
      </c>
      <c r="C256" t="s">
        <v>16</v>
      </c>
      <c r="D256">
        <v>5.9</v>
      </c>
      <c r="E256" t="s">
        <v>23</v>
      </c>
      <c r="F256">
        <v>7.2</v>
      </c>
      <c r="G256">
        <v>0.9</v>
      </c>
      <c r="H256">
        <f t="shared" si="16"/>
        <v>6.8000000000000007</v>
      </c>
      <c r="I256">
        <v>3.99</v>
      </c>
      <c r="J256" t="str">
        <f t="shared" si="17"/>
        <v>first class</v>
      </c>
      <c r="K256">
        <v>1.7</v>
      </c>
      <c r="L256" t="s">
        <v>18</v>
      </c>
      <c r="M256">
        <v>7</v>
      </c>
      <c r="N256">
        <v>9</v>
      </c>
      <c r="O256">
        <v>3</v>
      </c>
      <c r="P256">
        <v>0</v>
      </c>
      <c r="Q256">
        <f t="shared" si="18"/>
        <v>19</v>
      </c>
      <c r="S256" t="str">
        <f t="shared" si="19"/>
        <v>Mentally Strained</v>
      </c>
    </row>
    <row r="257" spans="1:19" x14ac:dyDescent="0.25">
      <c r="A257">
        <v>19</v>
      </c>
      <c r="B257" t="str">
        <f t="shared" si="15"/>
        <v>Old Teenager</v>
      </c>
      <c r="C257" t="s">
        <v>19</v>
      </c>
      <c r="D257">
        <v>1.1000000000000001</v>
      </c>
      <c r="E257" t="s">
        <v>20</v>
      </c>
      <c r="F257">
        <v>5.0999999999999996</v>
      </c>
      <c r="G257">
        <v>2.2000000000000002</v>
      </c>
      <c r="H257">
        <f t="shared" si="16"/>
        <v>3.3000000000000003</v>
      </c>
      <c r="I257">
        <v>2.13</v>
      </c>
      <c r="J257" t="str">
        <f t="shared" si="17"/>
        <v>third class</v>
      </c>
      <c r="K257">
        <v>0.9</v>
      </c>
      <c r="L257" t="s">
        <v>18</v>
      </c>
      <c r="M257">
        <v>7</v>
      </c>
      <c r="N257">
        <v>7</v>
      </c>
      <c r="O257">
        <v>2</v>
      </c>
      <c r="P257">
        <v>0</v>
      </c>
      <c r="Q257">
        <f t="shared" si="18"/>
        <v>16</v>
      </c>
      <c r="S257" t="str">
        <f t="shared" si="19"/>
        <v>Mentally Strained</v>
      </c>
    </row>
    <row r="258" spans="1:19" x14ac:dyDescent="0.25">
      <c r="A258">
        <v>18</v>
      </c>
      <c r="B258" t="str">
        <f t="shared" si="15"/>
        <v>Old Teenager</v>
      </c>
      <c r="C258" t="s">
        <v>16</v>
      </c>
      <c r="D258">
        <v>3.2</v>
      </c>
      <c r="E258" t="s">
        <v>20</v>
      </c>
      <c r="F258">
        <v>5.0999999999999996</v>
      </c>
      <c r="G258">
        <v>1.2</v>
      </c>
      <c r="H258">
        <f t="shared" si="16"/>
        <v>4.4000000000000004</v>
      </c>
      <c r="I258">
        <v>3.54</v>
      </c>
      <c r="J258" t="str">
        <f t="shared" si="17"/>
        <v>Second class upper</v>
      </c>
      <c r="K258">
        <v>1.3</v>
      </c>
      <c r="L258" t="s">
        <v>18</v>
      </c>
      <c r="M258">
        <v>6</v>
      </c>
      <c r="N258">
        <v>2</v>
      </c>
      <c r="O258">
        <v>8</v>
      </c>
      <c r="P258">
        <v>0</v>
      </c>
      <c r="Q258">
        <f t="shared" si="18"/>
        <v>16</v>
      </c>
      <c r="S258" t="str">
        <f t="shared" si="19"/>
        <v>Mentally Strained</v>
      </c>
    </row>
    <row r="259" spans="1:19" x14ac:dyDescent="0.25">
      <c r="A259">
        <v>14</v>
      </c>
      <c r="B259" t="str">
        <f t="shared" ref="B259:B322" si="20">IF(A259&lt;=15,"Young Teenager","Old Teenager")</f>
        <v>Young Teenager</v>
      </c>
      <c r="C259" t="s">
        <v>16</v>
      </c>
      <c r="D259">
        <v>6.5</v>
      </c>
      <c r="E259" t="s">
        <v>17</v>
      </c>
      <c r="F259">
        <v>5.3</v>
      </c>
      <c r="G259">
        <v>2.7</v>
      </c>
      <c r="H259">
        <f t="shared" ref="H259:H322" si="21">SUM(D259,G259)</f>
        <v>9.1999999999999993</v>
      </c>
      <c r="I259">
        <v>3.79</v>
      </c>
      <c r="J259" t="str">
        <f t="shared" ref="J259:J322" si="22">IF(I259&lt;=2.49,"third class",IF(I259&lt;3,"Second class lower",IF(I259&lt;3.6,"Second class upper","first class")))</f>
        <v>first class</v>
      </c>
      <c r="K259">
        <v>0.8</v>
      </c>
      <c r="L259" t="s">
        <v>18</v>
      </c>
      <c r="M259">
        <v>8</v>
      </c>
      <c r="N259">
        <v>6</v>
      </c>
      <c r="O259">
        <v>4</v>
      </c>
      <c r="P259">
        <v>0</v>
      </c>
      <c r="Q259">
        <f t="shared" ref="Q259:Q322" si="23">SUM(M259:P259)</f>
        <v>18</v>
      </c>
      <c r="S259" t="str">
        <f t="shared" ref="S259:S322" si="24">IF(Q259&lt;10,"Mentally Sound",IF(Q259&gt;=20,"Mentally Unstable","Mentally Strained"))</f>
        <v>Mentally Strained</v>
      </c>
    </row>
    <row r="260" spans="1:19" x14ac:dyDescent="0.25">
      <c r="A260">
        <v>17</v>
      </c>
      <c r="B260" t="str">
        <f t="shared" si="20"/>
        <v>Old Teenager</v>
      </c>
      <c r="C260" t="s">
        <v>19</v>
      </c>
      <c r="D260">
        <v>7.3</v>
      </c>
      <c r="E260" t="s">
        <v>17</v>
      </c>
      <c r="F260">
        <v>6.2</v>
      </c>
      <c r="G260">
        <v>1</v>
      </c>
      <c r="H260">
        <f t="shared" si="21"/>
        <v>8.3000000000000007</v>
      </c>
      <c r="I260">
        <v>2.02</v>
      </c>
      <c r="J260" t="str">
        <f t="shared" si="22"/>
        <v>third class</v>
      </c>
      <c r="K260">
        <v>0.2</v>
      </c>
      <c r="L260" t="s">
        <v>18</v>
      </c>
      <c r="M260">
        <v>1</v>
      </c>
      <c r="N260">
        <v>6</v>
      </c>
      <c r="O260">
        <v>3</v>
      </c>
      <c r="P260">
        <v>0</v>
      </c>
      <c r="Q260">
        <f t="shared" si="23"/>
        <v>10</v>
      </c>
      <c r="S260" t="str">
        <f t="shared" si="24"/>
        <v>Mentally Strained</v>
      </c>
    </row>
    <row r="261" spans="1:19" x14ac:dyDescent="0.25">
      <c r="A261">
        <v>17</v>
      </c>
      <c r="B261" t="str">
        <f t="shared" si="20"/>
        <v>Old Teenager</v>
      </c>
      <c r="C261" t="s">
        <v>16</v>
      </c>
      <c r="D261">
        <v>1.5</v>
      </c>
      <c r="E261" t="s">
        <v>20</v>
      </c>
      <c r="F261">
        <v>5.5</v>
      </c>
      <c r="G261">
        <v>1.7</v>
      </c>
      <c r="H261">
        <f t="shared" si="21"/>
        <v>3.2</v>
      </c>
      <c r="I261">
        <v>2.93</v>
      </c>
      <c r="J261" t="str">
        <f t="shared" si="22"/>
        <v>Second class lower</v>
      </c>
      <c r="K261">
        <v>0.7</v>
      </c>
      <c r="L261" t="s">
        <v>18</v>
      </c>
      <c r="M261">
        <v>4</v>
      </c>
      <c r="N261">
        <v>9</v>
      </c>
      <c r="O261">
        <v>9</v>
      </c>
      <c r="P261">
        <v>0</v>
      </c>
      <c r="Q261">
        <f t="shared" si="23"/>
        <v>22</v>
      </c>
      <c r="S261" t="str">
        <f t="shared" si="24"/>
        <v>Mentally Unstable</v>
      </c>
    </row>
    <row r="262" spans="1:19" x14ac:dyDescent="0.25">
      <c r="A262">
        <v>16</v>
      </c>
      <c r="B262" t="str">
        <f t="shared" si="20"/>
        <v>Old Teenager</v>
      </c>
      <c r="C262" t="s">
        <v>16</v>
      </c>
      <c r="D262">
        <v>3.8</v>
      </c>
      <c r="E262" t="s">
        <v>17</v>
      </c>
      <c r="F262">
        <v>6.8</v>
      </c>
      <c r="G262">
        <v>2.4</v>
      </c>
      <c r="H262">
        <f t="shared" si="21"/>
        <v>6.1999999999999993</v>
      </c>
      <c r="I262">
        <v>3.1</v>
      </c>
      <c r="J262" t="str">
        <f t="shared" si="22"/>
        <v>Second class upper</v>
      </c>
      <c r="K262">
        <v>1.6</v>
      </c>
      <c r="L262" t="s">
        <v>18</v>
      </c>
      <c r="M262">
        <v>6</v>
      </c>
      <c r="N262">
        <v>10</v>
      </c>
      <c r="O262">
        <v>4</v>
      </c>
      <c r="P262">
        <v>0</v>
      </c>
      <c r="Q262">
        <f t="shared" si="23"/>
        <v>20</v>
      </c>
      <c r="S262" t="str">
        <f t="shared" si="24"/>
        <v>Mentally Unstable</v>
      </c>
    </row>
    <row r="263" spans="1:19" x14ac:dyDescent="0.25">
      <c r="A263">
        <v>13</v>
      </c>
      <c r="B263" t="str">
        <f t="shared" si="20"/>
        <v>Young Teenager</v>
      </c>
      <c r="C263" t="s">
        <v>19</v>
      </c>
      <c r="D263">
        <v>3.6</v>
      </c>
      <c r="E263" t="s">
        <v>20</v>
      </c>
      <c r="F263">
        <v>8.6</v>
      </c>
      <c r="G263">
        <v>2.8</v>
      </c>
      <c r="H263">
        <f t="shared" si="21"/>
        <v>6.4</v>
      </c>
      <c r="I263">
        <v>3.28</v>
      </c>
      <c r="J263" t="str">
        <f t="shared" si="22"/>
        <v>Second class upper</v>
      </c>
      <c r="K263">
        <v>0.7</v>
      </c>
      <c r="L263" t="s">
        <v>21</v>
      </c>
      <c r="M263">
        <v>10</v>
      </c>
      <c r="N263">
        <v>3</v>
      </c>
      <c r="O263">
        <v>5</v>
      </c>
      <c r="P263">
        <v>0</v>
      </c>
      <c r="Q263">
        <f t="shared" si="23"/>
        <v>18</v>
      </c>
      <c r="S263" t="str">
        <f t="shared" si="24"/>
        <v>Mentally Strained</v>
      </c>
    </row>
    <row r="264" spans="1:19" x14ac:dyDescent="0.25">
      <c r="A264">
        <v>15</v>
      </c>
      <c r="B264" t="str">
        <f t="shared" si="20"/>
        <v>Young Teenager</v>
      </c>
      <c r="C264" t="s">
        <v>16</v>
      </c>
      <c r="D264">
        <v>3.6</v>
      </c>
      <c r="E264" t="s">
        <v>20</v>
      </c>
      <c r="F264">
        <v>4.3</v>
      </c>
      <c r="G264">
        <v>2.9</v>
      </c>
      <c r="H264">
        <f t="shared" si="21"/>
        <v>6.5</v>
      </c>
      <c r="I264">
        <v>2.2000000000000002</v>
      </c>
      <c r="J264" t="str">
        <f t="shared" si="22"/>
        <v>third class</v>
      </c>
      <c r="K264">
        <v>1</v>
      </c>
      <c r="L264" t="s">
        <v>21</v>
      </c>
      <c r="M264">
        <v>10</v>
      </c>
      <c r="N264">
        <v>9</v>
      </c>
      <c r="O264">
        <v>7</v>
      </c>
      <c r="P264">
        <v>0</v>
      </c>
      <c r="Q264">
        <f t="shared" si="23"/>
        <v>26</v>
      </c>
      <c r="S264" t="str">
        <f t="shared" si="24"/>
        <v>Mentally Unstable</v>
      </c>
    </row>
    <row r="265" spans="1:19" x14ac:dyDescent="0.25">
      <c r="A265">
        <v>17</v>
      </c>
      <c r="B265" t="str">
        <f t="shared" si="20"/>
        <v>Old Teenager</v>
      </c>
      <c r="C265" t="s">
        <v>19</v>
      </c>
      <c r="D265">
        <v>5.3</v>
      </c>
      <c r="E265" t="s">
        <v>17</v>
      </c>
      <c r="F265">
        <v>7.4</v>
      </c>
      <c r="G265">
        <v>1.2</v>
      </c>
      <c r="H265">
        <f t="shared" si="21"/>
        <v>6.5</v>
      </c>
      <c r="I265">
        <v>3.41</v>
      </c>
      <c r="J265" t="str">
        <f t="shared" si="22"/>
        <v>Second class upper</v>
      </c>
      <c r="K265">
        <v>1.1000000000000001</v>
      </c>
      <c r="L265" t="s">
        <v>21</v>
      </c>
      <c r="M265">
        <v>6</v>
      </c>
      <c r="N265">
        <v>3</v>
      </c>
      <c r="O265">
        <v>7</v>
      </c>
      <c r="P265">
        <v>0</v>
      </c>
      <c r="Q265">
        <f t="shared" si="23"/>
        <v>16</v>
      </c>
      <c r="S265" t="str">
        <f t="shared" si="24"/>
        <v>Mentally Strained</v>
      </c>
    </row>
    <row r="266" spans="1:19" x14ac:dyDescent="0.25">
      <c r="A266">
        <v>19</v>
      </c>
      <c r="B266" t="str">
        <f t="shared" si="20"/>
        <v>Old Teenager</v>
      </c>
      <c r="C266" t="s">
        <v>16</v>
      </c>
      <c r="D266">
        <v>4.4000000000000004</v>
      </c>
      <c r="E266" t="s">
        <v>20</v>
      </c>
      <c r="F266">
        <v>4.3</v>
      </c>
      <c r="G266">
        <v>0.8</v>
      </c>
      <c r="H266">
        <f t="shared" si="21"/>
        <v>5.2</v>
      </c>
      <c r="I266">
        <v>2.44</v>
      </c>
      <c r="J266" t="str">
        <f t="shared" si="22"/>
        <v>third class</v>
      </c>
      <c r="K266">
        <v>1</v>
      </c>
      <c r="L266" t="s">
        <v>21</v>
      </c>
      <c r="M266">
        <v>9</v>
      </c>
      <c r="N266">
        <v>9</v>
      </c>
      <c r="O266">
        <v>7</v>
      </c>
      <c r="P266">
        <v>0</v>
      </c>
      <c r="Q266">
        <f t="shared" si="23"/>
        <v>25</v>
      </c>
      <c r="S266" t="str">
        <f t="shared" si="24"/>
        <v>Mentally Unstable</v>
      </c>
    </row>
    <row r="267" spans="1:19" x14ac:dyDescent="0.25">
      <c r="A267">
        <v>18</v>
      </c>
      <c r="B267" t="str">
        <f t="shared" si="20"/>
        <v>Old Teenager</v>
      </c>
      <c r="C267" t="s">
        <v>16</v>
      </c>
      <c r="D267">
        <v>7.7</v>
      </c>
      <c r="E267" t="s">
        <v>20</v>
      </c>
      <c r="F267">
        <v>4.7</v>
      </c>
      <c r="G267">
        <v>1.4</v>
      </c>
      <c r="H267">
        <f t="shared" si="21"/>
        <v>9.1</v>
      </c>
      <c r="I267">
        <v>3.04</v>
      </c>
      <c r="J267" t="str">
        <f t="shared" si="22"/>
        <v>Second class upper</v>
      </c>
      <c r="K267">
        <v>0.6</v>
      </c>
      <c r="L267" t="s">
        <v>22</v>
      </c>
      <c r="M267">
        <v>9</v>
      </c>
      <c r="N267">
        <v>6</v>
      </c>
      <c r="O267">
        <v>6</v>
      </c>
      <c r="P267">
        <v>0</v>
      </c>
      <c r="Q267">
        <f t="shared" si="23"/>
        <v>21</v>
      </c>
      <c r="S267" t="str">
        <f t="shared" si="24"/>
        <v>Mentally Unstable</v>
      </c>
    </row>
    <row r="268" spans="1:19" x14ac:dyDescent="0.25">
      <c r="A268">
        <v>14</v>
      </c>
      <c r="B268" t="str">
        <f t="shared" si="20"/>
        <v>Young Teenager</v>
      </c>
      <c r="C268" t="s">
        <v>19</v>
      </c>
      <c r="D268">
        <v>7.1</v>
      </c>
      <c r="E268" t="s">
        <v>20</v>
      </c>
      <c r="F268">
        <v>4.5</v>
      </c>
      <c r="G268">
        <v>2.4</v>
      </c>
      <c r="H268">
        <f t="shared" si="21"/>
        <v>9.5</v>
      </c>
      <c r="I268">
        <v>3.53</v>
      </c>
      <c r="J268" t="str">
        <f t="shared" si="22"/>
        <v>Second class upper</v>
      </c>
      <c r="K268">
        <v>0.4</v>
      </c>
      <c r="L268" t="s">
        <v>21</v>
      </c>
      <c r="M268">
        <v>3</v>
      </c>
      <c r="N268">
        <v>4</v>
      </c>
      <c r="O268">
        <v>4</v>
      </c>
      <c r="P268">
        <v>0</v>
      </c>
      <c r="Q268">
        <f t="shared" si="23"/>
        <v>11</v>
      </c>
      <c r="S268" t="str">
        <f t="shared" si="24"/>
        <v>Mentally Strained</v>
      </c>
    </row>
    <row r="269" spans="1:19" x14ac:dyDescent="0.25">
      <c r="A269">
        <v>16</v>
      </c>
      <c r="B269" t="str">
        <f t="shared" si="20"/>
        <v>Old Teenager</v>
      </c>
      <c r="C269" t="s">
        <v>16</v>
      </c>
      <c r="D269">
        <v>4.9000000000000004</v>
      </c>
      <c r="E269" t="s">
        <v>17</v>
      </c>
      <c r="F269">
        <v>6.8</v>
      </c>
      <c r="G269">
        <v>1</v>
      </c>
      <c r="H269">
        <f t="shared" si="21"/>
        <v>5.9</v>
      </c>
      <c r="I269">
        <v>3.18</v>
      </c>
      <c r="J269" t="str">
        <f t="shared" si="22"/>
        <v>Second class upper</v>
      </c>
      <c r="K269">
        <v>1.9</v>
      </c>
      <c r="L269" t="s">
        <v>21</v>
      </c>
      <c r="M269">
        <v>7</v>
      </c>
      <c r="N269">
        <v>4</v>
      </c>
      <c r="O269">
        <v>8</v>
      </c>
      <c r="P269">
        <v>0</v>
      </c>
      <c r="Q269">
        <f t="shared" si="23"/>
        <v>19</v>
      </c>
      <c r="S269" t="str">
        <f t="shared" si="24"/>
        <v>Mentally Strained</v>
      </c>
    </row>
    <row r="270" spans="1:19" x14ac:dyDescent="0.25">
      <c r="A270">
        <v>19</v>
      </c>
      <c r="B270" t="str">
        <f t="shared" si="20"/>
        <v>Old Teenager</v>
      </c>
      <c r="C270" t="s">
        <v>16</v>
      </c>
      <c r="D270">
        <v>4.5999999999999996</v>
      </c>
      <c r="E270" t="s">
        <v>23</v>
      </c>
      <c r="F270">
        <v>8.9</v>
      </c>
      <c r="G270">
        <v>1.9</v>
      </c>
      <c r="H270">
        <f t="shared" si="21"/>
        <v>6.5</v>
      </c>
      <c r="I270">
        <v>2.5</v>
      </c>
      <c r="J270" t="str">
        <f t="shared" si="22"/>
        <v>Second class lower</v>
      </c>
      <c r="K270">
        <v>0.4</v>
      </c>
      <c r="L270" t="s">
        <v>22</v>
      </c>
      <c r="M270">
        <v>8</v>
      </c>
      <c r="N270">
        <v>1</v>
      </c>
      <c r="O270">
        <v>3</v>
      </c>
      <c r="P270">
        <v>0</v>
      </c>
      <c r="Q270">
        <f t="shared" si="23"/>
        <v>12</v>
      </c>
      <c r="S270" t="str">
        <f t="shared" si="24"/>
        <v>Mentally Strained</v>
      </c>
    </row>
    <row r="271" spans="1:19" x14ac:dyDescent="0.25">
      <c r="A271">
        <v>19</v>
      </c>
      <c r="B271" t="str">
        <f t="shared" si="20"/>
        <v>Old Teenager</v>
      </c>
      <c r="C271" t="s">
        <v>16</v>
      </c>
      <c r="D271">
        <v>1.8</v>
      </c>
      <c r="E271" t="s">
        <v>17</v>
      </c>
      <c r="F271">
        <v>6.5</v>
      </c>
      <c r="G271">
        <v>2.6</v>
      </c>
      <c r="H271">
        <f t="shared" si="21"/>
        <v>4.4000000000000004</v>
      </c>
      <c r="I271">
        <v>2.75</v>
      </c>
      <c r="J271" t="str">
        <f t="shared" si="22"/>
        <v>Second class lower</v>
      </c>
      <c r="K271">
        <v>1.7</v>
      </c>
      <c r="L271" t="s">
        <v>21</v>
      </c>
      <c r="M271">
        <v>7</v>
      </c>
      <c r="N271">
        <v>6</v>
      </c>
      <c r="O271">
        <v>1</v>
      </c>
      <c r="P271">
        <v>0</v>
      </c>
      <c r="Q271">
        <f t="shared" si="23"/>
        <v>14</v>
      </c>
      <c r="S271" t="str">
        <f t="shared" si="24"/>
        <v>Mentally Strained</v>
      </c>
    </row>
    <row r="272" spans="1:19" x14ac:dyDescent="0.25">
      <c r="A272">
        <v>16</v>
      </c>
      <c r="B272" t="str">
        <f t="shared" si="20"/>
        <v>Old Teenager</v>
      </c>
      <c r="C272" t="s">
        <v>16</v>
      </c>
      <c r="D272">
        <v>4.2</v>
      </c>
      <c r="E272" t="s">
        <v>23</v>
      </c>
      <c r="F272">
        <v>5.7</v>
      </c>
      <c r="G272">
        <v>1</v>
      </c>
      <c r="H272">
        <f t="shared" si="21"/>
        <v>5.2</v>
      </c>
      <c r="I272">
        <v>2.77</v>
      </c>
      <c r="J272" t="str">
        <f t="shared" si="22"/>
        <v>Second class lower</v>
      </c>
      <c r="K272">
        <v>0.1</v>
      </c>
      <c r="L272" t="s">
        <v>21</v>
      </c>
      <c r="M272">
        <v>10</v>
      </c>
      <c r="N272">
        <v>5</v>
      </c>
      <c r="O272">
        <v>9</v>
      </c>
      <c r="P272">
        <v>0</v>
      </c>
      <c r="Q272">
        <f t="shared" si="23"/>
        <v>24</v>
      </c>
      <c r="S272" t="str">
        <f t="shared" si="24"/>
        <v>Mentally Unstable</v>
      </c>
    </row>
    <row r="273" spans="1:19" x14ac:dyDescent="0.25">
      <c r="A273">
        <v>16</v>
      </c>
      <c r="B273" t="str">
        <f t="shared" si="20"/>
        <v>Old Teenager</v>
      </c>
      <c r="C273" t="s">
        <v>16</v>
      </c>
      <c r="D273">
        <v>1.5</v>
      </c>
      <c r="E273" t="s">
        <v>20</v>
      </c>
      <c r="F273">
        <v>6.7</v>
      </c>
      <c r="G273">
        <v>0.5</v>
      </c>
      <c r="H273">
        <f t="shared" si="21"/>
        <v>2</v>
      </c>
      <c r="I273">
        <v>2.78</v>
      </c>
      <c r="J273" t="str">
        <f t="shared" si="22"/>
        <v>Second class lower</v>
      </c>
      <c r="K273">
        <v>1.2</v>
      </c>
      <c r="L273" t="s">
        <v>18</v>
      </c>
      <c r="M273">
        <v>1</v>
      </c>
      <c r="N273">
        <v>9</v>
      </c>
      <c r="O273">
        <v>6</v>
      </c>
      <c r="P273">
        <v>0</v>
      </c>
      <c r="Q273">
        <f t="shared" si="23"/>
        <v>16</v>
      </c>
      <c r="S273" t="str">
        <f t="shared" si="24"/>
        <v>Mentally Strained</v>
      </c>
    </row>
    <row r="274" spans="1:19" x14ac:dyDescent="0.25">
      <c r="A274">
        <v>19</v>
      </c>
      <c r="B274" t="str">
        <f t="shared" si="20"/>
        <v>Old Teenager</v>
      </c>
      <c r="C274" t="s">
        <v>16</v>
      </c>
      <c r="D274">
        <v>7</v>
      </c>
      <c r="E274" t="s">
        <v>17</v>
      </c>
      <c r="F274">
        <v>8.9</v>
      </c>
      <c r="G274">
        <v>2.8</v>
      </c>
      <c r="H274">
        <f t="shared" si="21"/>
        <v>9.8000000000000007</v>
      </c>
      <c r="I274">
        <v>2.84</v>
      </c>
      <c r="J274" t="str">
        <f t="shared" si="22"/>
        <v>Second class lower</v>
      </c>
      <c r="K274">
        <v>0.4</v>
      </c>
      <c r="L274" t="s">
        <v>21</v>
      </c>
      <c r="M274">
        <v>6</v>
      </c>
      <c r="N274">
        <v>8</v>
      </c>
      <c r="O274">
        <v>6</v>
      </c>
      <c r="P274">
        <v>0</v>
      </c>
      <c r="Q274">
        <f t="shared" si="23"/>
        <v>20</v>
      </c>
      <c r="S274" t="str">
        <f t="shared" si="24"/>
        <v>Mentally Unstable</v>
      </c>
    </row>
    <row r="275" spans="1:19" x14ac:dyDescent="0.25">
      <c r="A275">
        <v>14</v>
      </c>
      <c r="B275" t="str">
        <f t="shared" si="20"/>
        <v>Young Teenager</v>
      </c>
      <c r="C275" t="s">
        <v>19</v>
      </c>
      <c r="D275">
        <v>6.5</v>
      </c>
      <c r="E275" t="s">
        <v>23</v>
      </c>
      <c r="F275">
        <v>7.8</v>
      </c>
      <c r="G275">
        <v>1.5</v>
      </c>
      <c r="H275">
        <f t="shared" si="21"/>
        <v>8</v>
      </c>
      <c r="I275">
        <v>3.26</v>
      </c>
      <c r="J275" t="str">
        <f t="shared" si="22"/>
        <v>Second class upper</v>
      </c>
      <c r="K275">
        <v>0.8</v>
      </c>
      <c r="L275" t="s">
        <v>22</v>
      </c>
      <c r="M275">
        <v>9</v>
      </c>
      <c r="N275">
        <v>2</v>
      </c>
      <c r="O275">
        <v>3</v>
      </c>
      <c r="P275">
        <v>0</v>
      </c>
      <c r="Q275">
        <f t="shared" si="23"/>
        <v>14</v>
      </c>
      <c r="S275" t="str">
        <f t="shared" si="24"/>
        <v>Mentally Strained</v>
      </c>
    </row>
    <row r="276" spans="1:19" x14ac:dyDescent="0.25">
      <c r="A276">
        <v>19</v>
      </c>
      <c r="B276" t="str">
        <f t="shared" si="20"/>
        <v>Old Teenager</v>
      </c>
      <c r="C276" t="s">
        <v>19</v>
      </c>
      <c r="D276">
        <v>4.3</v>
      </c>
      <c r="E276" t="s">
        <v>17</v>
      </c>
      <c r="F276">
        <v>5.9</v>
      </c>
      <c r="G276">
        <v>2.1</v>
      </c>
      <c r="H276">
        <f t="shared" si="21"/>
        <v>6.4</v>
      </c>
      <c r="I276">
        <v>2.85</v>
      </c>
      <c r="J276" t="str">
        <f t="shared" si="22"/>
        <v>Second class lower</v>
      </c>
      <c r="K276">
        <v>1.7</v>
      </c>
      <c r="L276" t="s">
        <v>21</v>
      </c>
      <c r="M276">
        <v>9</v>
      </c>
      <c r="N276">
        <v>9</v>
      </c>
      <c r="O276">
        <v>8</v>
      </c>
      <c r="P276">
        <v>0</v>
      </c>
      <c r="Q276">
        <f t="shared" si="23"/>
        <v>26</v>
      </c>
      <c r="S276" t="str">
        <f t="shared" si="24"/>
        <v>Mentally Unstable</v>
      </c>
    </row>
    <row r="277" spans="1:19" x14ac:dyDescent="0.25">
      <c r="A277">
        <v>16</v>
      </c>
      <c r="B277" t="str">
        <f t="shared" si="20"/>
        <v>Old Teenager</v>
      </c>
      <c r="C277" t="s">
        <v>16</v>
      </c>
      <c r="D277">
        <v>7.2</v>
      </c>
      <c r="E277" t="s">
        <v>23</v>
      </c>
      <c r="F277">
        <v>7.7</v>
      </c>
      <c r="G277">
        <v>2.5</v>
      </c>
      <c r="H277">
        <f t="shared" si="21"/>
        <v>9.6999999999999993</v>
      </c>
      <c r="I277">
        <v>2.56</v>
      </c>
      <c r="J277" t="str">
        <f t="shared" si="22"/>
        <v>Second class lower</v>
      </c>
      <c r="K277">
        <v>1.7</v>
      </c>
      <c r="L277" t="s">
        <v>21</v>
      </c>
      <c r="M277">
        <v>8</v>
      </c>
      <c r="N277">
        <v>7</v>
      </c>
      <c r="O277">
        <v>6</v>
      </c>
      <c r="P277">
        <v>0</v>
      </c>
      <c r="Q277">
        <f t="shared" si="23"/>
        <v>21</v>
      </c>
      <c r="S277" t="str">
        <f t="shared" si="24"/>
        <v>Mentally Unstable</v>
      </c>
    </row>
    <row r="278" spans="1:19" x14ac:dyDescent="0.25">
      <c r="A278">
        <v>13</v>
      </c>
      <c r="B278" t="str">
        <f t="shared" si="20"/>
        <v>Young Teenager</v>
      </c>
      <c r="C278" t="s">
        <v>16</v>
      </c>
      <c r="D278">
        <v>7</v>
      </c>
      <c r="E278" t="s">
        <v>23</v>
      </c>
      <c r="F278">
        <v>4.0999999999999996</v>
      </c>
      <c r="G278">
        <v>1.9</v>
      </c>
      <c r="H278">
        <f t="shared" si="21"/>
        <v>8.9</v>
      </c>
      <c r="I278">
        <v>2.2999999999999998</v>
      </c>
      <c r="J278" t="str">
        <f t="shared" si="22"/>
        <v>third class</v>
      </c>
      <c r="K278">
        <v>0.3</v>
      </c>
      <c r="L278" t="s">
        <v>22</v>
      </c>
      <c r="M278">
        <v>3</v>
      </c>
      <c r="N278">
        <v>10</v>
      </c>
      <c r="O278">
        <v>6</v>
      </c>
      <c r="P278">
        <v>0</v>
      </c>
      <c r="Q278">
        <f t="shared" si="23"/>
        <v>19</v>
      </c>
      <c r="S278" t="str">
        <f t="shared" si="24"/>
        <v>Mentally Strained</v>
      </c>
    </row>
    <row r="279" spans="1:19" x14ac:dyDescent="0.25">
      <c r="A279">
        <v>18</v>
      </c>
      <c r="B279" t="str">
        <f t="shared" si="20"/>
        <v>Old Teenager</v>
      </c>
      <c r="C279" t="s">
        <v>19</v>
      </c>
      <c r="D279">
        <v>3.8</v>
      </c>
      <c r="E279" t="s">
        <v>23</v>
      </c>
      <c r="F279">
        <v>5.4</v>
      </c>
      <c r="G279">
        <v>1.7</v>
      </c>
      <c r="H279">
        <f t="shared" si="21"/>
        <v>5.5</v>
      </c>
      <c r="I279">
        <v>3.06</v>
      </c>
      <c r="J279" t="str">
        <f t="shared" si="22"/>
        <v>Second class upper</v>
      </c>
      <c r="K279">
        <v>1.9</v>
      </c>
      <c r="L279" t="s">
        <v>22</v>
      </c>
      <c r="M279">
        <v>5</v>
      </c>
      <c r="N279">
        <v>10</v>
      </c>
      <c r="O279">
        <v>3</v>
      </c>
      <c r="P279">
        <v>0</v>
      </c>
      <c r="Q279">
        <f t="shared" si="23"/>
        <v>18</v>
      </c>
      <c r="S279" t="str">
        <f t="shared" si="24"/>
        <v>Mentally Strained</v>
      </c>
    </row>
    <row r="280" spans="1:19" x14ac:dyDescent="0.25">
      <c r="A280">
        <v>17</v>
      </c>
      <c r="B280" t="str">
        <f t="shared" si="20"/>
        <v>Old Teenager</v>
      </c>
      <c r="C280" t="s">
        <v>19</v>
      </c>
      <c r="D280">
        <v>3</v>
      </c>
      <c r="E280" t="s">
        <v>17</v>
      </c>
      <c r="F280">
        <v>6.9</v>
      </c>
      <c r="G280">
        <v>2.2999999999999998</v>
      </c>
      <c r="H280">
        <f t="shared" si="21"/>
        <v>5.3</v>
      </c>
      <c r="I280">
        <v>3.34</v>
      </c>
      <c r="J280" t="str">
        <f t="shared" si="22"/>
        <v>Second class upper</v>
      </c>
      <c r="K280">
        <v>0.6</v>
      </c>
      <c r="L280" t="s">
        <v>18</v>
      </c>
      <c r="M280">
        <v>5</v>
      </c>
      <c r="N280">
        <v>2</v>
      </c>
      <c r="O280">
        <v>9</v>
      </c>
      <c r="P280">
        <v>0</v>
      </c>
      <c r="Q280">
        <f t="shared" si="23"/>
        <v>16</v>
      </c>
      <c r="S280" t="str">
        <f t="shared" si="24"/>
        <v>Mentally Strained</v>
      </c>
    </row>
    <row r="281" spans="1:19" x14ac:dyDescent="0.25">
      <c r="A281">
        <v>14</v>
      </c>
      <c r="B281" t="str">
        <f t="shared" si="20"/>
        <v>Young Teenager</v>
      </c>
      <c r="C281" t="s">
        <v>19</v>
      </c>
      <c r="D281">
        <v>7</v>
      </c>
      <c r="E281" t="s">
        <v>20</v>
      </c>
      <c r="F281">
        <v>7.8</v>
      </c>
      <c r="G281">
        <v>1.1000000000000001</v>
      </c>
      <c r="H281">
        <f t="shared" si="21"/>
        <v>8.1</v>
      </c>
      <c r="I281">
        <v>3.81</v>
      </c>
      <c r="J281" t="str">
        <f t="shared" si="22"/>
        <v>first class</v>
      </c>
      <c r="K281">
        <v>1.4</v>
      </c>
      <c r="L281" t="s">
        <v>22</v>
      </c>
      <c r="M281">
        <v>10</v>
      </c>
      <c r="N281">
        <v>4</v>
      </c>
      <c r="O281">
        <v>2</v>
      </c>
      <c r="P281">
        <v>0</v>
      </c>
      <c r="Q281">
        <f t="shared" si="23"/>
        <v>16</v>
      </c>
      <c r="S281" t="str">
        <f t="shared" si="24"/>
        <v>Mentally Strained</v>
      </c>
    </row>
    <row r="282" spans="1:19" x14ac:dyDescent="0.25">
      <c r="A282">
        <v>13</v>
      </c>
      <c r="B282" t="str">
        <f t="shared" si="20"/>
        <v>Young Teenager</v>
      </c>
      <c r="C282" t="s">
        <v>16</v>
      </c>
      <c r="D282">
        <v>4.5999999999999996</v>
      </c>
      <c r="E282" t="s">
        <v>20</v>
      </c>
      <c r="F282">
        <v>5.3</v>
      </c>
      <c r="G282">
        <v>2.2999999999999998</v>
      </c>
      <c r="H282">
        <f t="shared" si="21"/>
        <v>6.8999999999999995</v>
      </c>
      <c r="I282">
        <v>2.42</v>
      </c>
      <c r="J282" t="str">
        <f t="shared" si="22"/>
        <v>third class</v>
      </c>
      <c r="K282">
        <v>0.2</v>
      </c>
      <c r="L282" t="s">
        <v>18</v>
      </c>
      <c r="M282">
        <v>5</v>
      </c>
      <c r="N282">
        <v>9</v>
      </c>
      <c r="O282">
        <v>5</v>
      </c>
      <c r="P282">
        <v>0</v>
      </c>
      <c r="Q282">
        <f t="shared" si="23"/>
        <v>19</v>
      </c>
      <c r="S282" t="str">
        <f t="shared" si="24"/>
        <v>Mentally Strained</v>
      </c>
    </row>
    <row r="283" spans="1:19" x14ac:dyDescent="0.25">
      <c r="A283">
        <v>16</v>
      </c>
      <c r="B283" t="str">
        <f t="shared" si="20"/>
        <v>Old Teenager</v>
      </c>
      <c r="C283" t="s">
        <v>16</v>
      </c>
      <c r="D283">
        <v>3.4</v>
      </c>
      <c r="E283" t="s">
        <v>23</v>
      </c>
      <c r="F283">
        <v>8.9</v>
      </c>
      <c r="G283">
        <v>2.6</v>
      </c>
      <c r="H283">
        <f t="shared" si="21"/>
        <v>6</v>
      </c>
      <c r="I283">
        <v>2.54</v>
      </c>
      <c r="J283" t="str">
        <f t="shared" si="22"/>
        <v>Second class lower</v>
      </c>
      <c r="K283">
        <v>1.8</v>
      </c>
      <c r="L283" t="s">
        <v>21</v>
      </c>
      <c r="M283">
        <v>6</v>
      </c>
      <c r="N283">
        <v>2</v>
      </c>
      <c r="O283">
        <v>5</v>
      </c>
      <c r="P283">
        <v>0</v>
      </c>
      <c r="Q283">
        <f t="shared" si="23"/>
        <v>13</v>
      </c>
      <c r="S283" t="str">
        <f t="shared" si="24"/>
        <v>Mentally Strained</v>
      </c>
    </row>
    <row r="284" spans="1:19" x14ac:dyDescent="0.25">
      <c r="A284">
        <v>19</v>
      </c>
      <c r="B284" t="str">
        <f t="shared" si="20"/>
        <v>Old Teenager</v>
      </c>
      <c r="C284" t="s">
        <v>19</v>
      </c>
      <c r="D284">
        <v>3.5</v>
      </c>
      <c r="E284" t="s">
        <v>20</v>
      </c>
      <c r="F284">
        <v>6.7</v>
      </c>
      <c r="G284">
        <v>2.7</v>
      </c>
      <c r="H284">
        <f t="shared" si="21"/>
        <v>6.2</v>
      </c>
      <c r="I284">
        <v>3.4</v>
      </c>
      <c r="J284" t="str">
        <f t="shared" si="22"/>
        <v>Second class upper</v>
      </c>
      <c r="K284">
        <v>1.2</v>
      </c>
      <c r="L284" t="s">
        <v>18</v>
      </c>
      <c r="M284">
        <v>4</v>
      </c>
      <c r="N284">
        <v>6</v>
      </c>
      <c r="O284">
        <v>7</v>
      </c>
      <c r="P284">
        <v>0</v>
      </c>
      <c r="Q284">
        <f t="shared" si="23"/>
        <v>17</v>
      </c>
      <c r="S284" t="str">
        <f t="shared" si="24"/>
        <v>Mentally Strained</v>
      </c>
    </row>
    <row r="285" spans="1:19" x14ac:dyDescent="0.25">
      <c r="A285">
        <v>14</v>
      </c>
      <c r="B285" t="str">
        <f t="shared" si="20"/>
        <v>Young Teenager</v>
      </c>
      <c r="C285" t="s">
        <v>19</v>
      </c>
      <c r="D285">
        <v>4.4000000000000004</v>
      </c>
      <c r="E285" t="s">
        <v>23</v>
      </c>
      <c r="F285">
        <v>7.3</v>
      </c>
      <c r="G285">
        <v>2.7</v>
      </c>
      <c r="H285">
        <f t="shared" si="21"/>
        <v>7.1000000000000005</v>
      </c>
      <c r="I285">
        <v>3.3</v>
      </c>
      <c r="J285" t="str">
        <f t="shared" si="22"/>
        <v>Second class upper</v>
      </c>
      <c r="K285">
        <v>1.1000000000000001</v>
      </c>
      <c r="L285" t="s">
        <v>18</v>
      </c>
      <c r="M285">
        <v>2</v>
      </c>
      <c r="N285">
        <v>1</v>
      </c>
      <c r="O285">
        <v>9</v>
      </c>
      <c r="P285">
        <v>0</v>
      </c>
      <c r="Q285">
        <f t="shared" si="23"/>
        <v>12</v>
      </c>
      <c r="S285" t="str">
        <f t="shared" si="24"/>
        <v>Mentally Strained</v>
      </c>
    </row>
    <row r="286" spans="1:19" x14ac:dyDescent="0.25">
      <c r="A286">
        <v>14</v>
      </c>
      <c r="B286" t="str">
        <f t="shared" si="20"/>
        <v>Young Teenager</v>
      </c>
      <c r="C286" t="s">
        <v>19</v>
      </c>
      <c r="D286">
        <v>1.8</v>
      </c>
      <c r="E286" t="s">
        <v>23</v>
      </c>
      <c r="F286">
        <v>8.1999999999999993</v>
      </c>
      <c r="G286">
        <v>2.2000000000000002</v>
      </c>
      <c r="H286">
        <f t="shared" si="21"/>
        <v>4</v>
      </c>
      <c r="I286">
        <v>3.36</v>
      </c>
      <c r="J286" t="str">
        <f t="shared" si="22"/>
        <v>Second class upper</v>
      </c>
      <c r="K286">
        <v>1.7</v>
      </c>
      <c r="L286" t="s">
        <v>21</v>
      </c>
      <c r="M286">
        <v>9</v>
      </c>
      <c r="N286">
        <v>5</v>
      </c>
      <c r="O286">
        <v>10</v>
      </c>
      <c r="P286">
        <v>0</v>
      </c>
      <c r="Q286">
        <f t="shared" si="23"/>
        <v>24</v>
      </c>
      <c r="S286" t="str">
        <f t="shared" si="24"/>
        <v>Mentally Unstable</v>
      </c>
    </row>
    <row r="287" spans="1:19" x14ac:dyDescent="0.25">
      <c r="A287">
        <v>17</v>
      </c>
      <c r="B287" t="str">
        <f t="shared" si="20"/>
        <v>Old Teenager</v>
      </c>
      <c r="C287" t="s">
        <v>16</v>
      </c>
      <c r="D287">
        <v>3.9</v>
      </c>
      <c r="E287" t="s">
        <v>23</v>
      </c>
      <c r="F287">
        <v>7.7</v>
      </c>
      <c r="G287">
        <v>1</v>
      </c>
      <c r="H287">
        <f t="shared" si="21"/>
        <v>4.9000000000000004</v>
      </c>
      <c r="I287">
        <v>2.1</v>
      </c>
      <c r="J287" t="str">
        <f t="shared" si="22"/>
        <v>third class</v>
      </c>
      <c r="K287">
        <v>1.8</v>
      </c>
      <c r="L287" t="s">
        <v>21</v>
      </c>
      <c r="M287">
        <v>7</v>
      </c>
      <c r="N287">
        <v>4</v>
      </c>
      <c r="O287">
        <v>5</v>
      </c>
      <c r="P287">
        <v>0</v>
      </c>
      <c r="Q287">
        <f t="shared" si="23"/>
        <v>16</v>
      </c>
      <c r="S287" t="str">
        <f t="shared" si="24"/>
        <v>Mentally Strained</v>
      </c>
    </row>
    <row r="288" spans="1:19" x14ac:dyDescent="0.25">
      <c r="A288">
        <v>14</v>
      </c>
      <c r="B288" t="str">
        <f t="shared" si="20"/>
        <v>Young Teenager</v>
      </c>
      <c r="C288" t="s">
        <v>19</v>
      </c>
      <c r="D288">
        <v>4.4000000000000004</v>
      </c>
      <c r="E288" t="s">
        <v>20</v>
      </c>
      <c r="F288">
        <v>5.7</v>
      </c>
      <c r="G288">
        <v>1</v>
      </c>
      <c r="H288">
        <f t="shared" si="21"/>
        <v>5.4</v>
      </c>
      <c r="I288">
        <v>3.2</v>
      </c>
      <c r="J288" t="str">
        <f t="shared" si="22"/>
        <v>Second class upper</v>
      </c>
      <c r="K288">
        <v>1.9</v>
      </c>
      <c r="L288" t="s">
        <v>21</v>
      </c>
      <c r="M288">
        <v>4</v>
      </c>
      <c r="N288">
        <v>2</v>
      </c>
      <c r="O288">
        <v>2</v>
      </c>
      <c r="P288">
        <v>0</v>
      </c>
      <c r="Q288">
        <f t="shared" si="23"/>
        <v>8</v>
      </c>
      <c r="S288" t="str">
        <f t="shared" si="24"/>
        <v>Mentally Sound</v>
      </c>
    </row>
    <row r="289" spans="1:19" x14ac:dyDescent="0.25">
      <c r="A289">
        <v>13</v>
      </c>
      <c r="B289" t="str">
        <f t="shared" si="20"/>
        <v>Young Teenager</v>
      </c>
      <c r="C289" t="s">
        <v>19</v>
      </c>
      <c r="D289">
        <v>2</v>
      </c>
      <c r="E289" t="s">
        <v>17</v>
      </c>
      <c r="F289">
        <v>8.6999999999999993</v>
      </c>
      <c r="G289">
        <v>1.9</v>
      </c>
      <c r="H289">
        <f t="shared" si="21"/>
        <v>3.9</v>
      </c>
      <c r="I289">
        <v>2.2799999999999998</v>
      </c>
      <c r="J289" t="str">
        <f t="shared" si="22"/>
        <v>third class</v>
      </c>
      <c r="K289">
        <v>1.2</v>
      </c>
      <c r="L289" t="s">
        <v>22</v>
      </c>
      <c r="M289">
        <v>7</v>
      </c>
      <c r="N289">
        <v>7</v>
      </c>
      <c r="O289">
        <v>9</v>
      </c>
      <c r="P289">
        <v>0</v>
      </c>
      <c r="Q289">
        <f t="shared" si="23"/>
        <v>23</v>
      </c>
      <c r="S289" t="str">
        <f t="shared" si="24"/>
        <v>Mentally Unstable</v>
      </c>
    </row>
    <row r="290" spans="1:19" x14ac:dyDescent="0.25">
      <c r="A290">
        <v>17</v>
      </c>
      <c r="B290" t="str">
        <f t="shared" si="20"/>
        <v>Old Teenager</v>
      </c>
      <c r="C290" t="s">
        <v>16</v>
      </c>
      <c r="D290">
        <v>7.2</v>
      </c>
      <c r="E290" t="s">
        <v>20</v>
      </c>
      <c r="F290">
        <v>8.8000000000000007</v>
      </c>
      <c r="G290">
        <v>2.5</v>
      </c>
      <c r="H290">
        <f t="shared" si="21"/>
        <v>9.6999999999999993</v>
      </c>
      <c r="I290">
        <v>3.97</v>
      </c>
      <c r="J290" t="str">
        <f t="shared" si="22"/>
        <v>first class</v>
      </c>
      <c r="K290">
        <v>1.9</v>
      </c>
      <c r="L290" t="s">
        <v>18</v>
      </c>
      <c r="M290">
        <v>1</v>
      </c>
      <c r="N290">
        <v>3</v>
      </c>
      <c r="O290">
        <v>9</v>
      </c>
      <c r="P290">
        <v>0</v>
      </c>
      <c r="Q290">
        <f t="shared" si="23"/>
        <v>13</v>
      </c>
      <c r="S290" t="str">
        <f t="shared" si="24"/>
        <v>Mentally Strained</v>
      </c>
    </row>
    <row r="291" spans="1:19" x14ac:dyDescent="0.25">
      <c r="A291">
        <v>19</v>
      </c>
      <c r="B291" t="str">
        <f t="shared" si="20"/>
        <v>Old Teenager</v>
      </c>
      <c r="C291" t="s">
        <v>16</v>
      </c>
      <c r="D291">
        <v>4.4000000000000004</v>
      </c>
      <c r="E291" t="s">
        <v>23</v>
      </c>
      <c r="F291">
        <v>6.4</v>
      </c>
      <c r="G291">
        <v>0.9</v>
      </c>
      <c r="H291">
        <f t="shared" si="21"/>
        <v>5.3000000000000007</v>
      </c>
      <c r="I291">
        <v>2.72</v>
      </c>
      <c r="J291" t="str">
        <f t="shared" si="22"/>
        <v>Second class lower</v>
      </c>
      <c r="K291">
        <v>0.2</v>
      </c>
      <c r="L291" t="s">
        <v>22</v>
      </c>
      <c r="M291">
        <v>6</v>
      </c>
      <c r="N291">
        <v>9</v>
      </c>
      <c r="O291">
        <v>8</v>
      </c>
      <c r="P291">
        <v>0</v>
      </c>
      <c r="Q291">
        <f t="shared" si="23"/>
        <v>23</v>
      </c>
      <c r="S291" t="str">
        <f t="shared" si="24"/>
        <v>Mentally Unstable</v>
      </c>
    </row>
    <row r="292" spans="1:19" x14ac:dyDescent="0.25">
      <c r="A292">
        <v>14</v>
      </c>
      <c r="B292" t="str">
        <f t="shared" si="20"/>
        <v>Young Teenager</v>
      </c>
      <c r="C292" t="s">
        <v>16</v>
      </c>
      <c r="D292">
        <v>7.2</v>
      </c>
      <c r="E292" t="s">
        <v>20</v>
      </c>
      <c r="F292">
        <v>4.8</v>
      </c>
      <c r="G292">
        <v>1.4</v>
      </c>
      <c r="H292">
        <f t="shared" si="21"/>
        <v>8.6</v>
      </c>
      <c r="I292">
        <v>2.36</v>
      </c>
      <c r="J292" t="str">
        <f t="shared" si="22"/>
        <v>third class</v>
      </c>
      <c r="K292">
        <v>0.1</v>
      </c>
      <c r="L292" t="s">
        <v>18</v>
      </c>
      <c r="M292">
        <v>5</v>
      </c>
      <c r="N292">
        <v>7</v>
      </c>
      <c r="O292">
        <v>1</v>
      </c>
      <c r="P292">
        <v>0</v>
      </c>
      <c r="Q292">
        <f t="shared" si="23"/>
        <v>13</v>
      </c>
      <c r="S292" t="str">
        <f t="shared" si="24"/>
        <v>Mentally Strained</v>
      </c>
    </row>
    <row r="293" spans="1:19" x14ac:dyDescent="0.25">
      <c r="A293">
        <v>13</v>
      </c>
      <c r="B293" t="str">
        <f t="shared" si="20"/>
        <v>Young Teenager</v>
      </c>
      <c r="C293" t="s">
        <v>16</v>
      </c>
      <c r="D293">
        <v>5.4</v>
      </c>
      <c r="E293" t="s">
        <v>17</v>
      </c>
      <c r="F293">
        <v>6.5</v>
      </c>
      <c r="G293">
        <v>0.8</v>
      </c>
      <c r="H293">
        <f t="shared" si="21"/>
        <v>6.2</v>
      </c>
      <c r="I293">
        <v>3.17</v>
      </c>
      <c r="J293" t="str">
        <f t="shared" si="22"/>
        <v>Second class upper</v>
      </c>
      <c r="K293">
        <v>0.3</v>
      </c>
      <c r="L293" t="s">
        <v>22</v>
      </c>
      <c r="M293">
        <v>10</v>
      </c>
      <c r="N293">
        <v>3</v>
      </c>
      <c r="O293">
        <v>3</v>
      </c>
      <c r="P293">
        <v>0</v>
      </c>
      <c r="Q293">
        <f t="shared" si="23"/>
        <v>16</v>
      </c>
      <c r="S293" t="str">
        <f t="shared" si="24"/>
        <v>Mentally Strained</v>
      </c>
    </row>
    <row r="294" spans="1:19" x14ac:dyDescent="0.25">
      <c r="A294">
        <v>16</v>
      </c>
      <c r="B294" t="str">
        <f t="shared" si="20"/>
        <v>Old Teenager</v>
      </c>
      <c r="C294" t="s">
        <v>16</v>
      </c>
      <c r="D294">
        <v>1.5</v>
      </c>
      <c r="E294" t="s">
        <v>20</v>
      </c>
      <c r="F294">
        <v>4.0999999999999996</v>
      </c>
      <c r="G294">
        <v>1.3</v>
      </c>
      <c r="H294">
        <f t="shared" si="21"/>
        <v>2.8</v>
      </c>
      <c r="I294">
        <v>3.67</v>
      </c>
      <c r="J294" t="str">
        <f t="shared" si="22"/>
        <v>first class</v>
      </c>
      <c r="K294">
        <v>1.2</v>
      </c>
      <c r="L294" t="s">
        <v>21</v>
      </c>
      <c r="M294">
        <v>10</v>
      </c>
      <c r="N294">
        <v>6</v>
      </c>
      <c r="O294">
        <v>6</v>
      </c>
      <c r="P294">
        <v>0</v>
      </c>
      <c r="Q294">
        <f t="shared" si="23"/>
        <v>22</v>
      </c>
      <c r="S294" t="str">
        <f t="shared" si="24"/>
        <v>Mentally Unstable</v>
      </c>
    </row>
    <row r="295" spans="1:19" x14ac:dyDescent="0.25">
      <c r="A295">
        <v>15</v>
      </c>
      <c r="B295" t="str">
        <f t="shared" si="20"/>
        <v>Young Teenager</v>
      </c>
      <c r="C295" t="s">
        <v>19</v>
      </c>
      <c r="D295">
        <v>1.8</v>
      </c>
      <c r="E295" t="s">
        <v>17</v>
      </c>
      <c r="F295">
        <v>8</v>
      </c>
      <c r="G295">
        <v>2.8</v>
      </c>
      <c r="H295">
        <f t="shared" si="21"/>
        <v>4.5999999999999996</v>
      </c>
      <c r="I295">
        <v>3.49</v>
      </c>
      <c r="J295" t="str">
        <f t="shared" si="22"/>
        <v>Second class upper</v>
      </c>
      <c r="K295">
        <v>0.6</v>
      </c>
      <c r="L295" t="s">
        <v>18</v>
      </c>
      <c r="M295">
        <v>9</v>
      </c>
      <c r="N295">
        <v>8</v>
      </c>
      <c r="O295">
        <v>8</v>
      </c>
      <c r="P295">
        <v>0</v>
      </c>
      <c r="Q295">
        <f t="shared" si="23"/>
        <v>25</v>
      </c>
      <c r="S295" t="str">
        <f t="shared" si="24"/>
        <v>Mentally Unstable</v>
      </c>
    </row>
    <row r="296" spans="1:19" x14ac:dyDescent="0.25">
      <c r="A296">
        <v>17</v>
      </c>
      <c r="B296" t="str">
        <f t="shared" si="20"/>
        <v>Old Teenager</v>
      </c>
      <c r="C296" t="s">
        <v>19</v>
      </c>
      <c r="D296">
        <v>3.7</v>
      </c>
      <c r="E296" t="s">
        <v>20</v>
      </c>
      <c r="F296">
        <v>5.3</v>
      </c>
      <c r="G296">
        <v>0.7</v>
      </c>
      <c r="H296">
        <f t="shared" si="21"/>
        <v>4.4000000000000004</v>
      </c>
      <c r="I296">
        <v>2.09</v>
      </c>
      <c r="J296" t="str">
        <f t="shared" si="22"/>
        <v>third class</v>
      </c>
      <c r="K296">
        <v>0.8</v>
      </c>
      <c r="L296" t="s">
        <v>21</v>
      </c>
      <c r="M296">
        <v>8</v>
      </c>
      <c r="N296">
        <v>8</v>
      </c>
      <c r="O296">
        <v>10</v>
      </c>
      <c r="P296">
        <v>0</v>
      </c>
      <c r="Q296">
        <f t="shared" si="23"/>
        <v>26</v>
      </c>
      <c r="S296" t="str">
        <f t="shared" si="24"/>
        <v>Mentally Unstable</v>
      </c>
    </row>
    <row r="297" spans="1:19" x14ac:dyDescent="0.25">
      <c r="A297">
        <v>13</v>
      </c>
      <c r="B297" t="str">
        <f t="shared" si="20"/>
        <v>Young Teenager</v>
      </c>
      <c r="C297" t="s">
        <v>16</v>
      </c>
      <c r="D297">
        <v>6.4</v>
      </c>
      <c r="E297" t="s">
        <v>23</v>
      </c>
      <c r="F297">
        <v>8.3000000000000007</v>
      </c>
      <c r="G297">
        <v>1.3</v>
      </c>
      <c r="H297">
        <f t="shared" si="21"/>
        <v>7.7</v>
      </c>
      <c r="I297">
        <v>2.21</v>
      </c>
      <c r="J297" t="str">
        <f t="shared" si="22"/>
        <v>third class</v>
      </c>
      <c r="K297">
        <v>1.2</v>
      </c>
      <c r="L297" t="s">
        <v>21</v>
      </c>
      <c r="M297">
        <v>4</v>
      </c>
      <c r="N297">
        <v>5</v>
      </c>
      <c r="O297">
        <v>9</v>
      </c>
      <c r="P297">
        <v>0</v>
      </c>
      <c r="Q297">
        <f t="shared" si="23"/>
        <v>18</v>
      </c>
      <c r="S297" t="str">
        <f t="shared" si="24"/>
        <v>Mentally Strained</v>
      </c>
    </row>
    <row r="298" spans="1:19" x14ac:dyDescent="0.25">
      <c r="A298">
        <v>19</v>
      </c>
      <c r="B298" t="str">
        <f t="shared" si="20"/>
        <v>Old Teenager</v>
      </c>
      <c r="C298" t="s">
        <v>16</v>
      </c>
      <c r="D298">
        <v>6.4</v>
      </c>
      <c r="E298" t="s">
        <v>23</v>
      </c>
      <c r="F298">
        <v>6.7</v>
      </c>
      <c r="G298">
        <v>2.4</v>
      </c>
      <c r="H298">
        <f t="shared" si="21"/>
        <v>8.8000000000000007</v>
      </c>
      <c r="I298">
        <v>2.2000000000000002</v>
      </c>
      <c r="J298" t="str">
        <f t="shared" si="22"/>
        <v>third class</v>
      </c>
      <c r="K298">
        <v>1.3</v>
      </c>
      <c r="L298" t="s">
        <v>18</v>
      </c>
      <c r="M298">
        <v>5</v>
      </c>
      <c r="N298">
        <v>2</v>
      </c>
      <c r="O298">
        <v>2</v>
      </c>
      <c r="P298">
        <v>0</v>
      </c>
      <c r="Q298">
        <f t="shared" si="23"/>
        <v>9</v>
      </c>
      <c r="S298" t="str">
        <f t="shared" si="24"/>
        <v>Mentally Sound</v>
      </c>
    </row>
    <row r="299" spans="1:19" x14ac:dyDescent="0.25">
      <c r="A299">
        <v>17</v>
      </c>
      <c r="B299" t="str">
        <f t="shared" si="20"/>
        <v>Old Teenager</v>
      </c>
      <c r="C299" t="s">
        <v>19</v>
      </c>
      <c r="D299">
        <v>1.1000000000000001</v>
      </c>
      <c r="E299" t="s">
        <v>17</v>
      </c>
      <c r="F299">
        <v>9</v>
      </c>
      <c r="G299">
        <v>2.9</v>
      </c>
      <c r="H299">
        <f t="shared" si="21"/>
        <v>4</v>
      </c>
      <c r="I299">
        <v>2.74</v>
      </c>
      <c r="J299" t="str">
        <f t="shared" si="22"/>
        <v>Second class lower</v>
      </c>
      <c r="K299">
        <v>1</v>
      </c>
      <c r="L299" t="s">
        <v>22</v>
      </c>
      <c r="M299">
        <v>2</v>
      </c>
      <c r="N299">
        <v>8</v>
      </c>
      <c r="O299">
        <v>2</v>
      </c>
      <c r="P299">
        <v>0</v>
      </c>
      <c r="Q299">
        <f t="shared" si="23"/>
        <v>12</v>
      </c>
      <c r="S299" t="str">
        <f t="shared" si="24"/>
        <v>Mentally Strained</v>
      </c>
    </row>
    <row r="300" spans="1:19" x14ac:dyDescent="0.25">
      <c r="A300">
        <v>13</v>
      </c>
      <c r="B300" t="str">
        <f t="shared" si="20"/>
        <v>Young Teenager</v>
      </c>
      <c r="C300" t="s">
        <v>16</v>
      </c>
      <c r="D300">
        <v>1.3</v>
      </c>
      <c r="E300" t="s">
        <v>20</v>
      </c>
      <c r="F300">
        <v>7.8</v>
      </c>
      <c r="G300">
        <v>2.6</v>
      </c>
      <c r="H300">
        <f t="shared" si="21"/>
        <v>3.9000000000000004</v>
      </c>
      <c r="I300">
        <v>3.01</v>
      </c>
      <c r="J300" t="str">
        <f t="shared" si="22"/>
        <v>Second class upper</v>
      </c>
      <c r="K300">
        <v>0.3</v>
      </c>
      <c r="L300" t="s">
        <v>18</v>
      </c>
      <c r="M300">
        <v>2</v>
      </c>
      <c r="N300">
        <v>9</v>
      </c>
      <c r="O300">
        <v>10</v>
      </c>
      <c r="P300">
        <v>0</v>
      </c>
      <c r="Q300">
        <f t="shared" si="23"/>
        <v>21</v>
      </c>
      <c r="S300" t="str">
        <f t="shared" si="24"/>
        <v>Mentally Unstable</v>
      </c>
    </row>
    <row r="301" spans="1:19" x14ac:dyDescent="0.25">
      <c r="A301">
        <v>17</v>
      </c>
      <c r="B301" t="str">
        <f t="shared" si="20"/>
        <v>Old Teenager</v>
      </c>
      <c r="C301" t="s">
        <v>19</v>
      </c>
      <c r="D301">
        <v>4.4000000000000004</v>
      </c>
      <c r="E301" t="s">
        <v>17</v>
      </c>
      <c r="F301">
        <v>6</v>
      </c>
      <c r="G301">
        <v>1.2</v>
      </c>
      <c r="H301">
        <f t="shared" si="21"/>
        <v>5.6000000000000005</v>
      </c>
      <c r="I301">
        <v>2.48</v>
      </c>
      <c r="J301" t="str">
        <f t="shared" si="22"/>
        <v>third class</v>
      </c>
      <c r="K301">
        <v>0.9</v>
      </c>
      <c r="L301" t="s">
        <v>22</v>
      </c>
      <c r="M301">
        <v>6</v>
      </c>
      <c r="N301">
        <v>2</v>
      </c>
      <c r="O301">
        <v>6</v>
      </c>
      <c r="P301">
        <v>0</v>
      </c>
      <c r="Q301">
        <f t="shared" si="23"/>
        <v>14</v>
      </c>
      <c r="S301" t="str">
        <f t="shared" si="24"/>
        <v>Mentally Strained</v>
      </c>
    </row>
    <row r="302" spans="1:19" x14ac:dyDescent="0.25">
      <c r="A302">
        <v>13</v>
      </c>
      <c r="B302" t="str">
        <f t="shared" si="20"/>
        <v>Young Teenager</v>
      </c>
      <c r="C302" t="s">
        <v>16</v>
      </c>
      <c r="D302">
        <v>7.8</v>
      </c>
      <c r="E302" t="s">
        <v>17</v>
      </c>
      <c r="F302">
        <v>5</v>
      </c>
      <c r="G302">
        <v>1.8</v>
      </c>
      <c r="H302">
        <f t="shared" si="21"/>
        <v>9.6</v>
      </c>
      <c r="I302">
        <v>3.57</v>
      </c>
      <c r="J302" t="str">
        <f t="shared" si="22"/>
        <v>Second class upper</v>
      </c>
      <c r="K302">
        <v>1.5</v>
      </c>
      <c r="L302" t="s">
        <v>22</v>
      </c>
      <c r="M302">
        <v>8</v>
      </c>
      <c r="N302">
        <v>10</v>
      </c>
      <c r="O302">
        <v>3</v>
      </c>
      <c r="P302">
        <v>1</v>
      </c>
      <c r="Q302">
        <f t="shared" si="23"/>
        <v>22</v>
      </c>
      <c r="S302" t="str">
        <f t="shared" si="24"/>
        <v>Mentally Unstable</v>
      </c>
    </row>
    <row r="303" spans="1:19" x14ac:dyDescent="0.25">
      <c r="A303">
        <v>14</v>
      </c>
      <c r="B303" t="str">
        <f t="shared" si="20"/>
        <v>Young Teenager</v>
      </c>
      <c r="C303" t="s">
        <v>19</v>
      </c>
      <c r="D303">
        <v>6.9</v>
      </c>
      <c r="E303" t="s">
        <v>20</v>
      </c>
      <c r="F303">
        <v>6.4</v>
      </c>
      <c r="G303">
        <v>0.9</v>
      </c>
      <c r="H303">
        <f t="shared" si="21"/>
        <v>7.8000000000000007</v>
      </c>
      <c r="I303">
        <v>2.04</v>
      </c>
      <c r="J303" t="str">
        <f t="shared" si="22"/>
        <v>third class</v>
      </c>
      <c r="K303">
        <v>1.3</v>
      </c>
      <c r="L303" t="s">
        <v>22</v>
      </c>
      <c r="M303">
        <v>5</v>
      </c>
      <c r="N303">
        <v>5</v>
      </c>
      <c r="O303">
        <v>9</v>
      </c>
      <c r="P303">
        <v>0</v>
      </c>
      <c r="Q303">
        <f t="shared" si="23"/>
        <v>19</v>
      </c>
      <c r="S303" t="str">
        <f t="shared" si="24"/>
        <v>Mentally Strained</v>
      </c>
    </row>
    <row r="304" spans="1:19" x14ac:dyDescent="0.25">
      <c r="A304">
        <v>14</v>
      </c>
      <c r="B304" t="str">
        <f t="shared" si="20"/>
        <v>Young Teenager</v>
      </c>
      <c r="C304" t="s">
        <v>19</v>
      </c>
      <c r="D304">
        <v>4.8</v>
      </c>
      <c r="E304" t="s">
        <v>17</v>
      </c>
      <c r="F304">
        <v>6.8</v>
      </c>
      <c r="G304">
        <v>0.8</v>
      </c>
      <c r="H304">
        <f t="shared" si="21"/>
        <v>5.6</v>
      </c>
      <c r="I304">
        <v>3</v>
      </c>
      <c r="J304" t="str">
        <f t="shared" si="22"/>
        <v>Second class upper</v>
      </c>
      <c r="K304">
        <v>0.9</v>
      </c>
      <c r="L304" t="s">
        <v>18</v>
      </c>
      <c r="M304">
        <v>4</v>
      </c>
      <c r="N304">
        <v>3</v>
      </c>
      <c r="O304">
        <v>4</v>
      </c>
      <c r="P304">
        <v>0</v>
      </c>
      <c r="Q304">
        <f t="shared" si="23"/>
        <v>11</v>
      </c>
      <c r="S304" t="str">
        <f t="shared" si="24"/>
        <v>Mentally Strained</v>
      </c>
    </row>
    <row r="305" spans="1:19" x14ac:dyDescent="0.25">
      <c r="A305">
        <v>13</v>
      </c>
      <c r="B305" t="str">
        <f t="shared" si="20"/>
        <v>Young Teenager</v>
      </c>
      <c r="C305" t="s">
        <v>16</v>
      </c>
      <c r="D305">
        <v>7.5</v>
      </c>
      <c r="E305" t="s">
        <v>17</v>
      </c>
      <c r="F305">
        <v>8.6</v>
      </c>
      <c r="G305">
        <v>1.9</v>
      </c>
      <c r="H305">
        <f t="shared" si="21"/>
        <v>9.4</v>
      </c>
      <c r="I305">
        <v>3.33</v>
      </c>
      <c r="J305" t="str">
        <f t="shared" si="22"/>
        <v>Second class upper</v>
      </c>
      <c r="K305">
        <v>0.9</v>
      </c>
      <c r="L305" t="s">
        <v>22</v>
      </c>
      <c r="M305">
        <v>7</v>
      </c>
      <c r="N305">
        <v>3</v>
      </c>
      <c r="O305">
        <v>10</v>
      </c>
      <c r="P305">
        <v>0</v>
      </c>
      <c r="Q305">
        <f t="shared" si="23"/>
        <v>20</v>
      </c>
      <c r="S305" t="str">
        <f t="shared" si="24"/>
        <v>Mentally Unstable</v>
      </c>
    </row>
    <row r="306" spans="1:19" x14ac:dyDescent="0.25">
      <c r="A306">
        <v>15</v>
      </c>
      <c r="B306" t="str">
        <f t="shared" si="20"/>
        <v>Young Teenager</v>
      </c>
      <c r="C306" t="s">
        <v>19</v>
      </c>
      <c r="D306">
        <v>6.7</v>
      </c>
      <c r="E306" t="s">
        <v>17</v>
      </c>
      <c r="F306">
        <v>7</v>
      </c>
      <c r="G306">
        <v>2.2000000000000002</v>
      </c>
      <c r="H306">
        <f t="shared" si="21"/>
        <v>8.9</v>
      </c>
      <c r="I306">
        <v>2.61</v>
      </c>
      <c r="J306" t="str">
        <f t="shared" si="22"/>
        <v>Second class lower</v>
      </c>
      <c r="K306">
        <v>0.7</v>
      </c>
      <c r="L306" t="s">
        <v>21</v>
      </c>
      <c r="M306">
        <v>2</v>
      </c>
      <c r="N306">
        <v>7</v>
      </c>
      <c r="O306">
        <v>8</v>
      </c>
      <c r="P306">
        <v>0</v>
      </c>
      <c r="Q306">
        <f t="shared" si="23"/>
        <v>17</v>
      </c>
      <c r="S306" t="str">
        <f t="shared" si="24"/>
        <v>Mentally Strained</v>
      </c>
    </row>
    <row r="307" spans="1:19" x14ac:dyDescent="0.25">
      <c r="A307">
        <v>14</v>
      </c>
      <c r="B307" t="str">
        <f t="shared" si="20"/>
        <v>Young Teenager</v>
      </c>
      <c r="C307" t="s">
        <v>16</v>
      </c>
      <c r="D307">
        <v>3.8</v>
      </c>
      <c r="E307" t="s">
        <v>17</v>
      </c>
      <c r="F307">
        <v>4.8</v>
      </c>
      <c r="G307">
        <v>1.9</v>
      </c>
      <c r="H307">
        <f t="shared" si="21"/>
        <v>5.6999999999999993</v>
      </c>
      <c r="I307">
        <v>3.97</v>
      </c>
      <c r="J307" t="str">
        <f t="shared" si="22"/>
        <v>first class</v>
      </c>
      <c r="K307">
        <v>0.2</v>
      </c>
      <c r="L307" t="s">
        <v>21</v>
      </c>
      <c r="M307">
        <v>4</v>
      </c>
      <c r="N307">
        <v>6</v>
      </c>
      <c r="O307">
        <v>6</v>
      </c>
      <c r="P307">
        <v>0</v>
      </c>
      <c r="Q307">
        <f t="shared" si="23"/>
        <v>16</v>
      </c>
      <c r="S307" t="str">
        <f t="shared" si="24"/>
        <v>Mentally Strained</v>
      </c>
    </row>
    <row r="308" spans="1:19" x14ac:dyDescent="0.25">
      <c r="A308">
        <v>15</v>
      </c>
      <c r="B308" t="str">
        <f t="shared" si="20"/>
        <v>Young Teenager</v>
      </c>
      <c r="C308" t="s">
        <v>16</v>
      </c>
      <c r="D308">
        <v>3</v>
      </c>
      <c r="E308" t="s">
        <v>17</v>
      </c>
      <c r="F308">
        <v>8.6</v>
      </c>
      <c r="G308">
        <v>1.5</v>
      </c>
      <c r="H308">
        <f t="shared" si="21"/>
        <v>4.5</v>
      </c>
      <c r="I308">
        <v>3.27</v>
      </c>
      <c r="J308" t="str">
        <f t="shared" si="22"/>
        <v>Second class upper</v>
      </c>
      <c r="K308">
        <v>0.8</v>
      </c>
      <c r="L308" t="s">
        <v>22</v>
      </c>
      <c r="M308">
        <v>10</v>
      </c>
      <c r="N308">
        <v>10</v>
      </c>
      <c r="O308">
        <v>4</v>
      </c>
      <c r="P308">
        <v>0</v>
      </c>
      <c r="Q308">
        <f t="shared" si="23"/>
        <v>24</v>
      </c>
      <c r="S308" t="str">
        <f t="shared" si="24"/>
        <v>Mentally Unstable</v>
      </c>
    </row>
    <row r="309" spans="1:19" x14ac:dyDescent="0.25">
      <c r="A309">
        <v>17</v>
      </c>
      <c r="B309" t="str">
        <f t="shared" si="20"/>
        <v>Old Teenager</v>
      </c>
      <c r="C309" t="s">
        <v>16</v>
      </c>
      <c r="D309">
        <v>7.8</v>
      </c>
      <c r="E309" t="s">
        <v>20</v>
      </c>
      <c r="F309">
        <v>7.1</v>
      </c>
      <c r="G309">
        <v>0.8</v>
      </c>
      <c r="H309">
        <f t="shared" si="21"/>
        <v>8.6</v>
      </c>
      <c r="I309">
        <v>2.79</v>
      </c>
      <c r="J309" t="str">
        <f t="shared" si="22"/>
        <v>Second class lower</v>
      </c>
      <c r="K309">
        <v>1.4</v>
      </c>
      <c r="L309" t="s">
        <v>22</v>
      </c>
      <c r="M309">
        <v>9</v>
      </c>
      <c r="N309">
        <v>4</v>
      </c>
      <c r="O309">
        <v>2</v>
      </c>
      <c r="P309">
        <v>0</v>
      </c>
      <c r="Q309">
        <f t="shared" si="23"/>
        <v>15</v>
      </c>
      <c r="S309" t="str">
        <f t="shared" si="24"/>
        <v>Mentally Strained</v>
      </c>
    </row>
    <row r="310" spans="1:19" x14ac:dyDescent="0.25">
      <c r="A310">
        <v>14</v>
      </c>
      <c r="B310" t="str">
        <f t="shared" si="20"/>
        <v>Young Teenager</v>
      </c>
      <c r="C310" t="s">
        <v>19</v>
      </c>
      <c r="D310">
        <v>7.8</v>
      </c>
      <c r="E310" t="s">
        <v>17</v>
      </c>
      <c r="F310">
        <v>4.3</v>
      </c>
      <c r="G310">
        <v>2.6</v>
      </c>
      <c r="H310">
        <f t="shared" si="21"/>
        <v>10.4</v>
      </c>
      <c r="I310">
        <v>3.33</v>
      </c>
      <c r="J310" t="str">
        <f t="shared" si="22"/>
        <v>Second class upper</v>
      </c>
      <c r="K310">
        <v>2</v>
      </c>
      <c r="L310" t="s">
        <v>21</v>
      </c>
      <c r="M310">
        <v>3</v>
      </c>
      <c r="N310">
        <v>7</v>
      </c>
      <c r="O310">
        <v>3</v>
      </c>
      <c r="P310">
        <v>0</v>
      </c>
      <c r="Q310">
        <f t="shared" si="23"/>
        <v>13</v>
      </c>
      <c r="S310" t="str">
        <f t="shared" si="24"/>
        <v>Mentally Strained</v>
      </c>
    </row>
    <row r="311" spans="1:19" x14ac:dyDescent="0.25">
      <c r="A311">
        <v>15</v>
      </c>
      <c r="B311" t="str">
        <f t="shared" si="20"/>
        <v>Young Teenager</v>
      </c>
      <c r="C311" t="s">
        <v>19</v>
      </c>
      <c r="D311">
        <v>6.6</v>
      </c>
      <c r="E311" t="s">
        <v>20</v>
      </c>
      <c r="F311">
        <v>9</v>
      </c>
      <c r="G311">
        <v>1.5</v>
      </c>
      <c r="H311">
        <f t="shared" si="21"/>
        <v>8.1</v>
      </c>
      <c r="I311">
        <v>3.04</v>
      </c>
      <c r="J311" t="str">
        <f t="shared" si="22"/>
        <v>Second class upper</v>
      </c>
      <c r="K311">
        <v>1.5</v>
      </c>
      <c r="L311" t="s">
        <v>18</v>
      </c>
      <c r="M311">
        <v>4</v>
      </c>
      <c r="N311">
        <v>2</v>
      </c>
      <c r="O311">
        <v>7</v>
      </c>
      <c r="P311">
        <v>0</v>
      </c>
      <c r="Q311">
        <f t="shared" si="23"/>
        <v>13</v>
      </c>
      <c r="S311" t="str">
        <f t="shared" si="24"/>
        <v>Mentally Strained</v>
      </c>
    </row>
    <row r="312" spans="1:19" x14ac:dyDescent="0.25">
      <c r="A312">
        <v>13</v>
      </c>
      <c r="B312" t="str">
        <f t="shared" si="20"/>
        <v>Young Teenager</v>
      </c>
      <c r="C312" t="s">
        <v>19</v>
      </c>
      <c r="D312">
        <v>7.3</v>
      </c>
      <c r="E312" t="s">
        <v>17</v>
      </c>
      <c r="F312">
        <v>6.4</v>
      </c>
      <c r="G312">
        <v>2.2999999999999998</v>
      </c>
      <c r="H312">
        <f t="shared" si="21"/>
        <v>9.6</v>
      </c>
      <c r="I312">
        <v>2.5299999999999998</v>
      </c>
      <c r="J312" t="str">
        <f t="shared" si="22"/>
        <v>Second class lower</v>
      </c>
      <c r="K312">
        <v>0.7</v>
      </c>
      <c r="L312" t="s">
        <v>18</v>
      </c>
      <c r="M312">
        <v>9</v>
      </c>
      <c r="N312">
        <v>9</v>
      </c>
      <c r="O312">
        <v>4</v>
      </c>
      <c r="P312">
        <v>0</v>
      </c>
      <c r="Q312">
        <f t="shared" si="23"/>
        <v>22</v>
      </c>
      <c r="S312" t="str">
        <f t="shared" si="24"/>
        <v>Mentally Unstable</v>
      </c>
    </row>
    <row r="313" spans="1:19" x14ac:dyDescent="0.25">
      <c r="A313">
        <v>19</v>
      </c>
      <c r="B313" t="str">
        <f t="shared" si="20"/>
        <v>Old Teenager</v>
      </c>
      <c r="C313" t="s">
        <v>16</v>
      </c>
      <c r="D313">
        <v>6.6</v>
      </c>
      <c r="E313" t="s">
        <v>17</v>
      </c>
      <c r="F313">
        <v>4.4000000000000004</v>
      </c>
      <c r="G313">
        <v>1.1000000000000001</v>
      </c>
      <c r="H313">
        <f t="shared" si="21"/>
        <v>7.6999999999999993</v>
      </c>
      <c r="I313">
        <v>2.29</v>
      </c>
      <c r="J313" t="str">
        <f t="shared" si="22"/>
        <v>third class</v>
      </c>
      <c r="K313">
        <v>1</v>
      </c>
      <c r="L313" t="s">
        <v>18</v>
      </c>
      <c r="M313">
        <v>6</v>
      </c>
      <c r="N313">
        <v>8</v>
      </c>
      <c r="O313">
        <v>5</v>
      </c>
      <c r="P313">
        <v>0</v>
      </c>
      <c r="Q313">
        <f t="shared" si="23"/>
        <v>19</v>
      </c>
      <c r="S313" t="str">
        <f t="shared" si="24"/>
        <v>Mentally Strained</v>
      </c>
    </row>
    <row r="314" spans="1:19" x14ac:dyDescent="0.25">
      <c r="A314">
        <v>19</v>
      </c>
      <c r="B314" t="str">
        <f t="shared" si="20"/>
        <v>Old Teenager</v>
      </c>
      <c r="C314" t="s">
        <v>19</v>
      </c>
      <c r="D314">
        <v>5.6</v>
      </c>
      <c r="E314" t="s">
        <v>20</v>
      </c>
      <c r="F314">
        <v>8.1</v>
      </c>
      <c r="G314">
        <v>3</v>
      </c>
      <c r="H314">
        <f t="shared" si="21"/>
        <v>8.6</v>
      </c>
      <c r="I314">
        <v>2.75</v>
      </c>
      <c r="J314" t="str">
        <f t="shared" si="22"/>
        <v>Second class lower</v>
      </c>
      <c r="K314">
        <v>0.7</v>
      </c>
      <c r="L314" t="s">
        <v>22</v>
      </c>
      <c r="M314">
        <v>6</v>
      </c>
      <c r="N314">
        <v>3</v>
      </c>
      <c r="O314">
        <v>4</v>
      </c>
      <c r="P314">
        <v>0</v>
      </c>
      <c r="Q314">
        <f t="shared" si="23"/>
        <v>13</v>
      </c>
      <c r="S314" t="str">
        <f t="shared" si="24"/>
        <v>Mentally Strained</v>
      </c>
    </row>
    <row r="315" spans="1:19" x14ac:dyDescent="0.25">
      <c r="A315">
        <v>13</v>
      </c>
      <c r="B315" t="str">
        <f t="shared" si="20"/>
        <v>Young Teenager</v>
      </c>
      <c r="C315" t="s">
        <v>19</v>
      </c>
      <c r="D315">
        <v>8</v>
      </c>
      <c r="E315" t="s">
        <v>17</v>
      </c>
      <c r="F315">
        <v>5.4</v>
      </c>
      <c r="G315">
        <v>2.8</v>
      </c>
      <c r="H315">
        <f t="shared" si="21"/>
        <v>10.8</v>
      </c>
      <c r="I315">
        <v>3.1</v>
      </c>
      <c r="J315" t="str">
        <f t="shared" si="22"/>
        <v>Second class upper</v>
      </c>
      <c r="K315">
        <v>1.9</v>
      </c>
      <c r="L315" t="s">
        <v>21</v>
      </c>
      <c r="M315">
        <v>6</v>
      </c>
      <c r="N315">
        <v>10</v>
      </c>
      <c r="O315">
        <v>10</v>
      </c>
      <c r="P315">
        <v>0</v>
      </c>
      <c r="Q315">
        <f t="shared" si="23"/>
        <v>26</v>
      </c>
      <c r="S315" t="str">
        <f t="shared" si="24"/>
        <v>Mentally Unstable</v>
      </c>
    </row>
    <row r="316" spans="1:19" x14ac:dyDescent="0.25">
      <c r="A316">
        <v>13</v>
      </c>
      <c r="B316" t="str">
        <f t="shared" si="20"/>
        <v>Young Teenager</v>
      </c>
      <c r="C316" t="s">
        <v>19</v>
      </c>
      <c r="D316">
        <v>1.3</v>
      </c>
      <c r="E316" t="s">
        <v>17</v>
      </c>
      <c r="F316">
        <v>8.9</v>
      </c>
      <c r="G316">
        <v>2.6</v>
      </c>
      <c r="H316">
        <f t="shared" si="21"/>
        <v>3.9000000000000004</v>
      </c>
      <c r="I316">
        <v>3.54</v>
      </c>
      <c r="J316" t="str">
        <f t="shared" si="22"/>
        <v>Second class upper</v>
      </c>
      <c r="K316">
        <v>1.2</v>
      </c>
      <c r="L316" t="s">
        <v>21</v>
      </c>
      <c r="M316">
        <v>8</v>
      </c>
      <c r="N316">
        <v>5</v>
      </c>
      <c r="O316">
        <v>2</v>
      </c>
      <c r="P316">
        <v>0</v>
      </c>
      <c r="Q316">
        <f t="shared" si="23"/>
        <v>15</v>
      </c>
      <c r="S316" t="str">
        <f t="shared" si="24"/>
        <v>Mentally Strained</v>
      </c>
    </row>
    <row r="317" spans="1:19" x14ac:dyDescent="0.25">
      <c r="A317">
        <v>15</v>
      </c>
      <c r="B317" t="str">
        <f t="shared" si="20"/>
        <v>Young Teenager</v>
      </c>
      <c r="C317" t="s">
        <v>19</v>
      </c>
      <c r="D317">
        <v>5.9</v>
      </c>
      <c r="E317" t="s">
        <v>23</v>
      </c>
      <c r="F317">
        <v>6.9</v>
      </c>
      <c r="G317">
        <v>1.4</v>
      </c>
      <c r="H317">
        <f t="shared" si="21"/>
        <v>7.3000000000000007</v>
      </c>
      <c r="I317">
        <v>3.62</v>
      </c>
      <c r="J317" t="str">
        <f t="shared" si="22"/>
        <v>first class</v>
      </c>
      <c r="K317">
        <v>1.5</v>
      </c>
      <c r="L317" t="s">
        <v>22</v>
      </c>
      <c r="M317">
        <v>3</v>
      </c>
      <c r="N317">
        <v>9</v>
      </c>
      <c r="O317">
        <v>1</v>
      </c>
      <c r="P317">
        <v>0</v>
      </c>
      <c r="Q317">
        <f t="shared" si="23"/>
        <v>13</v>
      </c>
      <c r="S317" t="str">
        <f t="shared" si="24"/>
        <v>Mentally Strained</v>
      </c>
    </row>
    <row r="318" spans="1:19" x14ac:dyDescent="0.25">
      <c r="A318">
        <v>14</v>
      </c>
      <c r="B318" t="str">
        <f t="shared" si="20"/>
        <v>Young Teenager</v>
      </c>
      <c r="C318" t="s">
        <v>19</v>
      </c>
      <c r="D318">
        <v>2</v>
      </c>
      <c r="E318" t="s">
        <v>17</v>
      </c>
      <c r="F318">
        <v>8.8000000000000007</v>
      </c>
      <c r="G318">
        <v>0.9</v>
      </c>
      <c r="H318">
        <f t="shared" si="21"/>
        <v>2.9</v>
      </c>
      <c r="I318">
        <v>3.61</v>
      </c>
      <c r="J318" t="str">
        <f t="shared" si="22"/>
        <v>first class</v>
      </c>
      <c r="K318">
        <v>0.7</v>
      </c>
      <c r="L318" t="s">
        <v>21</v>
      </c>
      <c r="M318">
        <v>10</v>
      </c>
      <c r="N318">
        <v>2</v>
      </c>
      <c r="O318">
        <v>3</v>
      </c>
      <c r="P318">
        <v>0</v>
      </c>
      <c r="Q318">
        <f t="shared" si="23"/>
        <v>15</v>
      </c>
      <c r="S318" t="str">
        <f t="shared" si="24"/>
        <v>Mentally Strained</v>
      </c>
    </row>
    <row r="319" spans="1:19" x14ac:dyDescent="0.25">
      <c r="A319">
        <v>19</v>
      </c>
      <c r="B319" t="str">
        <f t="shared" si="20"/>
        <v>Old Teenager</v>
      </c>
      <c r="C319" t="s">
        <v>19</v>
      </c>
      <c r="D319">
        <v>1.4</v>
      </c>
      <c r="E319" t="s">
        <v>17</v>
      </c>
      <c r="F319">
        <v>6.6</v>
      </c>
      <c r="G319">
        <v>1.8</v>
      </c>
      <c r="H319">
        <f t="shared" si="21"/>
        <v>3.2</v>
      </c>
      <c r="I319">
        <v>3.07</v>
      </c>
      <c r="J319" t="str">
        <f t="shared" si="22"/>
        <v>Second class upper</v>
      </c>
      <c r="K319">
        <v>0</v>
      </c>
      <c r="L319" t="s">
        <v>18</v>
      </c>
      <c r="M319">
        <v>5</v>
      </c>
      <c r="N319">
        <v>2</v>
      </c>
      <c r="O319">
        <v>6</v>
      </c>
      <c r="P319">
        <v>0</v>
      </c>
      <c r="Q319">
        <f t="shared" si="23"/>
        <v>13</v>
      </c>
      <c r="S319" t="str">
        <f t="shared" si="24"/>
        <v>Mentally Strained</v>
      </c>
    </row>
    <row r="320" spans="1:19" x14ac:dyDescent="0.25">
      <c r="A320">
        <v>13</v>
      </c>
      <c r="B320" t="str">
        <f t="shared" si="20"/>
        <v>Young Teenager</v>
      </c>
      <c r="C320" t="s">
        <v>19</v>
      </c>
      <c r="D320">
        <v>6.4</v>
      </c>
      <c r="E320" t="s">
        <v>23</v>
      </c>
      <c r="F320">
        <v>6.7</v>
      </c>
      <c r="G320">
        <v>0.8</v>
      </c>
      <c r="H320">
        <f t="shared" si="21"/>
        <v>7.2</v>
      </c>
      <c r="I320">
        <v>3.9</v>
      </c>
      <c r="J320" t="str">
        <f t="shared" si="22"/>
        <v>first class</v>
      </c>
      <c r="K320">
        <v>1.9</v>
      </c>
      <c r="L320" t="s">
        <v>21</v>
      </c>
      <c r="M320">
        <v>3</v>
      </c>
      <c r="N320">
        <v>3</v>
      </c>
      <c r="O320">
        <v>10</v>
      </c>
      <c r="P320">
        <v>0</v>
      </c>
      <c r="Q320">
        <f t="shared" si="23"/>
        <v>16</v>
      </c>
      <c r="S320" t="str">
        <f t="shared" si="24"/>
        <v>Mentally Strained</v>
      </c>
    </row>
    <row r="321" spans="1:19" x14ac:dyDescent="0.25">
      <c r="A321">
        <v>15</v>
      </c>
      <c r="B321" t="str">
        <f t="shared" si="20"/>
        <v>Young Teenager</v>
      </c>
      <c r="C321" t="s">
        <v>16</v>
      </c>
      <c r="D321">
        <v>7.6</v>
      </c>
      <c r="E321" t="s">
        <v>20</v>
      </c>
      <c r="F321">
        <v>7.9</v>
      </c>
      <c r="G321">
        <v>0.8</v>
      </c>
      <c r="H321">
        <f t="shared" si="21"/>
        <v>8.4</v>
      </c>
      <c r="I321">
        <v>3.55</v>
      </c>
      <c r="J321" t="str">
        <f t="shared" si="22"/>
        <v>Second class upper</v>
      </c>
      <c r="K321">
        <v>1.9</v>
      </c>
      <c r="L321" t="s">
        <v>21</v>
      </c>
      <c r="M321">
        <v>10</v>
      </c>
      <c r="N321">
        <v>8</v>
      </c>
      <c r="O321">
        <v>6</v>
      </c>
      <c r="P321">
        <v>0</v>
      </c>
      <c r="Q321">
        <f t="shared" si="23"/>
        <v>24</v>
      </c>
      <c r="S321" t="str">
        <f t="shared" si="24"/>
        <v>Mentally Unstable</v>
      </c>
    </row>
    <row r="322" spans="1:19" x14ac:dyDescent="0.25">
      <c r="A322">
        <v>16</v>
      </c>
      <c r="B322" t="str">
        <f t="shared" si="20"/>
        <v>Old Teenager</v>
      </c>
      <c r="C322" t="s">
        <v>16</v>
      </c>
      <c r="D322">
        <v>7.9</v>
      </c>
      <c r="E322" t="s">
        <v>23</v>
      </c>
      <c r="F322">
        <v>5.5</v>
      </c>
      <c r="G322">
        <v>0.6</v>
      </c>
      <c r="H322">
        <f t="shared" si="21"/>
        <v>8.5</v>
      </c>
      <c r="I322">
        <v>3.65</v>
      </c>
      <c r="J322" t="str">
        <f t="shared" si="22"/>
        <v>first class</v>
      </c>
      <c r="K322">
        <v>1.4</v>
      </c>
      <c r="L322" t="s">
        <v>18</v>
      </c>
      <c r="M322">
        <v>1</v>
      </c>
      <c r="N322">
        <v>4</v>
      </c>
      <c r="O322">
        <v>1</v>
      </c>
      <c r="P322">
        <v>0</v>
      </c>
      <c r="Q322">
        <f t="shared" si="23"/>
        <v>6</v>
      </c>
      <c r="S322" t="str">
        <f t="shared" si="24"/>
        <v>Mentally Sound</v>
      </c>
    </row>
    <row r="323" spans="1:19" x14ac:dyDescent="0.25">
      <c r="A323">
        <v>15</v>
      </c>
      <c r="B323" t="str">
        <f t="shared" ref="B323:B386" si="25">IF(A323&lt;=15,"Young Teenager","Old Teenager")</f>
        <v>Young Teenager</v>
      </c>
      <c r="C323" t="s">
        <v>16</v>
      </c>
      <c r="D323">
        <v>5.0999999999999996</v>
      </c>
      <c r="E323" t="s">
        <v>17</v>
      </c>
      <c r="F323">
        <v>4.0999999999999996</v>
      </c>
      <c r="G323">
        <v>2.8</v>
      </c>
      <c r="H323">
        <f t="shared" ref="H323:H386" si="26">SUM(D323,G323)</f>
        <v>7.8999999999999995</v>
      </c>
      <c r="I323">
        <v>3.79</v>
      </c>
      <c r="J323" t="str">
        <f t="shared" ref="J323:J386" si="27">IF(I323&lt;=2.49,"third class",IF(I323&lt;3,"Second class lower",IF(I323&lt;3.6,"Second class upper","first class")))</f>
        <v>first class</v>
      </c>
      <c r="K323">
        <v>0.8</v>
      </c>
      <c r="L323" t="s">
        <v>22</v>
      </c>
      <c r="M323">
        <v>9</v>
      </c>
      <c r="N323">
        <v>7</v>
      </c>
      <c r="O323">
        <v>3</v>
      </c>
      <c r="P323">
        <v>1</v>
      </c>
      <c r="Q323">
        <f t="shared" ref="Q323:Q386" si="28">SUM(M323:P323)</f>
        <v>20</v>
      </c>
      <c r="S323" t="str">
        <f t="shared" ref="S323:S386" si="29">IF(Q323&lt;10,"Mentally Sound",IF(Q323&gt;=20,"Mentally Unstable","Mentally Strained"))</f>
        <v>Mentally Unstable</v>
      </c>
    </row>
    <row r="324" spans="1:19" x14ac:dyDescent="0.25">
      <c r="A324">
        <v>18</v>
      </c>
      <c r="B324" t="str">
        <f t="shared" si="25"/>
        <v>Old Teenager</v>
      </c>
      <c r="C324" t="s">
        <v>16</v>
      </c>
      <c r="D324">
        <v>6.4</v>
      </c>
      <c r="E324" t="s">
        <v>20</v>
      </c>
      <c r="F324">
        <v>7.4</v>
      </c>
      <c r="G324">
        <v>1.5</v>
      </c>
      <c r="H324">
        <f t="shared" si="26"/>
        <v>7.9</v>
      </c>
      <c r="I324">
        <v>2.92</v>
      </c>
      <c r="J324" t="str">
        <f t="shared" si="27"/>
        <v>Second class lower</v>
      </c>
      <c r="K324">
        <v>0.6</v>
      </c>
      <c r="L324" t="s">
        <v>18</v>
      </c>
      <c r="M324">
        <v>9</v>
      </c>
      <c r="N324">
        <v>2</v>
      </c>
      <c r="O324">
        <v>5</v>
      </c>
      <c r="P324">
        <v>0</v>
      </c>
      <c r="Q324">
        <f t="shared" si="28"/>
        <v>16</v>
      </c>
      <c r="S324" t="str">
        <f t="shared" si="29"/>
        <v>Mentally Strained</v>
      </c>
    </row>
    <row r="325" spans="1:19" x14ac:dyDescent="0.25">
      <c r="A325">
        <v>13</v>
      </c>
      <c r="B325" t="str">
        <f t="shared" si="25"/>
        <v>Young Teenager</v>
      </c>
      <c r="C325" t="s">
        <v>19</v>
      </c>
      <c r="D325">
        <v>7.2</v>
      </c>
      <c r="E325" t="s">
        <v>23</v>
      </c>
      <c r="F325">
        <v>6.7</v>
      </c>
      <c r="G325">
        <v>0.9</v>
      </c>
      <c r="H325">
        <f t="shared" si="26"/>
        <v>8.1</v>
      </c>
      <c r="I325">
        <v>2.36</v>
      </c>
      <c r="J325" t="str">
        <f t="shared" si="27"/>
        <v>third class</v>
      </c>
      <c r="K325">
        <v>0.6</v>
      </c>
      <c r="L325" t="s">
        <v>18</v>
      </c>
      <c r="M325">
        <v>8</v>
      </c>
      <c r="N325">
        <v>8</v>
      </c>
      <c r="O325">
        <v>1</v>
      </c>
      <c r="P325">
        <v>0</v>
      </c>
      <c r="Q325">
        <f t="shared" si="28"/>
        <v>17</v>
      </c>
      <c r="S325" t="str">
        <f t="shared" si="29"/>
        <v>Mentally Strained</v>
      </c>
    </row>
    <row r="326" spans="1:19" x14ac:dyDescent="0.25">
      <c r="A326">
        <v>18</v>
      </c>
      <c r="B326" t="str">
        <f t="shared" si="25"/>
        <v>Old Teenager</v>
      </c>
      <c r="C326" t="s">
        <v>19</v>
      </c>
      <c r="D326">
        <v>2.9</v>
      </c>
      <c r="E326" t="s">
        <v>23</v>
      </c>
      <c r="F326">
        <v>4.5999999999999996</v>
      </c>
      <c r="G326">
        <v>2.2999999999999998</v>
      </c>
      <c r="H326">
        <f t="shared" si="26"/>
        <v>5.1999999999999993</v>
      </c>
      <c r="I326">
        <v>3.03</v>
      </c>
      <c r="J326" t="str">
        <f t="shared" si="27"/>
        <v>Second class upper</v>
      </c>
      <c r="K326">
        <v>0.3</v>
      </c>
      <c r="L326" t="s">
        <v>18</v>
      </c>
      <c r="M326">
        <v>6</v>
      </c>
      <c r="N326">
        <v>1</v>
      </c>
      <c r="O326">
        <v>9</v>
      </c>
      <c r="P326">
        <v>0</v>
      </c>
      <c r="Q326">
        <f t="shared" si="28"/>
        <v>16</v>
      </c>
      <c r="S326" t="str">
        <f t="shared" si="29"/>
        <v>Mentally Strained</v>
      </c>
    </row>
    <row r="327" spans="1:19" x14ac:dyDescent="0.25">
      <c r="A327">
        <v>19</v>
      </c>
      <c r="B327" t="str">
        <f t="shared" si="25"/>
        <v>Old Teenager</v>
      </c>
      <c r="C327" t="s">
        <v>16</v>
      </c>
      <c r="D327">
        <v>1.5</v>
      </c>
      <c r="E327" t="s">
        <v>17</v>
      </c>
      <c r="F327">
        <v>7.3</v>
      </c>
      <c r="G327">
        <v>2.7</v>
      </c>
      <c r="H327">
        <f t="shared" si="26"/>
        <v>4.2</v>
      </c>
      <c r="I327">
        <v>2.61</v>
      </c>
      <c r="J327" t="str">
        <f t="shared" si="27"/>
        <v>Second class lower</v>
      </c>
      <c r="K327">
        <v>0.9</v>
      </c>
      <c r="L327" t="s">
        <v>18</v>
      </c>
      <c r="M327">
        <v>5</v>
      </c>
      <c r="N327">
        <v>7</v>
      </c>
      <c r="O327">
        <v>10</v>
      </c>
      <c r="P327">
        <v>0</v>
      </c>
      <c r="Q327">
        <f t="shared" si="28"/>
        <v>22</v>
      </c>
      <c r="S327" t="str">
        <f t="shared" si="29"/>
        <v>Mentally Unstable</v>
      </c>
    </row>
    <row r="328" spans="1:19" x14ac:dyDescent="0.25">
      <c r="A328">
        <v>14</v>
      </c>
      <c r="B328" t="str">
        <f t="shared" si="25"/>
        <v>Young Teenager</v>
      </c>
      <c r="C328" t="s">
        <v>16</v>
      </c>
      <c r="D328">
        <v>5.4</v>
      </c>
      <c r="E328" t="s">
        <v>23</v>
      </c>
      <c r="F328">
        <v>8.1</v>
      </c>
      <c r="G328">
        <v>1.8</v>
      </c>
      <c r="H328">
        <f t="shared" si="26"/>
        <v>7.2</v>
      </c>
      <c r="I328">
        <v>2.5299999999999998</v>
      </c>
      <c r="J328" t="str">
        <f t="shared" si="27"/>
        <v>Second class lower</v>
      </c>
      <c r="K328">
        <v>0.9</v>
      </c>
      <c r="L328" t="s">
        <v>22</v>
      </c>
      <c r="M328">
        <v>5</v>
      </c>
      <c r="N328">
        <v>8</v>
      </c>
      <c r="O328">
        <v>8</v>
      </c>
      <c r="P328">
        <v>0</v>
      </c>
      <c r="Q328">
        <f t="shared" si="28"/>
        <v>21</v>
      </c>
      <c r="S328" t="str">
        <f t="shared" si="29"/>
        <v>Mentally Unstable</v>
      </c>
    </row>
    <row r="329" spans="1:19" x14ac:dyDescent="0.25">
      <c r="A329">
        <v>13</v>
      </c>
      <c r="B329" t="str">
        <f t="shared" si="25"/>
        <v>Young Teenager</v>
      </c>
      <c r="C329" t="s">
        <v>16</v>
      </c>
      <c r="D329">
        <v>7.2</v>
      </c>
      <c r="E329" t="s">
        <v>20</v>
      </c>
      <c r="F329">
        <v>4.0999999999999996</v>
      </c>
      <c r="G329">
        <v>1.3</v>
      </c>
      <c r="H329">
        <f t="shared" si="26"/>
        <v>8.5</v>
      </c>
      <c r="I329">
        <v>2.4900000000000002</v>
      </c>
      <c r="J329" t="str">
        <f t="shared" si="27"/>
        <v>third class</v>
      </c>
      <c r="K329">
        <v>1.8</v>
      </c>
      <c r="L329" t="s">
        <v>22</v>
      </c>
      <c r="M329">
        <v>5</v>
      </c>
      <c r="N329">
        <v>5</v>
      </c>
      <c r="O329">
        <v>4</v>
      </c>
      <c r="P329">
        <v>0</v>
      </c>
      <c r="Q329">
        <f t="shared" si="28"/>
        <v>14</v>
      </c>
      <c r="S329" t="str">
        <f t="shared" si="29"/>
        <v>Mentally Strained</v>
      </c>
    </row>
    <row r="330" spans="1:19" x14ac:dyDescent="0.25">
      <c r="A330">
        <v>15</v>
      </c>
      <c r="B330" t="str">
        <f t="shared" si="25"/>
        <v>Young Teenager</v>
      </c>
      <c r="C330" t="s">
        <v>19</v>
      </c>
      <c r="D330">
        <v>7</v>
      </c>
      <c r="E330" t="s">
        <v>17</v>
      </c>
      <c r="F330">
        <v>5.9</v>
      </c>
      <c r="G330">
        <v>1.3</v>
      </c>
      <c r="H330">
        <f t="shared" si="26"/>
        <v>8.3000000000000007</v>
      </c>
      <c r="I330">
        <v>2.91</v>
      </c>
      <c r="J330" t="str">
        <f t="shared" si="27"/>
        <v>Second class lower</v>
      </c>
      <c r="K330">
        <v>1.2</v>
      </c>
      <c r="L330" t="s">
        <v>18</v>
      </c>
      <c r="M330">
        <v>10</v>
      </c>
      <c r="N330">
        <v>2</v>
      </c>
      <c r="O330">
        <v>6</v>
      </c>
      <c r="P330">
        <v>0</v>
      </c>
      <c r="Q330">
        <f t="shared" si="28"/>
        <v>18</v>
      </c>
      <c r="S330" t="str">
        <f t="shared" si="29"/>
        <v>Mentally Strained</v>
      </c>
    </row>
    <row r="331" spans="1:19" x14ac:dyDescent="0.25">
      <c r="A331">
        <v>17</v>
      </c>
      <c r="B331" t="str">
        <f t="shared" si="25"/>
        <v>Old Teenager</v>
      </c>
      <c r="C331" t="s">
        <v>19</v>
      </c>
      <c r="D331">
        <v>7.5</v>
      </c>
      <c r="E331" t="s">
        <v>20</v>
      </c>
      <c r="F331">
        <v>6.7</v>
      </c>
      <c r="G331">
        <v>1.1000000000000001</v>
      </c>
      <c r="H331">
        <f t="shared" si="26"/>
        <v>8.6</v>
      </c>
      <c r="I331">
        <v>3.77</v>
      </c>
      <c r="J331" t="str">
        <f t="shared" si="27"/>
        <v>first class</v>
      </c>
      <c r="K331">
        <v>0.6</v>
      </c>
      <c r="L331" t="s">
        <v>21</v>
      </c>
      <c r="M331">
        <v>3</v>
      </c>
      <c r="N331">
        <v>8</v>
      </c>
      <c r="O331">
        <v>6</v>
      </c>
      <c r="P331">
        <v>0</v>
      </c>
      <c r="Q331">
        <f t="shared" si="28"/>
        <v>17</v>
      </c>
      <c r="S331" t="str">
        <f t="shared" si="29"/>
        <v>Mentally Strained</v>
      </c>
    </row>
    <row r="332" spans="1:19" x14ac:dyDescent="0.25">
      <c r="A332">
        <v>14</v>
      </c>
      <c r="B332" t="str">
        <f t="shared" si="25"/>
        <v>Young Teenager</v>
      </c>
      <c r="C332" t="s">
        <v>16</v>
      </c>
      <c r="D332">
        <v>1.4</v>
      </c>
      <c r="E332" t="s">
        <v>23</v>
      </c>
      <c r="F332">
        <v>7</v>
      </c>
      <c r="G332">
        <v>1.8</v>
      </c>
      <c r="H332">
        <f t="shared" si="26"/>
        <v>3.2</v>
      </c>
      <c r="I332">
        <v>2.69</v>
      </c>
      <c r="J332" t="str">
        <f t="shared" si="27"/>
        <v>Second class lower</v>
      </c>
      <c r="K332">
        <v>0.9</v>
      </c>
      <c r="L332" t="s">
        <v>18</v>
      </c>
      <c r="M332">
        <v>10</v>
      </c>
      <c r="N332">
        <v>4</v>
      </c>
      <c r="O332">
        <v>2</v>
      </c>
      <c r="P332">
        <v>0</v>
      </c>
      <c r="Q332">
        <f t="shared" si="28"/>
        <v>16</v>
      </c>
      <c r="S332" t="str">
        <f t="shared" si="29"/>
        <v>Mentally Strained</v>
      </c>
    </row>
    <row r="333" spans="1:19" x14ac:dyDescent="0.25">
      <c r="A333">
        <v>16</v>
      </c>
      <c r="B333" t="str">
        <f t="shared" si="25"/>
        <v>Old Teenager</v>
      </c>
      <c r="C333" t="s">
        <v>19</v>
      </c>
      <c r="D333">
        <v>6.1</v>
      </c>
      <c r="E333" t="s">
        <v>17</v>
      </c>
      <c r="F333">
        <v>8.1</v>
      </c>
      <c r="G333">
        <v>1.4</v>
      </c>
      <c r="H333">
        <f t="shared" si="26"/>
        <v>7.5</v>
      </c>
      <c r="I333">
        <v>3.27</v>
      </c>
      <c r="J333" t="str">
        <f t="shared" si="27"/>
        <v>Second class upper</v>
      </c>
      <c r="K333">
        <v>1.6</v>
      </c>
      <c r="L333" t="s">
        <v>18</v>
      </c>
      <c r="M333">
        <v>10</v>
      </c>
      <c r="N333">
        <v>1</v>
      </c>
      <c r="O333">
        <v>4</v>
      </c>
      <c r="P333">
        <v>0</v>
      </c>
      <c r="Q333">
        <f t="shared" si="28"/>
        <v>15</v>
      </c>
      <c r="S333" t="str">
        <f t="shared" si="29"/>
        <v>Mentally Strained</v>
      </c>
    </row>
    <row r="334" spans="1:19" x14ac:dyDescent="0.25">
      <c r="A334">
        <v>16</v>
      </c>
      <c r="B334" t="str">
        <f t="shared" si="25"/>
        <v>Old Teenager</v>
      </c>
      <c r="C334" t="s">
        <v>19</v>
      </c>
      <c r="D334">
        <v>1.4</v>
      </c>
      <c r="E334" t="s">
        <v>23</v>
      </c>
      <c r="F334">
        <v>5.2</v>
      </c>
      <c r="G334">
        <v>1.7</v>
      </c>
      <c r="H334">
        <f t="shared" si="26"/>
        <v>3.0999999999999996</v>
      </c>
      <c r="I334">
        <v>3.82</v>
      </c>
      <c r="J334" t="str">
        <f t="shared" si="27"/>
        <v>first class</v>
      </c>
      <c r="K334">
        <v>0.7</v>
      </c>
      <c r="L334" t="s">
        <v>18</v>
      </c>
      <c r="M334">
        <v>10</v>
      </c>
      <c r="N334">
        <v>4</v>
      </c>
      <c r="O334">
        <v>3</v>
      </c>
      <c r="P334">
        <v>0</v>
      </c>
      <c r="Q334">
        <f t="shared" si="28"/>
        <v>17</v>
      </c>
      <c r="S334" t="str">
        <f t="shared" si="29"/>
        <v>Mentally Strained</v>
      </c>
    </row>
    <row r="335" spans="1:19" x14ac:dyDescent="0.25">
      <c r="A335">
        <v>13</v>
      </c>
      <c r="B335" t="str">
        <f t="shared" si="25"/>
        <v>Young Teenager</v>
      </c>
      <c r="C335" t="s">
        <v>16</v>
      </c>
      <c r="D335">
        <v>5.4</v>
      </c>
      <c r="E335" t="s">
        <v>17</v>
      </c>
      <c r="F335">
        <v>4.0999999999999996</v>
      </c>
      <c r="G335">
        <v>2</v>
      </c>
      <c r="H335">
        <f t="shared" si="26"/>
        <v>7.4</v>
      </c>
      <c r="I335">
        <v>3.82</v>
      </c>
      <c r="J335" t="str">
        <f t="shared" si="27"/>
        <v>first class</v>
      </c>
      <c r="K335">
        <v>1.9</v>
      </c>
      <c r="L335" t="s">
        <v>22</v>
      </c>
      <c r="M335">
        <v>6</v>
      </c>
      <c r="N335">
        <v>10</v>
      </c>
      <c r="O335">
        <v>8</v>
      </c>
      <c r="P335">
        <v>0</v>
      </c>
      <c r="Q335">
        <f t="shared" si="28"/>
        <v>24</v>
      </c>
      <c r="S335" t="str">
        <f t="shared" si="29"/>
        <v>Mentally Unstable</v>
      </c>
    </row>
    <row r="336" spans="1:19" x14ac:dyDescent="0.25">
      <c r="A336">
        <v>13</v>
      </c>
      <c r="B336" t="str">
        <f t="shared" si="25"/>
        <v>Young Teenager</v>
      </c>
      <c r="C336" t="s">
        <v>19</v>
      </c>
      <c r="D336">
        <v>2.1</v>
      </c>
      <c r="E336" t="s">
        <v>17</v>
      </c>
      <c r="F336">
        <v>8.1999999999999993</v>
      </c>
      <c r="G336">
        <v>0.9</v>
      </c>
      <c r="H336">
        <f t="shared" si="26"/>
        <v>3</v>
      </c>
      <c r="I336">
        <v>2.48</v>
      </c>
      <c r="J336" t="str">
        <f t="shared" si="27"/>
        <v>third class</v>
      </c>
      <c r="K336">
        <v>0.5</v>
      </c>
      <c r="L336" t="s">
        <v>21</v>
      </c>
      <c r="M336">
        <v>2</v>
      </c>
      <c r="N336">
        <v>7</v>
      </c>
      <c r="O336">
        <v>6</v>
      </c>
      <c r="P336">
        <v>0</v>
      </c>
      <c r="Q336">
        <f t="shared" si="28"/>
        <v>15</v>
      </c>
      <c r="S336" t="str">
        <f t="shared" si="29"/>
        <v>Mentally Strained</v>
      </c>
    </row>
    <row r="337" spans="1:19" x14ac:dyDescent="0.25">
      <c r="A337">
        <v>14</v>
      </c>
      <c r="B337" t="str">
        <f t="shared" si="25"/>
        <v>Young Teenager</v>
      </c>
      <c r="C337" t="s">
        <v>16</v>
      </c>
      <c r="D337">
        <v>5</v>
      </c>
      <c r="E337" t="s">
        <v>23</v>
      </c>
      <c r="F337">
        <v>4.3</v>
      </c>
      <c r="G337">
        <v>1.1000000000000001</v>
      </c>
      <c r="H337">
        <f t="shared" si="26"/>
        <v>6.1</v>
      </c>
      <c r="I337">
        <v>3.8</v>
      </c>
      <c r="J337" t="str">
        <f t="shared" si="27"/>
        <v>first class</v>
      </c>
      <c r="K337">
        <v>0.4</v>
      </c>
      <c r="L337" t="s">
        <v>22</v>
      </c>
      <c r="M337">
        <v>9</v>
      </c>
      <c r="N337">
        <v>4</v>
      </c>
      <c r="O337">
        <v>10</v>
      </c>
      <c r="P337">
        <v>0</v>
      </c>
      <c r="Q337">
        <f t="shared" si="28"/>
        <v>23</v>
      </c>
      <c r="S337" t="str">
        <f t="shared" si="29"/>
        <v>Mentally Unstable</v>
      </c>
    </row>
    <row r="338" spans="1:19" x14ac:dyDescent="0.25">
      <c r="A338">
        <v>13</v>
      </c>
      <c r="B338" t="str">
        <f t="shared" si="25"/>
        <v>Young Teenager</v>
      </c>
      <c r="C338" t="s">
        <v>19</v>
      </c>
      <c r="D338">
        <v>4.4000000000000004</v>
      </c>
      <c r="E338" t="s">
        <v>17</v>
      </c>
      <c r="F338">
        <v>4.3</v>
      </c>
      <c r="G338">
        <v>1.9</v>
      </c>
      <c r="H338">
        <f t="shared" si="26"/>
        <v>6.3000000000000007</v>
      </c>
      <c r="I338">
        <v>3.51</v>
      </c>
      <c r="J338" t="str">
        <f t="shared" si="27"/>
        <v>Second class upper</v>
      </c>
      <c r="K338">
        <v>0.9</v>
      </c>
      <c r="L338" t="s">
        <v>22</v>
      </c>
      <c r="M338">
        <v>8</v>
      </c>
      <c r="N338">
        <v>4</v>
      </c>
      <c r="O338">
        <v>3</v>
      </c>
      <c r="P338">
        <v>0</v>
      </c>
      <c r="Q338">
        <f t="shared" si="28"/>
        <v>15</v>
      </c>
      <c r="S338" t="str">
        <f t="shared" si="29"/>
        <v>Mentally Strained</v>
      </c>
    </row>
    <row r="339" spans="1:19" x14ac:dyDescent="0.25">
      <c r="A339">
        <v>13</v>
      </c>
      <c r="B339" t="str">
        <f t="shared" si="25"/>
        <v>Young Teenager</v>
      </c>
      <c r="C339" t="s">
        <v>16</v>
      </c>
      <c r="D339">
        <v>3.4</v>
      </c>
      <c r="E339" t="s">
        <v>23</v>
      </c>
      <c r="F339">
        <v>8.6</v>
      </c>
      <c r="G339">
        <v>0.8</v>
      </c>
      <c r="H339">
        <f t="shared" si="26"/>
        <v>4.2</v>
      </c>
      <c r="I339">
        <v>3.08</v>
      </c>
      <c r="J339" t="str">
        <f t="shared" si="27"/>
        <v>Second class upper</v>
      </c>
      <c r="K339">
        <v>0.4</v>
      </c>
      <c r="L339" t="s">
        <v>18</v>
      </c>
      <c r="M339">
        <v>7</v>
      </c>
      <c r="N339">
        <v>10</v>
      </c>
      <c r="O339">
        <v>6</v>
      </c>
      <c r="P339">
        <v>0</v>
      </c>
      <c r="Q339">
        <f t="shared" si="28"/>
        <v>23</v>
      </c>
      <c r="S339" t="str">
        <f t="shared" si="29"/>
        <v>Mentally Unstable</v>
      </c>
    </row>
    <row r="340" spans="1:19" x14ac:dyDescent="0.25">
      <c r="A340">
        <v>18</v>
      </c>
      <c r="B340" t="str">
        <f t="shared" si="25"/>
        <v>Old Teenager</v>
      </c>
      <c r="C340" t="s">
        <v>16</v>
      </c>
      <c r="D340">
        <v>1.2</v>
      </c>
      <c r="E340" t="s">
        <v>17</v>
      </c>
      <c r="F340">
        <v>6.4</v>
      </c>
      <c r="G340">
        <v>1.3</v>
      </c>
      <c r="H340">
        <f t="shared" si="26"/>
        <v>2.5</v>
      </c>
      <c r="I340">
        <v>3.03</v>
      </c>
      <c r="J340" t="str">
        <f t="shared" si="27"/>
        <v>Second class upper</v>
      </c>
      <c r="K340">
        <v>1</v>
      </c>
      <c r="L340" t="s">
        <v>18</v>
      </c>
      <c r="M340">
        <v>5</v>
      </c>
      <c r="N340">
        <v>9</v>
      </c>
      <c r="O340">
        <v>10</v>
      </c>
      <c r="P340">
        <v>0</v>
      </c>
      <c r="Q340">
        <f t="shared" si="28"/>
        <v>24</v>
      </c>
      <c r="S340" t="str">
        <f t="shared" si="29"/>
        <v>Mentally Unstable</v>
      </c>
    </row>
    <row r="341" spans="1:19" x14ac:dyDescent="0.25">
      <c r="A341">
        <v>14</v>
      </c>
      <c r="B341" t="str">
        <f t="shared" si="25"/>
        <v>Young Teenager</v>
      </c>
      <c r="C341" t="s">
        <v>16</v>
      </c>
      <c r="D341">
        <v>5.5</v>
      </c>
      <c r="E341" t="s">
        <v>20</v>
      </c>
      <c r="F341">
        <v>7.3</v>
      </c>
      <c r="G341">
        <v>1.4</v>
      </c>
      <c r="H341">
        <f t="shared" si="26"/>
        <v>6.9</v>
      </c>
      <c r="I341">
        <v>2.61</v>
      </c>
      <c r="J341" t="str">
        <f t="shared" si="27"/>
        <v>Second class lower</v>
      </c>
      <c r="K341">
        <v>1.2</v>
      </c>
      <c r="L341" t="s">
        <v>21</v>
      </c>
      <c r="M341">
        <v>5</v>
      </c>
      <c r="N341">
        <v>7</v>
      </c>
      <c r="O341">
        <v>1</v>
      </c>
      <c r="P341">
        <v>0</v>
      </c>
      <c r="Q341">
        <f t="shared" si="28"/>
        <v>13</v>
      </c>
      <c r="S341" t="str">
        <f t="shared" si="29"/>
        <v>Mentally Strained</v>
      </c>
    </row>
    <row r="342" spans="1:19" x14ac:dyDescent="0.25">
      <c r="A342">
        <v>15</v>
      </c>
      <c r="B342" t="str">
        <f t="shared" si="25"/>
        <v>Young Teenager</v>
      </c>
      <c r="C342" t="s">
        <v>16</v>
      </c>
      <c r="D342">
        <v>2.2999999999999998</v>
      </c>
      <c r="E342" t="s">
        <v>23</v>
      </c>
      <c r="F342">
        <v>7.8</v>
      </c>
      <c r="G342">
        <v>3</v>
      </c>
      <c r="H342">
        <f t="shared" si="26"/>
        <v>5.3</v>
      </c>
      <c r="I342">
        <v>2.2999999999999998</v>
      </c>
      <c r="J342" t="str">
        <f t="shared" si="27"/>
        <v>third class</v>
      </c>
      <c r="K342">
        <v>1.4</v>
      </c>
      <c r="L342" t="s">
        <v>22</v>
      </c>
      <c r="M342">
        <v>4</v>
      </c>
      <c r="N342">
        <v>9</v>
      </c>
      <c r="O342">
        <v>10</v>
      </c>
      <c r="P342">
        <v>0</v>
      </c>
      <c r="Q342">
        <f t="shared" si="28"/>
        <v>23</v>
      </c>
      <c r="S342" t="str">
        <f t="shared" si="29"/>
        <v>Mentally Unstable</v>
      </c>
    </row>
    <row r="343" spans="1:19" x14ac:dyDescent="0.25">
      <c r="A343">
        <v>13</v>
      </c>
      <c r="B343" t="str">
        <f t="shared" si="25"/>
        <v>Young Teenager</v>
      </c>
      <c r="C343" t="s">
        <v>19</v>
      </c>
      <c r="D343">
        <v>1.4</v>
      </c>
      <c r="E343" t="s">
        <v>23</v>
      </c>
      <c r="F343">
        <v>7.4</v>
      </c>
      <c r="G343">
        <v>0.5</v>
      </c>
      <c r="H343">
        <f t="shared" si="26"/>
        <v>1.9</v>
      </c>
      <c r="I343">
        <v>2.3199999999999998</v>
      </c>
      <c r="J343" t="str">
        <f t="shared" si="27"/>
        <v>third class</v>
      </c>
      <c r="K343">
        <v>1.3</v>
      </c>
      <c r="L343" t="s">
        <v>18</v>
      </c>
      <c r="M343">
        <v>3</v>
      </c>
      <c r="N343">
        <v>2</v>
      </c>
      <c r="O343">
        <v>6</v>
      </c>
      <c r="P343">
        <v>0</v>
      </c>
      <c r="Q343">
        <f t="shared" si="28"/>
        <v>11</v>
      </c>
      <c r="S343" t="str">
        <f t="shared" si="29"/>
        <v>Mentally Strained</v>
      </c>
    </row>
    <row r="344" spans="1:19" x14ac:dyDescent="0.25">
      <c r="A344">
        <v>13</v>
      </c>
      <c r="B344" t="str">
        <f t="shared" si="25"/>
        <v>Young Teenager</v>
      </c>
      <c r="C344" t="s">
        <v>19</v>
      </c>
      <c r="D344">
        <v>3</v>
      </c>
      <c r="E344" t="s">
        <v>17</v>
      </c>
      <c r="F344">
        <v>7</v>
      </c>
      <c r="G344">
        <v>0.9</v>
      </c>
      <c r="H344">
        <f t="shared" si="26"/>
        <v>3.9</v>
      </c>
      <c r="I344">
        <v>2.73</v>
      </c>
      <c r="J344" t="str">
        <f t="shared" si="27"/>
        <v>Second class lower</v>
      </c>
      <c r="K344">
        <v>1.7</v>
      </c>
      <c r="L344" t="s">
        <v>21</v>
      </c>
      <c r="M344">
        <v>5</v>
      </c>
      <c r="N344">
        <v>6</v>
      </c>
      <c r="O344">
        <v>9</v>
      </c>
      <c r="P344">
        <v>0</v>
      </c>
      <c r="Q344">
        <f t="shared" si="28"/>
        <v>20</v>
      </c>
      <c r="S344" t="str">
        <f t="shared" si="29"/>
        <v>Mentally Unstable</v>
      </c>
    </row>
    <row r="345" spans="1:19" x14ac:dyDescent="0.25">
      <c r="A345">
        <v>14</v>
      </c>
      <c r="B345" t="str">
        <f t="shared" si="25"/>
        <v>Young Teenager</v>
      </c>
      <c r="C345" t="s">
        <v>16</v>
      </c>
      <c r="D345">
        <v>2.8</v>
      </c>
      <c r="E345" t="s">
        <v>17</v>
      </c>
      <c r="F345">
        <v>5</v>
      </c>
      <c r="G345">
        <v>2.5</v>
      </c>
      <c r="H345">
        <f t="shared" si="26"/>
        <v>5.3</v>
      </c>
      <c r="I345">
        <v>3.92</v>
      </c>
      <c r="J345" t="str">
        <f t="shared" si="27"/>
        <v>first class</v>
      </c>
      <c r="K345">
        <v>1.8</v>
      </c>
      <c r="L345" t="s">
        <v>21</v>
      </c>
      <c r="M345">
        <v>1</v>
      </c>
      <c r="N345">
        <v>3</v>
      </c>
      <c r="O345">
        <v>4</v>
      </c>
      <c r="P345">
        <v>0</v>
      </c>
      <c r="Q345">
        <f t="shared" si="28"/>
        <v>8</v>
      </c>
      <c r="S345" t="str">
        <f t="shared" si="29"/>
        <v>Mentally Sound</v>
      </c>
    </row>
    <row r="346" spans="1:19" x14ac:dyDescent="0.25">
      <c r="A346">
        <v>14</v>
      </c>
      <c r="B346" t="str">
        <f t="shared" si="25"/>
        <v>Young Teenager</v>
      </c>
      <c r="C346" t="s">
        <v>16</v>
      </c>
      <c r="D346">
        <v>7</v>
      </c>
      <c r="E346" t="s">
        <v>20</v>
      </c>
      <c r="F346">
        <v>6.9</v>
      </c>
      <c r="G346">
        <v>1</v>
      </c>
      <c r="H346">
        <f t="shared" si="26"/>
        <v>8</v>
      </c>
      <c r="I346">
        <v>3.93</v>
      </c>
      <c r="J346" t="str">
        <f t="shared" si="27"/>
        <v>first class</v>
      </c>
      <c r="K346">
        <v>1.1000000000000001</v>
      </c>
      <c r="L346" t="s">
        <v>21</v>
      </c>
      <c r="M346">
        <v>9</v>
      </c>
      <c r="N346">
        <v>3</v>
      </c>
      <c r="O346">
        <v>7</v>
      </c>
      <c r="P346">
        <v>0</v>
      </c>
      <c r="Q346">
        <f t="shared" si="28"/>
        <v>19</v>
      </c>
      <c r="S346" t="str">
        <f t="shared" si="29"/>
        <v>Mentally Strained</v>
      </c>
    </row>
    <row r="347" spans="1:19" x14ac:dyDescent="0.25">
      <c r="A347">
        <v>13</v>
      </c>
      <c r="B347" t="str">
        <f t="shared" si="25"/>
        <v>Young Teenager</v>
      </c>
      <c r="C347" t="s">
        <v>19</v>
      </c>
      <c r="D347">
        <v>1.6</v>
      </c>
      <c r="E347" t="s">
        <v>23</v>
      </c>
      <c r="F347">
        <v>8.4</v>
      </c>
      <c r="G347">
        <v>1.4</v>
      </c>
      <c r="H347">
        <f t="shared" si="26"/>
        <v>3</v>
      </c>
      <c r="I347">
        <v>3.47</v>
      </c>
      <c r="J347" t="str">
        <f t="shared" si="27"/>
        <v>Second class upper</v>
      </c>
      <c r="K347">
        <v>0.1</v>
      </c>
      <c r="L347" t="s">
        <v>22</v>
      </c>
      <c r="M347">
        <v>1</v>
      </c>
      <c r="N347">
        <v>6</v>
      </c>
      <c r="O347">
        <v>6</v>
      </c>
      <c r="P347">
        <v>0</v>
      </c>
      <c r="Q347">
        <f t="shared" si="28"/>
        <v>13</v>
      </c>
      <c r="S347" t="str">
        <f t="shared" si="29"/>
        <v>Mentally Strained</v>
      </c>
    </row>
    <row r="348" spans="1:19" x14ac:dyDescent="0.25">
      <c r="A348">
        <v>15</v>
      </c>
      <c r="B348" t="str">
        <f t="shared" si="25"/>
        <v>Young Teenager</v>
      </c>
      <c r="C348" t="s">
        <v>19</v>
      </c>
      <c r="D348">
        <v>4.2</v>
      </c>
      <c r="E348" t="s">
        <v>17</v>
      </c>
      <c r="F348">
        <v>8.4</v>
      </c>
      <c r="G348">
        <v>1.2</v>
      </c>
      <c r="H348">
        <f t="shared" si="26"/>
        <v>5.4</v>
      </c>
      <c r="I348">
        <v>2.61</v>
      </c>
      <c r="J348" t="str">
        <f t="shared" si="27"/>
        <v>Second class lower</v>
      </c>
      <c r="K348">
        <v>0</v>
      </c>
      <c r="L348" t="s">
        <v>22</v>
      </c>
      <c r="M348">
        <v>3</v>
      </c>
      <c r="N348">
        <v>10</v>
      </c>
      <c r="O348">
        <v>2</v>
      </c>
      <c r="P348">
        <v>0</v>
      </c>
      <c r="Q348">
        <f t="shared" si="28"/>
        <v>15</v>
      </c>
      <c r="S348" t="str">
        <f t="shared" si="29"/>
        <v>Mentally Strained</v>
      </c>
    </row>
    <row r="349" spans="1:19" x14ac:dyDescent="0.25">
      <c r="A349">
        <v>17</v>
      </c>
      <c r="B349" t="str">
        <f t="shared" si="25"/>
        <v>Old Teenager</v>
      </c>
      <c r="C349" t="s">
        <v>16</v>
      </c>
      <c r="D349">
        <v>4.9000000000000004</v>
      </c>
      <c r="E349" t="s">
        <v>17</v>
      </c>
      <c r="F349">
        <v>8.6</v>
      </c>
      <c r="G349">
        <v>3</v>
      </c>
      <c r="H349">
        <f t="shared" si="26"/>
        <v>7.9</v>
      </c>
      <c r="I349">
        <v>3.62</v>
      </c>
      <c r="J349" t="str">
        <f t="shared" si="27"/>
        <v>first class</v>
      </c>
      <c r="K349">
        <v>1.2</v>
      </c>
      <c r="L349" t="s">
        <v>18</v>
      </c>
      <c r="M349">
        <v>6</v>
      </c>
      <c r="N349">
        <v>6</v>
      </c>
      <c r="O349">
        <v>9</v>
      </c>
      <c r="P349">
        <v>0</v>
      </c>
      <c r="Q349">
        <f t="shared" si="28"/>
        <v>21</v>
      </c>
      <c r="S349" t="str">
        <f t="shared" si="29"/>
        <v>Mentally Unstable</v>
      </c>
    </row>
    <row r="350" spans="1:19" x14ac:dyDescent="0.25">
      <c r="A350">
        <v>14</v>
      </c>
      <c r="B350" t="str">
        <f t="shared" si="25"/>
        <v>Young Teenager</v>
      </c>
      <c r="C350" t="s">
        <v>19</v>
      </c>
      <c r="D350">
        <v>3.6</v>
      </c>
      <c r="E350" t="s">
        <v>17</v>
      </c>
      <c r="F350">
        <v>4.0999999999999996</v>
      </c>
      <c r="G350">
        <v>2.9</v>
      </c>
      <c r="H350">
        <f t="shared" si="26"/>
        <v>6.5</v>
      </c>
      <c r="I350">
        <v>2.83</v>
      </c>
      <c r="J350" t="str">
        <f t="shared" si="27"/>
        <v>Second class lower</v>
      </c>
      <c r="K350">
        <v>0.5</v>
      </c>
      <c r="L350" t="s">
        <v>22</v>
      </c>
      <c r="M350">
        <v>10</v>
      </c>
      <c r="N350">
        <v>6</v>
      </c>
      <c r="O350">
        <v>7</v>
      </c>
      <c r="P350">
        <v>0</v>
      </c>
      <c r="Q350">
        <f t="shared" si="28"/>
        <v>23</v>
      </c>
      <c r="S350" t="str">
        <f t="shared" si="29"/>
        <v>Mentally Unstable</v>
      </c>
    </row>
    <row r="351" spans="1:19" x14ac:dyDescent="0.25">
      <c r="A351">
        <v>19</v>
      </c>
      <c r="B351" t="str">
        <f t="shared" si="25"/>
        <v>Old Teenager</v>
      </c>
      <c r="C351" t="s">
        <v>16</v>
      </c>
      <c r="D351">
        <v>1.8</v>
      </c>
      <c r="E351" t="s">
        <v>20</v>
      </c>
      <c r="F351">
        <v>6</v>
      </c>
      <c r="G351">
        <v>2.2999999999999998</v>
      </c>
      <c r="H351">
        <f t="shared" si="26"/>
        <v>4.0999999999999996</v>
      </c>
      <c r="I351">
        <v>3.22</v>
      </c>
      <c r="J351" t="str">
        <f t="shared" si="27"/>
        <v>Second class upper</v>
      </c>
      <c r="K351">
        <v>1</v>
      </c>
      <c r="L351" t="s">
        <v>22</v>
      </c>
      <c r="M351">
        <v>5</v>
      </c>
      <c r="N351">
        <v>6</v>
      </c>
      <c r="O351">
        <v>8</v>
      </c>
      <c r="P351">
        <v>0</v>
      </c>
      <c r="Q351">
        <f t="shared" si="28"/>
        <v>19</v>
      </c>
      <c r="S351" t="str">
        <f t="shared" si="29"/>
        <v>Mentally Strained</v>
      </c>
    </row>
    <row r="352" spans="1:19" x14ac:dyDescent="0.25">
      <c r="A352">
        <v>17</v>
      </c>
      <c r="B352" t="str">
        <f t="shared" si="25"/>
        <v>Old Teenager</v>
      </c>
      <c r="C352" t="s">
        <v>19</v>
      </c>
      <c r="D352">
        <v>2.7</v>
      </c>
      <c r="E352" t="s">
        <v>17</v>
      </c>
      <c r="F352">
        <v>5.4</v>
      </c>
      <c r="G352">
        <v>2.6</v>
      </c>
      <c r="H352">
        <f t="shared" si="26"/>
        <v>5.3000000000000007</v>
      </c>
      <c r="I352">
        <v>2.0699999999999998</v>
      </c>
      <c r="J352" t="str">
        <f t="shared" si="27"/>
        <v>third class</v>
      </c>
      <c r="K352">
        <v>0</v>
      </c>
      <c r="L352" t="s">
        <v>22</v>
      </c>
      <c r="M352">
        <v>6</v>
      </c>
      <c r="N352">
        <v>5</v>
      </c>
      <c r="O352">
        <v>6</v>
      </c>
      <c r="P352">
        <v>0</v>
      </c>
      <c r="Q352">
        <f t="shared" si="28"/>
        <v>17</v>
      </c>
      <c r="S352" t="str">
        <f t="shared" si="29"/>
        <v>Mentally Strained</v>
      </c>
    </row>
    <row r="353" spans="1:19" x14ac:dyDescent="0.25">
      <c r="A353">
        <v>15</v>
      </c>
      <c r="B353" t="str">
        <f t="shared" si="25"/>
        <v>Young Teenager</v>
      </c>
      <c r="C353" t="s">
        <v>19</v>
      </c>
      <c r="D353">
        <v>1.2</v>
      </c>
      <c r="E353" t="s">
        <v>17</v>
      </c>
      <c r="F353">
        <v>5.2</v>
      </c>
      <c r="G353">
        <v>1</v>
      </c>
      <c r="H353">
        <f t="shared" si="26"/>
        <v>2.2000000000000002</v>
      </c>
      <c r="I353">
        <v>2.78</v>
      </c>
      <c r="J353" t="str">
        <f t="shared" si="27"/>
        <v>Second class lower</v>
      </c>
      <c r="K353">
        <v>1.3</v>
      </c>
      <c r="L353" t="s">
        <v>21</v>
      </c>
      <c r="M353">
        <v>5</v>
      </c>
      <c r="N353">
        <v>8</v>
      </c>
      <c r="O353">
        <v>10</v>
      </c>
      <c r="P353">
        <v>0</v>
      </c>
      <c r="Q353">
        <f t="shared" si="28"/>
        <v>23</v>
      </c>
      <c r="S353" t="str">
        <f t="shared" si="29"/>
        <v>Mentally Unstable</v>
      </c>
    </row>
    <row r="354" spans="1:19" x14ac:dyDescent="0.25">
      <c r="A354">
        <v>18</v>
      </c>
      <c r="B354" t="str">
        <f t="shared" si="25"/>
        <v>Old Teenager</v>
      </c>
      <c r="C354" t="s">
        <v>19</v>
      </c>
      <c r="D354">
        <v>6.2</v>
      </c>
      <c r="E354" t="s">
        <v>23</v>
      </c>
      <c r="F354">
        <v>6.7</v>
      </c>
      <c r="G354">
        <v>1.4</v>
      </c>
      <c r="H354">
        <f t="shared" si="26"/>
        <v>7.6</v>
      </c>
      <c r="I354">
        <v>3.42</v>
      </c>
      <c r="J354" t="str">
        <f t="shared" si="27"/>
        <v>Second class upper</v>
      </c>
      <c r="K354">
        <v>0.9</v>
      </c>
      <c r="L354" t="s">
        <v>18</v>
      </c>
      <c r="M354">
        <v>6</v>
      </c>
      <c r="N354">
        <v>8</v>
      </c>
      <c r="O354">
        <v>6</v>
      </c>
      <c r="P354">
        <v>0</v>
      </c>
      <c r="Q354">
        <f t="shared" si="28"/>
        <v>20</v>
      </c>
      <c r="S354" t="str">
        <f t="shared" si="29"/>
        <v>Mentally Unstable</v>
      </c>
    </row>
    <row r="355" spans="1:19" x14ac:dyDescent="0.25">
      <c r="A355">
        <v>18</v>
      </c>
      <c r="B355" t="str">
        <f t="shared" si="25"/>
        <v>Old Teenager</v>
      </c>
      <c r="C355" t="s">
        <v>16</v>
      </c>
      <c r="D355">
        <v>1.6</v>
      </c>
      <c r="E355" t="s">
        <v>20</v>
      </c>
      <c r="F355">
        <v>6.2</v>
      </c>
      <c r="G355">
        <v>1.9</v>
      </c>
      <c r="H355">
        <f t="shared" si="26"/>
        <v>3.5</v>
      </c>
      <c r="I355">
        <v>2.0499999999999998</v>
      </c>
      <c r="J355" t="str">
        <f t="shared" si="27"/>
        <v>third class</v>
      </c>
      <c r="K355">
        <v>0.3</v>
      </c>
      <c r="L355" t="s">
        <v>18</v>
      </c>
      <c r="M355">
        <v>8</v>
      </c>
      <c r="N355">
        <v>9</v>
      </c>
      <c r="O355">
        <v>9</v>
      </c>
      <c r="P355">
        <v>0</v>
      </c>
      <c r="Q355">
        <f t="shared" si="28"/>
        <v>26</v>
      </c>
      <c r="S355" t="str">
        <f t="shared" si="29"/>
        <v>Mentally Unstable</v>
      </c>
    </row>
    <row r="356" spans="1:19" x14ac:dyDescent="0.25">
      <c r="A356">
        <v>18</v>
      </c>
      <c r="B356" t="str">
        <f t="shared" si="25"/>
        <v>Old Teenager</v>
      </c>
      <c r="C356" t="s">
        <v>19</v>
      </c>
      <c r="D356">
        <v>5.0999999999999996</v>
      </c>
      <c r="E356" t="s">
        <v>20</v>
      </c>
      <c r="F356">
        <v>7.4</v>
      </c>
      <c r="G356">
        <v>1.3</v>
      </c>
      <c r="H356">
        <f t="shared" si="26"/>
        <v>6.3999999999999995</v>
      </c>
      <c r="I356">
        <v>3.5</v>
      </c>
      <c r="J356" t="str">
        <f t="shared" si="27"/>
        <v>Second class upper</v>
      </c>
      <c r="K356">
        <v>1.6</v>
      </c>
      <c r="L356" t="s">
        <v>21</v>
      </c>
      <c r="M356">
        <v>1</v>
      </c>
      <c r="N356">
        <v>5</v>
      </c>
      <c r="O356">
        <v>5</v>
      </c>
      <c r="P356">
        <v>0</v>
      </c>
      <c r="Q356">
        <f t="shared" si="28"/>
        <v>11</v>
      </c>
      <c r="S356" t="str">
        <f t="shared" si="29"/>
        <v>Mentally Strained</v>
      </c>
    </row>
    <row r="357" spans="1:19" x14ac:dyDescent="0.25">
      <c r="A357">
        <v>13</v>
      </c>
      <c r="B357" t="str">
        <f t="shared" si="25"/>
        <v>Young Teenager</v>
      </c>
      <c r="C357" t="s">
        <v>19</v>
      </c>
      <c r="D357">
        <v>5.2</v>
      </c>
      <c r="E357" t="s">
        <v>20</v>
      </c>
      <c r="F357">
        <v>8.1999999999999993</v>
      </c>
      <c r="G357">
        <v>2.8</v>
      </c>
      <c r="H357">
        <f t="shared" si="26"/>
        <v>8</v>
      </c>
      <c r="I357">
        <v>2.12</v>
      </c>
      <c r="J357" t="str">
        <f t="shared" si="27"/>
        <v>third class</v>
      </c>
      <c r="K357">
        <v>1.4</v>
      </c>
      <c r="L357" t="s">
        <v>22</v>
      </c>
      <c r="M357">
        <v>1</v>
      </c>
      <c r="N357">
        <v>8</v>
      </c>
      <c r="O357">
        <v>1</v>
      </c>
      <c r="P357">
        <v>0</v>
      </c>
      <c r="Q357">
        <f t="shared" si="28"/>
        <v>10</v>
      </c>
      <c r="S357" t="str">
        <f t="shared" si="29"/>
        <v>Mentally Strained</v>
      </c>
    </row>
    <row r="358" spans="1:19" x14ac:dyDescent="0.25">
      <c r="A358">
        <v>14</v>
      </c>
      <c r="B358" t="str">
        <f t="shared" si="25"/>
        <v>Young Teenager</v>
      </c>
      <c r="C358" t="s">
        <v>16</v>
      </c>
      <c r="D358">
        <v>4.0999999999999996</v>
      </c>
      <c r="E358" t="s">
        <v>20</v>
      </c>
      <c r="F358">
        <v>5.0999999999999996</v>
      </c>
      <c r="G358">
        <v>2</v>
      </c>
      <c r="H358">
        <f t="shared" si="26"/>
        <v>6.1</v>
      </c>
      <c r="I358">
        <v>3.51</v>
      </c>
      <c r="J358" t="str">
        <f t="shared" si="27"/>
        <v>Second class upper</v>
      </c>
      <c r="K358">
        <v>0.7</v>
      </c>
      <c r="L358" t="s">
        <v>21</v>
      </c>
      <c r="M358">
        <v>2</v>
      </c>
      <c r="N358">
        <v>9</v>
      </c>
      <c r="O358">
        <v>1</v>
      </c>
      <c r="P358">
        <v>0</v>
      </c>
      <c r="Q358">
        <f t="shared" si="28"/>
        <v>12</v>
      </c>
      <c r="S358" t="str">
        <f t="shared" si="29"/>
        <v>Mentally Strained</v>
      </c>
    </row>
    <row r="359" spans="1:19" x14ac:dyDescent="0.25">
      <c r="A359">
        <v>19</v>
      </c>
      <c r="B359" t="str">
        <f t="shared" si="25"/>
        <v>Old Teenager</v>
      </c>
      <c r="C359" t="s">
        <v>19</v>
      </c>
      <c r="D359">
        <v>5.4</v>
      </c>
      <c r="E359" t="s">
        <v>20</v>
      </c>
      <c r="F359">
        <v>4.4000000000000004</v>
      </c>
      <c r="G359">
        <v>2.2999999999999998</v>
      </c>
      <c r="H359">
        <f t="shared" si="26"/>
        <v>7.7</v>
      </c>
      <c r="I359">
        <v>3.34</v>
      </c>
      <c r="J359" t="str">
        <f t="shared" si="27"/>
        <v>Second class upper</v>
      </c>
      <c r="K359">
        <v>0.4</v>
      </c>
      <c r="L359" t="s">
        <v>21</v>
      </c>
      <c r="M359">
        <v>3</v>
      </c>
      <c r="N359">
        <v>3</v>
      </c>
      <c r="O359">
        <v>8</v>
      </c>
      <c r="P359">
        <v>0</v>
      </c>
      <c r="Q359">
        <f t="shared" si="28"/>
        <v>14</v>
      </c>
      <c r="S359" t="str">
        <f t="shared" si="29"/>
        <v>Mentally Strained</v>
      </c>
    </row>
    <row r="360" spans="1:19" x14ac:dyDescent="0.25">
      <c r="A360">
        <v>13</v>
      </c>
      <c r="B360" t="str">
        <f t="shared" si="25"/>
        <v>Young Teenager</v>
      </c>
      <c r="C360" t="s">
        <v>16</v>
      </c>
      <c r="D360">
        <v>2.4</v>
      </c>
      <c r="E360" t="s">
        <v>20</v>
      </c>
      <c r="F360">
        <v>8.4</v>
      </c>
      <c r="G360">
        <v>1.6</v>
      </c>
      <c r="H360">
        <f t="shared" si="26"/>
        <v>4</v>
      </c>
      <c r="I360">
        <v>2.82</v>
      </c>
      <c r="J360" t="str">
        <f t="shared" si="27"/>
        <v>Second class lower</v>
      </c>
      <c r="K360">
        <v>1.1000000000000001</v>
      </c>
      <c r="L360" t="s">
        <v>18</v>
      </c>
      <c r="M360">
        <v>1</v>
      </c>
      <c r="N360">
        <v>3</v>
      </c>
      <c r="O360">
        <v>2</v>
      </c>
      <c r="P360">
        <v>0</v>
      </c>
      <c r="Q360">
        <f t="shared" si="28"/>
        <v>6</v>
      </c>
      <c r="S360" t="str">
        <f t="shared" si="29"/>
        <v>Mentally Sound</v>
      </c>
    </row>
    <row r="361" spans="1:19" x14ac:dyDescent="0.25">
      <c r="A361">
        <v>18</v>
      </c>
      <c r="B361" t="str">
        <f t="shared" si="25"/>
        <v>Old Teenager</v>
      </c>
      <c r="C361" t="s">
        <v>16</v>
      </c>
      <c r="D361">
        <v>1.7</v>
      </c>
      <c r="E361" t="s">
        <v>23</v>
      </c>
      <c r="F361">
        <v>5.6</v>
      </c>
      <c r="G361">
        <v>1.4</v>
      </c>
      <c r="H361">
        <f t="shared" si="26"/>
        <v>3.0999999999999996</v>
      </c>
      <c r="I361">
        <v>2.85</v>
      </c>
      <c r="J361" t="str">
        <f t="shared" si="27"/>
        <v>Second class lower</v>
      </c>
      <c r="K361">
        <v>1</v>
      </c>
      <c r="L361" t="s">
        <v>21</v>
      </c>
      <c r="M361">
        <v>3</v>
      </c>
      <c r="N361">
        <v>3</v>
      </c>
      <c r="O361">
        <v>7</v>
      </c>
      <c r="P361">
        <v>0</v>
      </c>
      <c r="Q361">
        <f t="shared" si="28"/>
        <v>13</v>
      </c>
      <c r="S361" t="str">
        <f t="shared" si="29"/>
        <v>Mentally Strained</v>
      </c>
    </row>
    <row r="362" spans="1:19" x14ac:dyDescent="0.25">
      <c r="A362">
        <v>18</v>
      </c>
      <c r="B362" t="str">
        <f t="shared" si="25"/>
        <v>Old Teenager</v>
      </c>
      <c r="C362" t="s">
        <v>16</v>
      </c>
      <c r="D362">
        <v>6</v>
      </c>
      <c r="E362" t="s">
        <v>23</v>
      </c>
      <c r="F362">
        <v>6.1</v>
      </c>
      <c r="G362">
        <v>0.9</v>
      </c>
      <c r="H362">
        <f t="shared" si="26"/>
        <v>6.9</v>
      </c>
      <c r="I362">
        <v>2.68</v>
      </c>
      <c r="J362" t="str">
        <f t="shared" si="27"/>
        <v>Second class lower</v>
      </c>
      <c r="K362">
        <v>0.3</v>
      </c>
      <c r="L362" t="s">
        <v>22</v>
      </c>
      <c r="M362">
        <v>2</v>
      </c>
      <c r="N362">
        <v>10</v>
      </c>
      <c r="O362">
        <v>10</v>
      </c>
      <c r="P362">
        <v>0</v>
      </c>
      <c r="Q362">
        <f t="shared" si="28"/>
        <v>22</v>
      </c>
      <c r="S362" t="str">
        <f t="shared" si="29"/>
        <v>Mentally Unstable</v>
      </c>
    </row>
    <row r="363" spans="1:19" x14ac:dyDescent="0.25">
      <c r="A363">
        <v>17</v>
      </c>
      <c r="B363" t="str">
        <f t="shared" si="25"/>
        <v>Old Teenager</v>
      </c>
      <c r="C363" t="s">
        <v>16</v>
      </c>
      <c r="D363">
        <v>7.2</v>
      </c>
      <c r="E363" t="s">
        <v>23</v>
      </c>
      <c r="F363">
        <v>6.1</v>
      </c>
      <c r="G363">
        <v>0.8</v>
      </c>
      <c r="H363">
        <f t="shared" si="26"/>
        <v>8</v>
      </c>
      <c r="I363">
        <v>3.9</v>
      </c>
      <c r="J363" t="str">
        <f t="shared" si="27"/>
        <v>first class</v>
      </c>
      <c r="K363">
        <v>0.2</v>
      </c>
      <c r="L363" t="s">
        <v>18</v>
      </c>
      <c r="M363">
        <v>8</v>
      </c>
      <c r="N363">
        <v>3</v>
      </c>
      <c r="O363">
        <v>7</v>
      </c>
      <c r="P363">
        <v>0</v>
      </c>
      <c r="Q363">
        <f t="shared" si="28"/>
        <v>18</v>
      </c>
      <c r="S363" t="str">
        <f t="shared" si="29"/>
        <v>Mentally Strained</v>
      </c>
    </row>
    <row r="364" spans="1:19" x14ac:dyDescent="0.25">
      <c r="A364">
        <v>18</v>
      </c>
      <c r="B364" t="str">
        <f t="shared" si="25"/>
        <v>Old Teenager</v>
      </c>
      <c r="C364" t="s">
        <v>16</v>
      </c>
      <c r="D364">
        <v>3.5</v>
      </c>
      <c r="E364" t="s">
        <v>20</v>
      </c>
      <c r="F364">
        <v>6.3</v>
      </c>
      <c r="G364">
        <v>2.9</v>
      </c>
      <c r="H364">
        <f t="shared" si="26"/>
        <v>6.4</v>
      </c>
      <c r="I364">
        <v>3.35</v>
      </c>
      <c r="J364" t="str">
        <f t="shared" si="27"/>
        <v>Second class upper</v>
      </c>
      <c r="K364">
        <v>1.6</v>
      </c>
      <c r="L364" t="s">
        <v>21</v>
      </c>
      <c r="M364">
        <v>1</v>
      </c>
      <c r="N364">
        <v>4</v>
      </c>
      <c r="O364">
        <v>2</v>
      </c>
      <c r="P364">
        <v>0</v>
      </c>
      <c r="Q364">
        <f t="shared" si="28"/>
        <v>7</v>
      </c>
      <c r="S364" t="str">
        <f t="shared" si="29"/>
        <v>Mentally Sound</v>
      </c>
    </row>
    <row r="365" spans="1:19" x14ac:dyDescent="0.25">
      <c r="A365">
        <v>15</v>
      </c>
      <c r="B365" t="str">
        <f t="shared" si="25"/>
        <v>Young Teenager</v>
      </c>
      <c r="C365" t="s">
        <v>19</v>
      </c>
      <c r="D365">
        <v>3.8</v>
      </c>
      <c r="E365" t="s">
        <v>17</v>
      </c>
      <c r="F365">
        <v>4.4000000000000004</v>
      </c>
      <c r="G365">
        <v>1.9</v>
      </c>
      <c r="H365">
        <f t="shared" si="26"/>
        <v>5.6999999999999993</v>
      </c>
      <c r="I365">
        <v>2.04</v>
      </c>
      <c r="J365" t="str">
        <f t="shared" si="27"/>
        <v>third class</v>
      </c>
      <c r="K365">
        <v>0.5</v>
      </c>
      <c r="L365" t="s">
        <v>22</v>
      </c>
      <c r="M365">
        <v>4</v>
      </c>
      <c r="N365">
        <v>9</v>
      </c>
      <c r="O365">
        <v>7</v>
      </c>
      <c r="P365">
        <v>0</v>
      </c>
      <c r="Q365">
        <f t="shared" si="28"/>
        <v>20</v>
      </c>
      <c r="S365" t="str">
        <f t="shared" si="29"/>
        <v>Mentally Unstable</v>
      </c>
    </row>
    <row r="366" spans="1:19" x14ac:dyDescent="0.25">
      <c r="A366">
        <v>18</v>
      </c>
      <c r="B366" t="str">
        <f t="shared" si="25"/>
        <v>Old Teenager</v>
      </c>
      <c r="C366" t="s">
        <v>19</v>
      </c>
      <c r="D366">
        <v>4.5</v>
      </c>
      <c r="E366" t="s">
        <v>23</v>
      </c>
      <c r="F366">
        <v>8</v>
      </c>
      <c r="G366">
        <v>1.5</v>
      </c>
      <c r="H366">
        <f t="shared" si="26"/>
        <v>6</v>
      </c>
      <c r="I366">
        <v>3.45</v>
      </c>
      <c r="J366" t="str">
        <f t="shared" si="27"/>
        <v>Second class upper</v>
      </c>
      <c r="K366">
        <v>1</v>
      </c>
      <c r="L366" t="s">
        <v>18</v>
      </c>
      <c r="M366">
        <v>4</v>
      </c>
      <c r="N366">
        <v>3</v>
      </c>
      <c r="O366">
        <v>9</v>
      </c>
      <c r="P366">
        <v>0</v>
      </c>
      <c r="Q366">
        <f t="shared" si="28"/>
        <v>16</v>
      </c>
      <c r="S366" t="str">
        <f t="shared" si="29"/>
        <v>Mentally Strained</v>
      </c>
    </row>
    <row r="367" spans="1:19" x14ac:dyDescent="0.25">
      <c r="A367">
        <v>16</v>
      </c>
      <c r="B367" t="str">
        <f t="shared" si="25"/>
        <v>Old Teenager</v>
      </c>
      <c r="C367" t="s">
        <v>19</v>
      </c>
      <c r="D367">
        <v>7.3</v>
      </c>
      <c r="E367" t="s">
        <v>23</v>
      </c>
      <c r="F367">
        <v>7.2</v>
      </c>
      <c r="G367">
        <v>0.5</v>
      </c>
      <c r="H367">
        <f t="shared" si="26"/>
        <v>7.8</v>
      </c>
      <c r="I367">
        <v>2.78</v>
      </c>
      <c r="J367" t="str">
        <f t="shared" si="27"/>
        <v>Second class lower</v>
      </c>
      <c r="K367">
        <v>1.9</v>
      </c>
      <c r="L367" t="s">
        <v>18</v>
      </c>
      <c r="M367">
        <v>7</v>
      </c>
      <c r="N367">
        <v>3</v>
      </c>
      <c r="O367">
        <v>9</v>
      </c>
      <c r="P367">
        <v>0</v>
      </c>
      <c r="Q367">
        <f t="shared" si="28"/>
        <v>19</v>
      </c>
      <c r="S367" t="str">
        <f t="shared" si="29"/>
        <v>Mentally Strained</v>
      </c>
    </row>
    <row r="368" spans="1:19" x14ac:dyDescent="0.25">
      <c r="A368">
        <v>18</v>
      </c>
      <c r="B368" t="str">
        <f t="shared" si="25"/>
        <v>Old Teenager</v>
      </c>
      <c r="C368" t="s">
        <v>19</v>
      </c>
      <c r="D368">
        <v>6.4</v>
      </c>
      <c r="E368" t="s">
        <v>17</v>
      </c>
      <c r="F368">
        <v>7.7</v>
      </c>
      <c r="G368">
        <v>0.5</v>
      </c>
      <c r="H368">
        <f t="shared" si="26"/>
        <v>6.9</v>
      </c>
      <c r="I368">
        <v>3.05</v>
      </c>
      <c r="J368" t="str">
        <f t="shared" si="27"/>
        <v>Second class upper</v>
      </c>
      <c r="K368">
        <v>1.2</v>
      </c>
      <c r="L368" t="s">
        <v>18</v>
      </c>
      <c r="M368">
        <v>3</v>
      </c>
      <c r="N368">
        <v>1</v>
      </c>
      <c r="O368">
        <v>2</v>
      </c>
      <c r="P368">
        <v>0</v>
      </c>
      <c r="Q368">
        <f t="shared" si="28"/>
        <v>6</v>
      </c>
      <c r="S368" t="str">
        <f t="shared" si="29"/>
        <v>Mentally Sound</v>
      </c>
    </row>
    <row r="369" spans="1:19" x14ac:dyDescent="0.25">
      <c r="A369">
        <v>16</v>
      </c>
      <c r="B369" t="str">
        <f t="shared" si="25"/>
        <v>Old Teenager</v>
      </c>
      <c r="C369" t="s">
        <v>16</v>
      </c>
      <c r="D369">
        <v>5.3</v>
      </c>
      <c r="E369" t="s">
        <v>20</v>
      </c>
      <c r="F369">
        <v>8.4</v>
      </c>
      <c r="G369">
        <v>2.2000000000000002</v>
      </c>
      <c r="H369">
        <f t="shared" si="26"/>
        <v>7.5</v>
      </c>
      <c r="I369">
        <v>2.81</v>
      </c>
      <c r="J369" t="str">
        <f t="shared" si="27"/>
        <v>Second class lower</v>
      </c>
      <c r="K369">
        <v>0.6</v>
      </c>
      <c r="L369" t="s">
        <v>21</v>
      </c>
      <c r="M369">
        <v>2</v>
      </c>
      <c r="N369">
        <v>8</v>
      </c>
      <c r="O369">
        <v>8</v>
      </c>
      <c r="P369">
        <v>0</v>
      </c>
      <c r="Q369">
        <f t="shared" si="28"/>
        <v>18</v>
      </c>
      <c r="S369" t="str">
        <f t="shared" si="29"/>
        <v>Mentally Strained</v>
      </c>
    </row>
    <row r="370" spans="1:19" x14ac:dyDescent="0.25">
      <c r="A370">
        <v>13</v>
      </c>
      <c r="B370" t="str">
        <f t="shared" si="25"/>
        <v>Young Teenager</v>
      </c>
      <c r="C370" t="s">
        <v>16</v>
      </c>
      <c r="D370">
        <v>2.4</v>
      </c>
      <c r="E370" t="s">
        <v>17</v>
      </c>
      <c r="F370">
        <v>7.1</v>
      </c>
      <c r="G370">
        <v>0.7</v>
      </c>
      <c r="H370">
        <f t="shared" si="26"/>
        <v>3.0999999999999996</v>
      </c>
      <c r="I370">
        <v>3.64</v>
      </c>
      <c r="J370" t="str">
        <f t="shared" si="27"/>
        <v>first class</v>
      </c>
      <c r="K370">
        <v>1.1000000000000001</v>
      </c>
      <c r="L370" t="s">
        <v>21</v>
      </c>
      <c r="M370">
        <v>6</v>
      </c>
      <c r="N370">
        <v>5</v>
      </c>
      <c r="O370">
        <v>5</v>
      </c>
      <c r="P370">
        <v>0</v>
      </c>
      <c r="Q370">
        <f t="shared" si="28"/>
        <v>16</v>
      </c>
      <c r="S370" t="str">
        <f t="shared" si="29"/>
        <v>Mentally Strained</v>
      </c>
    </row>
    <row r="371" spans="1:19" x14ac:dyDescent="0.25">
      <c r="A371">
        <v>13</v>
      </c>
      <c r="B371" t="str">
        <f t="shared" si="25"/>
        <v>Young Teenager</v>
      </c>
      <c r="C371" t="s">
        <v>16</v>
      </c>
      <c r="D371">
        <v>8</v>
      </c>
      <c r="E371" t="s">
        <v>23</v>
      </c>
      <c r="F371">
        <v>8.9</v>
      </c>
      <c r="G371">
        <v>2.2000000000000002</v>
      </c>
      <c r="H371">
        <f t="shared" si="26"/>
        <v>10.199999999999999</v>
      </c>
      <c r="I371">
        <v>3.82</v>
      </c>
      <c r="J371" t="str">
        <f t="shared" si="27"/>
        <v>first class</v>
      </c>
      <c r="K371">
        <v>1.2</v>
      </c>
      <c r="L371" t="s">
        <v>18</v>
      </c>
      <c r="M371">
        <v>8</v>
      </c>
      <c r="N371">
        <v>8</v>
      </c>
      <c r="O371">
        <v>4</v>
      </c>
      <c r="P371">
        <v>0</v>
      </c>
      <c r="Q371">
        <f t="shared" si="28"/>
        <v>20</v>
      </c>
      <c r="S371" t="str">
        <f t="shared" si="29"/>
        <v>Mentally Unstable</v>
      </c>
    </row>
    <row r="372" spans="1:19" x14ac:dyDescent="0.25">
      <c r="A372">
        <v>15</v>
      </c>
      <c r="B372" t="str">
        <f t="shared" si="25"/>
        <v>Young Teenager</v>
      </c>
      <c r="C372" t="s">
        <v>16</v>
      </c>
      <c r="D372">
        <v>7.3</v>
      </c>
      <c r="E372" t="s">
        <v>23</v>
      </c>
      <c r="F372">
        <v>4.4000000000000004</v>
      </c>
      <c r="G372">
        <v>2.2999999999999998</v>
      </c>
      <c r="H372">
        <f t="shared" si="26"/>
        <v>9.6</v>
      </c>
      <c r="I372">
        <v>2.76</v>
      </c>
      <c r="J372" t="str">
        <f t="shared" si="27"/>
        <v>Second class lower</v>
      </c>
      <c r="K372">
        <v>1.8</v>
      </c>
      <c r="L372" t="s">
        <v>22</v>
      </c>
      <c r="M372">
        <v>4</v>
      </c>
      <c r="N372">
        <v>6</v>
      </c>
      <c r="O372">
        <v>9</v>
      </c>
      <c r="P372">
        <v>0</v>
      </c>
      <c r="Q372">
        <f t="shared" si="28"/>
        <v>19</v>
      </c>
      <c r="S372" t="str">
        <f t="shared" si="29"/>
        <v>Mentally Strained</v>
      </c>
    </row>
    <row r="373" spans="1:19" x14ac:dyDescent="0.25">
      <c r="A373">
        <v>17</v>
      </c>
      <c r="B373" t="str">
        <f t="shared" si="25"/>
        <v>Old Teenager</v>
      </c>
      <c r="C373" t="s">
        <v>19</v>
      </c>
      <c r="D373">
        <v>4.5</v>
      </c>
      <c r="E373" t="s">
        <v>23</v>
      </c>
      <c r="F373">
        <v>7.3</v>
      </c>
      <c r="G373">
        <v>0.9</v>
      </c>
      <c r="H373">
        <f t="shared" si="26"/>
        <v>5.4</v>
      </c>
      <c r="I373">
        <v>2.34</v>
      </c>
      <c r="J373" t="str">
        <f t="shared" si="27"/>
        <v>third class</v>
      </c>
      <c r="K373">
        <v>0.9</v>
      </c>
      <c r="L373" t="s">
        <v>22</v>
      </c>
      <c r="M373">
        <v>7</v>
      </c>
      <c r="N373">
        <v>3</v>
      </c>
      <c r="O373">
        <v>8</v>
      </c>
      <c r="P373">
        <v>0</v>
      </c>
      <c r="Q373">
        <f t="shared" si="28"/>
        <v>18</v>
      </c>
      <c r="S373" t="str">
        <f t="shared" si="29"/>
        <v>Mentally Strained</v>
      </c>
    </row>
    <row r="374" spans="1:19" x14ac:dyDescent="0.25">
      <c r="A374">
        <v>19</v>
      </c>
      <c r="B374" t="str">
        <f t="shared" si="25"/>
        <v>Old Teenager</v>
      </c>
      <c r="C374" t="s">
        <v>16</v>
      </c>
      <c r="D374">
        <v>5</v>
      </c>
      <c r="E374" t="s">
        <v>23</v>
      </c>
      <c r="F374">
        <v>9</v>
      </c>
      <c r="G374">
        <v>2.4</v>
      </c>
      <c r="H374">
        <f t="shared" si="26"/>
        <v>7.4</v>
      </c>
      <c r="I374">
        <v>2.5299999999999998</v>
      </c>
      <c r="J374" t="str">
        <f t="shared" si="27"/>
        <v>Second class lower</v>
      </c>
      <c r="K374">
        <v>0.4</v>
      </c>
      <c r="L374" t="s">
        <v>22</v>
      </c>
      <c r="M374">
        <v>7</v>
      </c>
      <c r="N374">
        <v>2</v>
      </c>
      <c r="O374">
        <v>10</v>
      </c>
      <c r="P374">
        <v>0</v>
      </c>
      <c r="Q374">
        <f t="shared" si="28"/>
        <v>19</v>
      </c>
      <c r="S374" t="str">
        <f t="shared" si="29"/>
        <v>Mentally Strained</v>
      </c>
    </row>
    <row r="375" spans="1:19" x14ac:dyDescent="0.25">
      <c r="A375">
        <v>16</v>
      </c>
      <c r="B375" t="str">
        <f t="shared" si="25"/>
        <v>Old Teenager</v>
      </c>
      <c r="C375" t="s">
        <v>19</v>
      </c>
      <c r="D375">
        <v>5.7</v>
      </c>
      <c r="E375" t="s">
        <v>23</v>
      </c>
      <c r="F375">
        <v>4.2</v>
      </c>
      <c r="G375">
        <v>1.4</v>
      </c>
      <c r="H375">
        <f t="shared" si="26"/>
        <v>7.1</v>
      </c>
      <c r="I375">
        <v>2.56</v>
      </c>
      <c r="J375" t="str">
        <f t="shared" si="27"/>
        <v>Second class lower</v>
      </c>
      <c r="K375">
        <v>0.1</v>
      </c>
      <c r="L375" t="s">
        <v>21</v>
      </c>
      <c r="M375">
        <v>4</v>
      </c>
      <c r="N375">
        <v>3</v>
      </c>
      <c r="O375">
        <v>1</v>
      </c>
      <c r="P375">
        <v>0</v>
      </c>
      <c r="Q375">
        <f t="shared" si="28"/>
        <v>8</v>
      </c>
      <c r="S375" t="str">
        <f t="shared" si="29"/>
        <v>Mentally Sound</v>
      </c>
    </row>
    <row r="376" spans="1:19" x14ac:dyDescent="0.25">
      <c r="A376">
        <v>18</v>
      </c>
      <c r="B376" t="str">
        <f t="shared" si="25"/>
        <v>Old Teenager</v>
      </c>
      <c r="C376" t="s">
        <v>19</v>
      </c>
      <c r="D376">
        <v>2.9</v>
      </c>
      <c r="E376" t="s">
        <v>17</v>
      </c>
      <c r="F376">
        <v>8.4</v>
      </c>
      <c r="G376">
        <v>2.6</v>
      </c>
      <c r="H376">
        <f t="shared" si="26"/>
        <v>5.5</v>
      </c>
      <c r="I376">
        <v>2.57</v>
      </c>
      <c r="J376" t="str">
        <f t="shared" si="27"/>
        <v>Second class lower</v>
      </c>
      <c r="K376">
        <v>1.8</v>
      </c>
      <c r="L376" t="s">
        <v>22</v>
      </c>
      <c r="M376">
        <v>4</v>
      </c>
      <c r="N376">
        <v>1</v>
      </c>
      <c r="O376">
        <v>3</v>
      </c>
      <c r="P376">
        <v>0</v>
      </c>
      <c r="Q376">
        <f t="shared" si="28"/>
        <v>8</v>
      </c>
      <c r="S376" t="str">
        <f t="shared" si="29"/>
        <v>Mentally Sound</v>
      </c>
    </row>
    <row r="377" spans="1:19" x14ac:dyDescent="0.25">
      <c r="A377">
        <v>13</v>
      </c>
      <c r="B377" t="str">
        <f t="shared" si="25"/>
        <v>Young Teenager</v>
      </c>
      <c r="C377" t="s">
        <v>16</v>
      </c>
      <c r="D377">
        <v>7.9</v>
      </c>
      <c r="E377" t="s">
        <v>17</v>
      </c>
      <c r="F377">
        <v>8.8000000000000007</v>
      </c>
      <c r="G377">
        <v>2.2999999999999998</v>
      </c>
      <c r="H377">
        <f t="shared" si="26"/>
        <v>10.199999999999999</v>
      </c>
      <c r="I377">
        <v>3.39</v>
      </c>
      <c r="J377" t="str">
        <f t="shared" si="27"/>
        <v>Second class upper</v>
      </c>
      <c r="K377">
        <v>0.5</v>
      </c>
      <c r="L377" t="s">
        <v>18</v>
      </c>
      <c r="M377">
        <v>1</v>
      </c>
      <c r="N377">
        <v>9</v>
      </c>
      <c r="O377">
        <v>3</v>
      </c>
      <c r="P377">
        <v>0</v>
      </c>
      <c r="Q377">
        <f t="shared" si="28"/>
        <v>13</v>
      </c>
      <c r="S377" t="str">
        <f t="shared" si="29"/>
        <v>Mentally Strained</v>
      </c>
    </row>
    <row r="378" spans="1:19" x14ac:dyDescent="0.25">
      <c r="A378">
        <v>19</v>
      </c>
      <c r="B378" t="str">
        <f t="shared" si="25"/>
        <v>Old Teenager</v>
      </c>
      <c r="C378" t="s">
        <v>16</v>
      </c>
      <c r="D378">
        <v>4.8</v>
      </c>
      <c r="E378" t="s">
        <v>20</v>
      </c>
      <c r="F378">
        <v>5</v>
      </c>
      <c r="G378">
        <v>2.6</v>
      </c>
      <c r="H378">
        <f t="shared" si="26"/>
        <v>7.4</v>
      </c>
      <c r="I378">
        <v>3.25</v>
      </c>
      <c r="J378" t="str">
        <f t="shared" si="27"/>
        <v>Second class upper</v>
      </c>
      <c r="K378">
        <v>1.6</v>
      </c>
      <c r="L378" t="s">
        <v>18</v>
      </c>
      <c r="M378">
        <v>4</v>
      </c>
      <c r="N378">
        <v>6</v>
      </c>
      <c r="O378">
        <v>1</v>
      </c>
      <c r="P378">
        <v>0</v>
      </c>
      <c r="Q378">
        <f t="shared" si="28"/>
        <v>11</v>
      </c>
      <c r="S378" t="str">
        <f t="shared" si="29"/>
        <v>Mentally Strained</v>
      </c>
    </row>
    <row r="379" spans="1:19" x14ac:dyDescent="0.25">
      <c r="A379">
        <v>13</v>
      </c>
      <c r="B379" t="str">
        <f t="shared" si="25"/>
        <v>Young Teenager</v>
      </c>
      <c r="C379" t="s">
        <v>19</v>
      </c>
      <c r="D379">
        <v>3</v>
      </c>
      <c r="E379" t="s">
        <v>23</v>
      </c>
      <c r="F379">
        <v>6</v>
      </c>
      <c r="G379">
        <v>1</v>
      </c>
      <c r="H379">
        <f t="shared" si="26"/>
        <v>4</v>
      </c>
      <c r="I379">
        <v>2.63</v>
      </c>
      <c r="J379" t="str">
        <f t="shared" si="27"/>
        <v>Second class lower</v>
      </c>
      <c r="K379">
        <v>0.1</v>
      </c>
      <c r="L379" t="s">
        <v>18</v>
      </c>
      <c r="M379">
        <v>5</v>
      </c>
      <c r="N379">
        <v>10</v>
      </c>
      <c r="O379">
        <v>9</v>
      </c>
      <c r="P379">
        <v>0</v>
      </c>
      <c r="Q379">
        <f t="shared" si="28"/>
        <v>24</v>
      </c>
      <c r="S379" t="str">
        <f t="shared" si="29"/>
        <v>Mentally Unstable</v>
      </c>
    </row>
    <row r="380" spans="1:19" x14ac:dyDescent="0.25">
      <c r="A380">
        <v>14</v>
      </c>
      <c r="B380" t="str">
        <f t="shared" si="25"/>
        <v>Young Teenager</v>
      </c>
      <c r="C380" t="s">
        <v>19</v>
      </c>
      <c r="D380">
        <v>4.0999999999999996</v>
      </c>
      <c r="E380" t="s">
        <v>23</v>
      </c>
      <c r="F380">
        <v>6.4</v>
      </c>
      <c r="G380">
        <v>2</v>
      </c>
      <c r="H380">
        <f t="shared" si="26"/>
        <v>6.1</v>
      </c>
      <c r="I380">
        <v>3.69</v>
      </c>
      <c r="J380" t="str">
        <f t="shared" si="27"/>
        <v>first class</v>
      </c>
      <c r="K380">
        <v>1.5</v>
      </c>
      <c r="L380" t="s">
        <v>22</v>
      </c>
      <c r="M380">
        <v>7</v>
      </c>
      <c r="N380">
        <v>7</v>
      </c>
      <c r="O380">
        <v>9</v>
      </c>
      <c r="P380">
        <v>0</v>
      </c>
      <c r="Q380">
        <f t="shared" si="28"/>
        <v>23</v>
      </c>
      <c r="S380" t="str">
        <f t="shared" si="29"/>
        <v>Mentally Unstable</v>
      </c>
    </row>
    <row r="381" spans="1:19" x14ac:dyDescent="0.25">
      <c r="A381">
        <v>19</v>
      </c>
      <c r="B381" t="str">
        <f t="shared" si="25"/>
        <v>Old Teenager</v>
      </c>
      <c r="C381" t="s">
        <v>16</v>
      </c>
      <c r="D381">
        <v>6.9</v>
      </c>
      <c r="E381" t="s">
        <v>17</v>
      </c>
      <c r="F381">
        <v>5</v>
      </c>
      <c r="G381">
        <v>1.2</v>
      </c>
      <c r="H381">
        <f t="shared" si="26"/>
        <v>8.1</v>
      </c>
      <c r="I381">
        <v>2.56</v>
      </c>
      <c r="J381" t="str">
        <f t="shared" si="27"/>
        <v>Second class lower</v>
      </c>
      <c r="K381">
        <v>1.6</v>
      </c>
      <c r="L381" t="s">
        <v>21</v>
      </c>
      <c r="M381">
        <v>3</v>
      </c>
      <c r="N381">
        <v>10</v>
      </c>
      <c r="O381">
        <v>8</v>
      </c>
      <c r="P381">
        <v>0</v>
      </c>
      <c r="Q381">
        <f t="shared" si="28"/>
        <v>21</v>
      </c>
      <c r="S381" t="str">
        <f t="shared" si="29"/>
        <v>Mentally Unstable</v>
      </c>
    </row>
    <row r="382" spans="1:19" x14ac:dyDescent="0.25">
      <c r="A382">
        <v>17</v>
      </c>
      <c r="B382" t="str">
        <f t="shared" si="25"/>
        <v>Old Teenager</v>
      </c>
      <c r="C382" t="s">
        <v>19</v>
      </c>
      <c r="D382">
        <v>3.2</v>
      </c>
      <c r="E382" t="s">
        <v>17</v>
      </c>
      <c r="F382">
        <v>6.2</v>
      </c>
      <c r="G382">
        <v>2.2000000000000002</v>
      </c>
      <c r="H382">
        <f t="shared" si="26"/>
        <v>5.4</v>
      </c>
      <c r="I382">
        <v>2.96</v>
      </c>
      <c r="J382" t="str">
        <f t="shared" si="27"/>
        <v>Second class lower</v>
      </c>
      <c r="K382">
        <v>1.6</v>
      </c>
      <c r="L382" t="s">
        <v>18</v>
      </c>
      <c r="M382">
        <v>8</v>
      </c>
      <c r="N382">
        <v>10</v>
      </c>
      <c r="O382">
        <v>9</v>
      </c>
      <c r="P382">
        <v>0</v>
      </c>
      <c r="Q382">
        <f t="shared" si="28"/>
        <v>27</v>
      </c>
      <c r="S382" t="str">
        <f t="shared" si="29"/>
        <v>Mentally Unstable</v>
      </c>
    </row>
    <row r="383" spans="1:19" x14ac:dyDescent="0.25">
      <c r="A383">
        <v>18</v>
      </c>
      <c r="B383" t="str">
        <f t="shared" si="25"/>
        <v>Old Teenager</v>
      </c>
      <c r="C383" t="s">
        <v>19</v>
      </c>
      <c r="D383">
        <v>1.3</v>
      </c>
      <c r="E383" t="s">
        <v>23</v>
      </c>
      <c r="F383">
        <v>4.9000000000000004</v>
      </c>
      <c r="G383">
        <v>0.9</v>
      </c>
      <c r="H383">
        <f t="shared" si="26"/>
        <v>2.2000000000000002</v>
      </c>
      <c r="I383">
        <v>3.86</v>
      </c>
      <c r="J383" t="str">
        <f t="shared" si="27"/>
        <v>first class</v>
      </c>
      <c r="K383">
        <v>0</v>
      </c>
      <c r="L383" t="s">
        <v>22</v>
      </c>
      <c r="M383">
        <v>4</v>
      </c>
      <c r="N383">
        <v>9</v>
      </c>
      <c r="O383">
        <v>8</v>
      </c>
      <c r="P383">
        <v>0</v>
      </c>
      <c r="Q383">
        <f t="shared" si="28"/>
        <v>21</v>
      </c>
      <c r="S383" t="str">
        <f t="shared" si="29"/>
        <v>Mentally Unstable</v>
      </c>
    </row>
    <row r="384" spans="1:19" x14ac:dyDescent="0.25">
      <c r="A384">
        <v>15</v>
      </c>
      <c r="B384" t="str">
        <f t="shared" si="25"/>
        <v>Young Teenager</v>
      </c>
      <c r="C384" t="s">
        <v>19</v>
      </c>
      <c r="D384">
        <v>4.2</v>
      </c>
      <c r="E384" t="s">
        <v>20</v>
      </c>
      <c r="F384">
        <v>6.8</v>
      </c>
      <c r="G384">
        <v>1.1000000000000001</v>
      </c>
      <c r="H384">
        <f t="shared" si="26"/>
        <v>5.3000000000000007</v>
      </c>
      <c r="I384">
        <v>3.37</v>
      </c>
      <c r="J384" t="str">
        <f t="shared" si="27"/>
        <v>Second class upper</v>
      </c>
      <c r="K384">
        <v>0.7</v>
      </c>
      <c r="L384" t="s">
        <v>21</v>
      </c>
      <c r="M384">
        <v>3</v>
      </c>
      <c r="N384">
        <v>6</v>
      </c>
      <c r="O384">
        <v>8</v>
      </c>
      <c r="P384">
        <v>0</v>
      </c>
      <c r="Q384">
        <f t="shared" si="28"/>
        <v>17</v>
      </c>
      <c r="S384" t="str">
        <f t="shared" si="29"/>
        <v>Mentally Strained</v>
      </c>
    </row>
    <row r="385" spans="1:19" x14ac:dyDescent="0.25">
      <c r="A385">
        <v>19</v>
      </c>
      <c r="B385" t="str">
        <f t="shared" si="25"/>
        <v>Old Teenager</v>
      </c>
      <c r="C385" t="s">
        <v>16</v>
      </c>
      <c r="D385">
        <v>6.6</v>
      </c>
      <c r="E385" t="s">
        <v>23</v>
      </c>
      <c r="F385">
        <v>6</v>
      </c>
      <c r="G385">
        <v>2.1</v>
      </c>
      <c r="H385">
        <f t="shared" si="26"/>
        <v>8.6999999999999993</v>
      </c>
      <c r="I385">
        <v>2.84</v>
      </c>
      <c r="J385" t="str">
        <f t="shared" si="27"/>
        <v>Second class lower</v>
      </c>
      <c r="K385">
        <v>1.5</v>
      </c>
      <c r="L385" t="s">
        <v>18</v>
      </c>
      <c r="M385">
        <v>9</v>
      </c>
      <c r="N385">
        <v>4</v>
      </c>
      <c r="O385">
        <v>5</v>
      </c>
      <c r="P385">
        <v>0</v>
      </c>
      <c r="Q385">
        <f t="shared" si="28"/>
        <v>18</v>
      </c>
      <c r="S385" t="str">
        <f t="shared" si="29"/>
        <v>Mentally Strained</v>
      </c>
    </row>
    <row r="386" spans="1:19" x14ac:dyDescent="0.25">
      <c r="A386">
        <v>13</v>
      </c>
      <c r="B386" t="str">
        <f t="shared" si="25"/>
        <v>Young Teenager</v>
      </c>
      <c r="C386" t="s">
        <v>16</v>
      </c>
      <c r="D386">
        <v>7.5</v>
      </c>
      <c r="E386" t="s">
        <v>20</v>
      </c>
      <c r="F386">
        <v>4.8</v>
      </c>
      <c r="G386">
        <v>0.7</v>
      </c>
      <c r="H386">
        <f t="shared" si="26"/>
        <v>8.1999999999999993</v>
      </c>
      <c r="I386">
        <v>2.91</v>
      </c>
      <c r="J386" t="str">
        <f t="shared" si="27"/>
        <v>Second class lower</v>
      </c>
      <c r="K386">
        <v>2</v>
      </c>
      <c r="L386" t="s">
        <v>21</v>
      </c>
      <c r="M386">
        <v>10</v>
      </c>
      <c r="N386">
        <v>9</v>
      </c>
      <c r="O386">
        <v>1</v>
      </c>
      <c r="P386">
        <v>1</v>
      </c>
      <c r="Q386">
        <f t="shared" si="28"/>
        <v>21</v>
      </c>
      <c r="S386" t="str">
        <f t="shared" si="29"/>
        <v>Mentally Unstable</v>
      </c>
    </row>
    <row r="387" spans="1:19" x14ac:dyDescent="0.25">
      <c r="A387">
        <v>15</v>
      </c>
      <c r="B387" t="str">
        <f t="shared" ref="B387:B450" si="30">IF(A387&lt;=15,"Young Teenager","Old Teenager")</f>
        <v>Young Teenager</v>
      </c>
      <c r="C387" t="s">
        <v>16</v>
      </c>
      <c r="D387">
        <v>7</v>
      </c>
      <c r="E387" t="s">
        <v>23</v>
      </c>
      <c r="F387">
        <v>8.6999999999999993</v>
      </c>
      <c r="G387">
        <v>3</v>
      </c>
      <c r="H387">
        <f t="shared" ref="H387:H450" si="31">SUM(D387,G387)</f>
        <v>10</v>
      </c>
      <c r="I387">
        <v>2.84</v>
      </c>
      <c r="J387" t="str">
        <f t="shared" ref="J387:J450" si="32">IF(I387&lt;=2.49,"third class",IF(I387&lt;3,"Second class lower",IF(I387&lt;3.6,"Second class upper","first class")))</f>
        <v>Second class lower</v>
      </c>
      <c r="K387">
        <v>1.4</v>
      </c>
      <c r="L387" t="s">
        <v>22</v>
      </c>
      <c r="M387">
        <v>5</v>
      </c>
      <c r="N387">
        <v>3</v>
      </c>
      <c r="O387">
        <v>2</v>
      </c>
      <c r="P387">
        <v>0</v>
      </c>
      <c r="Q387">
        <f t="shared" ref="Q387:Q450" si="33">SUM(M387:P387)</f>
        <v>10</v>
      </c>
      <c r="S387" t="str">
        <f t="shared" ref="S387:S450" si="34">IF(Q387&lt;10,"Mentally Sound",IF(Q387&gt;=20,"Mentally Unstable","Mentally Strained"))</f>
        <v>Mentally Strained</v>
      </c>
    </row>
    <row r="388" spans="1:19" x14ac:dyDescent="0.25">
      <c r="A388">
        <v>15</v>
      </c>
      <c r="B388" t="str">
        <f t="shared" si="30"/>
        <v>Young Teenager</v>
      </c>
      <c r="C388" t="s">
        <v>19</v>
      </c>
      <c r="D388">
        <v>6.7</v>
      </c>
      <c r="E388" t="s">
        <v>23</v>
      </c>
      <c r="F388">
        <v>5</v>
      </c>
      <c r="G388">
        <v>0.6</v>
      </c>
      <c r="H388">
        <f t="shared" si="31"/>
        <v>7.3</v>
      </c>
      <c r="I388">
        <v>2.75</v>
      </c>
      <c r="J388" t="str">
        <f t="shared" si="32"/>
        <v>Second class lower</v>
      </c>
      <c r="K388">
        <v>1.5</v>
      </c>
      <c r="L388" t="s">
        <v>22</v>
      </c>
      <c r="M388">
        <v>7</v>
      </c>
      <c r="N388">
        <v>4</v>
      </c>
      <c r="O388">
        <v>8</v>
      </c>
      <c r="P388">
        <v>0</v>
      </c>
      <c r="Q388">
        <f t="shared" si="33"/>
        <v>19</v>
      </c>
      <c r="S388" t="str">
        <f t="shared" si="34"/>
        <v>Mentally Strained</v>
      </c>
    </row>
    <row r="389" spans="1:19" x14ac:dyDescent="0.25">
      <c r="A389">
        <v>15</v>
      </c>
      <c r="B389" t="str">
        <f t="shared" si="30"/>
        <v>Young Teenager</v>
      </c>
      <c r="C389" t="s">
        <v>19</v>
      </c>
      <c r="D389">
        <v>2.2999999999999998</v>
      </c>
      <c r="E389" t="s">
        <v>17</v>
      </c>
      <c r="F389">
        <v>5.6</v>
      </c>
      <c r="G389">
        <v>2.9</v>
      </c>
      <c r="H389">
        <f t="shared" si="31"/>
        <v>5.1999999999999993</v>
      </c>
      <c r="I389">
        <v>2.72</v>
      </c>
      <c r="J389" t="str">
        <f t="shared" si="32"/>
        <v>Second class lower</v>
      </c>
      <c r="K389">
        <v>1</v>
      </c>
      <c r="L389" t="s">
        <v>21</v>
      </c>
      <c r="M389">
        <v>6</v>
      </c>
      <c r="N389">
        <v>6</v>
      </c>
      <c r="O389">
        <v>2</v>
      </c>
      <c r="P389">
        <v>0</v>
      </c>
      <c r="Q389">
        <f t="shared" si="33"/>
        <v>14</v>
      </c>
      <c r="S389" t="str">
        <f t="shared" si="34"/>
        <v>Mentally Strained</v>
      </c>
    </row>
    <row r="390" spans="1:19" x14ac:dyDescent="0.25">
      <c r="A390">
        <v>14</v>
      </c>
      <c r="B390" t="str">
        <f t="shared" si="30"/>
        <v>Young Teenager</v>
      </c>
      <c r="C390" t="s">
        <v>16</v>
      </c>
      <c r="D390">
        <v>5.3</v>
      </c>
      <c r="E390" t="s">
        <v>23</v>
      </c>
      <c r="F390">
        <v>9</v>
      </c>
      <c r="G390">
        <v>2.8</v>
      </c>
      <c r="H390">
        <f t="shared" si="31"/>
        <v>8.1</v>
      </c>
      <c r="I390">
        <v>3.1</v>
      </c>
      <c r="J390" t="str">
        <f t="shared" si="32"/>
        <v>Second class upper</v>
      </c>
      <c r="K390">
        <v>1.6</v>
      </c>
      <c r="L390" t="s">
        <v>21</v>
      </c>
      <c r="M390">
        <v>10</v>
      </c>
      <c r="N390">
        <v>7</v>
      </c>
      <c r="O390">
        <v>6</v>
      </c>
      <c r="P390">
        <v>0</v>
      </c>
      <c r="Q390">
        <f t="shared" si="33"/>
        <v>23</v>
      </c>
      <c r="S390" t="str">
        <f t="shared" si="34"/>
        <v>Mentally Unstable</v>
      </c>
    </row>
    <row r="391" spans="1:19" x14ac:dyDescent="0.25">
      <c r="A391">
        <v>13</v>
      </c>
      <c r="B391" t="str">
        <f t="shared" si="30"/>
        <v>Young Teenager</v>
      </c>
      <c r="C391" t="s">
        <v>19</v>
      </c>
      <c r="D391">
        <v>2.7</v>
      </c>
      <c r="E391" t="s">
        <v>20</v>
      </c>
      <c r="F391">
        <v>6.5</v>
      </c>
      <c r="G391">
        <v>1.5</v>
      </c>
      <c r="H391">
        <f t="shared" si="31"/>
        <v>4.2</v>
      </c>
      <c r="I391">
        <v>2.58</v>
      </c>
      <c r="J391" t="str">
        <f t="shared" si="32"/>
        <v>Second class lower</v>
      </c>
      <c r="K391">
        <v>0.4</v>
      </c>
      <c r="L391" t="s">
        <v>21</v>
      </c>
      <c r="M391">
        <v>1</v>
      </c>
      <c r="N391">
        <v>1</v>
      </c>
      <c r="O391">
        <v>6</v>
      </c>
      <c r="P391">
        <v>0</v>
      </c>
      <c r="Q391">
        <f t="shared" si="33"/>
        <v>8</v>
      </c>
      <c r="S391" t="str">
        <f t="shared" si="34"/>
        <v>Mentally Sound</v>
      </c>
    </row>
    <row r="392" spans="1:19" x14ac:dyDescent="0.25">
      <c r="A392">
        <v>13</v>
      </c>
      <c r="B392" t="str">
        <f t="shared" si="30"/>
        <v>Young Teenager</v>
      </c>
      <c r="C392" t="s">
        <v>16</v>
      </c>
      <c r="D392">
        <v>5.4</v>
      </c>
      <c r="E392" t="s">
        <v>17</v>
      </c>
      <c r="F392">
        <v>7.8</v>
      </c>
      <c r="G392">
        <v>1.8</v>
      </c>
      <c r="H392">
        <f t="shared" si="31"/>
        <v>7.2</v>
      </c>
      <c r="I392">
        <v>3.46</v>
      </c>
      <c r="J392" t="str">
        <f t="shared" si="32"/>
        <v>Second class upper</v>
      </c>
      <c r="K392">
        <v>1</v>
      </c>
      <c r="L392" t="s">
        <v>21</v>
      </c>
      <c r="M392">
        <v>4</v>
      </c>
      <c r="N392">
        <v>7</v>
      </c>
      <c r="O392">
        <v>7</v>
      </c>
      <c r="P392">
        <v>0</v>
      </c>
      <c r="Q392">
        <f t="shared" si="33"/>
        <v>18</v>
      </c>
      <c r="S392" t="str">
        <f t="shared" si="34"/>
        <v>Mentally Strained</v>
      </c>
    </row>
    <row r="393" spans="1:19" x14ac:dyDescent="0.25">
      <c r="A393">
        <v>17</v>
      </c>
      <c r="B393" t="str">
        <f t="shared" si="30"/>
        <v>Old Teenager</v>
      </c>
      <c r="C393" t="s">
        <v>16</v>
      </c>
      <c r="D393">
        <v>7.2</v>
      </c>
      <c r="E393" t="s">
        <v>17</v>
      </c>
      <c r="F393">
        <v>8</v>
      </c>
      <c r="G393">
        <v>1.9</v>
      </c>
      <c r="H393">
        <f t="shared" si="31"/>
        <v>9.1</v>
      </c>
      <c r="I393">
        <v>2.66</v>
      </c>
      <c r="J393" t="str">
        <f t="shared" si="32"/>
        <v>Second class lower</v>
      </c>
      <c r="K393">
        <v>1.4</v>
      </c>
      <c r="L393" t="s">
        <v>22</v>
      </c>
      <c r="M393">
        <v>5</v>
      </c>
      <c r="N393">
        <v>8</v>
      </c>
      <c r="O393">
        <v>6</v>
      </c>
      <c r="P393">
        <v>0</v>
      </c>
      <c r="Q393">
        <f t="shared" si="33"/>
        <v>19</v>
      </c>
      <c r="S393" t="str">
        <f t="shared" si="34"/>
        <v>Mentally Strained</v>
      </c>
    </row>
    <row r="394" spans="1:19" x14ac:dyDescent="0.25">
      <c r="A394">
        <v>19</v>
      </c>
      <c r="B394" t="str">
        <f t="shared" si="30"/>
        <v>Old Teenager</v>
      </c>
      <c r="C394" t="s">
        <v>16</v>
      </c>
      <c r="D394">
        <v>1.5</v>
      </c>
      <c r="E394" t="s">
        <v>20</v>
      </c>
      <c r="F394">
        <v>6.8</v>
      </c>
      <c r="G394">
        <v>2.5</v>
      </c>
      <c r="H394">
        <f t="shared" si="31"/>
        <v>4</v>
      </c>
      <c r="I394">
        <v>2.13</v>
      </c>
      <c r="J394" t="str">
        <f t="shared" si="32"/>
        <v>third class</v>
      </c>
      <c r="K394">
        <v>0.2</v>
      </c>
      <c r="L394" t="s">
        <v>22</v>
      </c>
      <c r="M394">
        <v>9</v>
      </c>
      <c r="N394">
        <v>8</v>
      </c>
      <c r="O394">
        <v>10</v>
      </c>
      <c r="P394">
        <v>0</v>
      </c>
      <c r="Q394">
        <f t="shared" si="33"/>
        <v>27</v>
      </c>
      <c r="S394" t="str">
        <f t="shared" si="34"/>
        <v>Mentally Unstable</v>
      </c>
    </row>
    <row r="395" spans="1:19" x14ac:dyDescent="0.25">
      <c r="A395">
        <v>13</v>
      </c>
      <c r="B395" t="str">
        <f t="shared" si="30"/>
        <v>Young Teenager</v>
      </c>
      <c r="C395" t="s">
        <v>16</v>
      </c>
      <c r="D395">
        <v>4</v>
      </c>
      <c r="E395" t="s">
        <v>23</v>
      </c>
      <c r="F395">
        <v>4.2</v>
      </c>
      <c r="G395">
        <v>0.5</v>
      </c>
      <c r="H395">
        <f t="shared" si="31"/>
        <v>4.5</v>
      </c>
      <c r="I395">
        <v>2.46</v>
      </c>
      <c r="J395" t="str">
        <f t="shared" si="32"/>
        <v>third class</v>
      </c>
      <c r="K395">
        <v>0.6</v>
      </c>
      <c r="L395" t="s">
        <v>18</v>
      </c>
      <c r="M395">
        <v>2</v>
      </c>
      <c r="N395">
        <v>9</v>
      </c>
      <c r="O395">
        <v>9</v>
      </c>
      <c r="P395">
        <v>0</v>
      </c>
      <c r="Q395">
        <f t="shared" si="33"/>
        <v>20</v>
      </c>
      <c r="S395" t="str">
        <f t="shared" si="34"/>
        <v>Mentally Unstable</v>
      </c>
    </row>
    <row r="396" spans="1:19" x14ac:dyDescent="0.25">
      <c r="A396">
        <v>15</v>
      </c>
      <c r="B396" t="str">
        <f t="shared" si="30"/>
        <v>Young Teenager</v>
      </c>
      <c r="C396" t="s">
        <v>19</v>
      </c>
      <c r="D396">
        <v>4.2</v>
      </c>
      <c r="E396" t="s">
        <v>23</v>
      </c>
      <c r="F396">
        <v>7.1</v>
      </c>
      <c r="G396">
        <v>2.1</v>
      </c>
      <c r="H396">
        <f t="shared" si="31"/>
        <v>6.3000000000000007</v>
      </c>
      <c r="I396">
        <v>2.21</v>
      </c>
      <c r="J396" t="str">
        <f t="shared" si="32"/>
        <v>third class</v>
      </c>
      <c r="K396">
        <v>1.8</v>
      </c>
      <c r="L396" t="s">
        <v>22</v>
      </c>
      <c r="M396">
        <v>4</v>
      </c>
      <c r="N396">
        <v>1</v>
      </c>
      <c r="O396">
        <v>3</v>
      </c>
      <c r="P396">
        <v>0</v>
      </c>
      <c r="Q396">
        <f t="shared" si="33"/>
        <v>8</v>
      </c>
      <c r="S396" t="str">
        <f t="shared" si="34"/>
        <v>Mentally Sound</v>
      </c>
    </row>
    <row r="397" spans="1:19" x14ac:dyDescent="0.25">
      <c r="A397">
        <v>19</v>
      </c>
      <c r="B397" t="str">
        <f t="shared" si="30"/>
        <v>Old Teenager</v>
      </c>
      <c r="C397" t="s">
        <v>16</v>
      </c>
      <c r="D397">
        <v>1.8</v>
      </c>
      <c r="E397" t="s">
        <v>20</v>
      </c>
      <c r="F397">
        <v>7.7</v>
      </c>
      <c r="G397">
        <v>2.2000000000000002</v>
      </c>
      <c r="H397">
        <f t="shared" si="31"/>
        <v>4</v>
      </c>
      <c r="I397">
        <v>3.77</v>
      </c>
      <c r="J397" t="str">
        <f t="shared" si="32"/>
        <v>first class</v>
      </c>
      <c r="K397">
        <v>0.3</v>
      </c>
      <c r="L397" t="s">
        <v>22</v>
      </c>
      <c r="M397">
        <v>4</v>
      </c>
      <c r="N397">
        <v>6</v>
      </c>
      <c r="O397">
        <v>7</v>
      </c>
      <c r="P397">
        <v>0</v>
      </c>
      <c r="Q397">
        <f t="shared" si="33"/>
        <v>17</v>
      </c>
      <c r="S397" t="str">
        <f t="shared" si="34"/>
        <v>Mentally Strained</v>
      </c>
    </row>
    <row r="398" spans="1:19" x14ac:dyDescent="0.25">
      <c r="A398">
        <v>17</v>
      </c>
      <c r="B398" t="str">
        <f t="shared" si="30"/>
        <v>Old Teenager</v>
      </c>
      <c r="C398" t="s">
        <v>19</v>
      </c>
      <c r="D398">
        <v>3.3</v>
      </c>
      <c r="E398" t="s">
        <v>17</v>
      </c>
      <c r="F398">
        <v>8.6</v>
      </c>
      <c r="G398">
        <v>1.1000000000000001</v>
      </c>
      <c r="H398">
        <f t="shared" si="31"/>
        <v>4.4000000000000004</v>
      </c>
      <c r="I398">
        <v>2.62</v>
      </c>
      <c r="J398" t="str">
        <f t="shared" si="32"/>
        <v>Second class lower</v>
      </c>
      <c r="K398">
        <v>0.4</v>
      </c>
      <c r="L398" t="s">
        <v>18</v>
      </c>
      <c r="M398">
        <v>4</v>
      </c>
      <c r="N398">
        <v>7</v>
      </c>
      <c r="O398">
        <v>9</v>
      </c>
      <c r="P398">
        <v>0</v>
      </c>
      <c r="Q398">
        <f t="shared" si="33"/>
        <v>20</v>
      </c>
      <c r="S398" t="str">
        <f t="shared" si="34"/>
        <v>Mentally Unstable</v>
      </c>
    </row>
    <row r="399" spans="1:19" x14ac:dyDescent="0.25">
      <c r="A399">
        <v>14</v>
      </c>
      <c r="B399" t="str">
        <f t="shared" si="30"/>
        <v>Young Teenager</v>
      </c>
      <c r="C399" t="s">
        <v>19</v>
      </c>
      <c r="D399">
        <v>1</v>
      </c>
      <c r="E399" t="s">
        <v>23</v>
      </c>
      <c r="F399">
        <v>6.6</v>
      </c>
      <c r="G399">
        <v>1.4</v>
      </c>
      <c r="H399">
        <f t="shared" si="31"/>
        <v>2.4</v>
      </c>
      <c r="I399">
        <v>2.02</v>
      </c>
      <c r="J399" t="str">
        <f t="shared" si="32"/>
        <v>third class</v>
      </c>
      <c r="K399">
        <v>1.9</v>
      </c>
      <c r="L399" t="s">
        <v>18</v>
      </c>
      <c r="M399">
        <v>6</v>
      </c>
      <c r="N399">
        <v>5</v>
      </c>
      <c r="O399">
        <v>5</v>
      </c>
      <c r="P399">
        <v>0</v>
      </c>
      <c r="Q399">
        <f t="shared" si="33"/>
        <v>16</v>
      </c>
      <c r="S399" t="str">
        <f t="shared" si="34"/>
        <v>Mentally Strained</v>
      </c>
    </row>
    <row r="400" spans="1:19" x14ac:dyDescent="0.25">
      <c r="A400">
        <v>13</v>
      </c>
      <c r="B400" t="str">
        <f t="shared" si="30"/>
        <v>Young Teenager</v>
      </c>
      <c r="C400" t="s">
        <v>19</v>
      </c>
      <c r="D400">
        <v>1.2</v>
      </c>
      <c r="E400" t="s">
        <v>20</v>
      </c>
      <c r="F400">
        <v>8</v>
      </c>
      <c r="G400">
        <v>2.8</v>
      </c>
      <c r="H400">
        <f t="shared" si="31"/>
        <v>4</v>
      </c>
      <c r="I400">
        <v>2.1800000000000002</v>
      </c>
      <c r="J400" t="str">
        <f t="shared" si="32"/>
        <v>third class</v>
      </c>
      <c r="K400">
        <v>1.1000000000000001</v>
      </c>
      <c r="L400" t="s">
        <v>21</v>
      </c>
      <c r="M400">
        <v>5</v>
      </c>
      <c r="N400">
        <v>8</v>
      </c>
      <c r="O400">
        <v>5</v>
      </c>
      <c r="P400">
        <v>0</v>
      </c>
      <c r="Q400">
        <f t="shared" si="33"/>
        <v>18</v>
      </c>
      <c r="S400" t="str">
        <f t="shared" si="34"/>
        <v>Mentally Strained</v>
      </c>
    </row>
    <row r="401" spans="1:19" x14ac:dyDescent="0.25">
      <c r="A401">
        <v>19</v>
      </c>
      <c r="B401" t="str">
        <f t="shared" si="30"/>
        <v>Old Teenager</v>
      </c>
      <c r="C401" t="s">
        <v>16</v>
      </c>
      <c r="D401">
        <v>2</v>
      </c>
      <c r="E401" t="s">
        <v>17</v>
      </c>
      <c r="F401">
        <v>4.0999999999999996</v>
      </c>
      <c r="G401">
        <v>1.3</v>
      </c>
      <c r="H401">
        <f t="shared" si="31"/>
        <v>3.3</v>
      </c>
      <c r="I401">
        <v>3.71</v>
      </c>
      <c r="J401" t="str">
        <f t="shared" si="32"/>
        <v>first class</v>
      </c>
      <c r="K401">
        <v>1.6</v>
      </c>
      <c r="L401" t="s">
        <v>18</v>
      </c>
      <c r="M401">
        <v>7</v>
      </c>
      <c r="N401">
        <v>7</v>
      </c>
      <c r="O401">
        <v>8</v>
      </c>
      <c r="P401">
        <v>0</v>
      </c>
      <c r="Q401">
        <f t="shared" si="33"/>
        <v>22</v>
      </c>
      <c r="S401" t="str">
        <f t="shared" si="34"/>
        <v>Mentally Unstable</v>
      </c>
    </row>
    <row r="402" spans="1:19" x14ac:dyDescent="0.25">
      <c r="A402">
        <v>13</v>
      </c>
      <c r="B402" t="str">
        <f t="shared" si="30"/>
        <v>Young Teenager</v>
      </c>
      <c r="C402" t="s">
        <v>19</v>
      </c>
      <c r="D402">
        <v>7.1</v>
      </c>
      <c r="E402" t="s">
        <v>23</v>
      </c>
      <c r="F402">
        <v>6.5</v>
      </c>
      <c r="G402">
        <v>1.6</v>
      </c>
      <c r="H402">
        <f t="shared" si="31"/>
        <v>8.6999999999999993</v>
      </c>
      <c r="I402">
        <v>2.0299999999999998</v>
      </c>
      <c r="J402" t="str">
        <f t="shared" si="32"/>
        <v>third class</v>
      </c>
      <c r="K402">
        <v>0.3</v>
      </c>
      <c r="L402" t="s">
        <v>22</v>
      </c>
      <c r="M402">
        <v>1</v>
      </c>
      <c r="N402">
        <v>10</v>
      </c>
      <c r="O402">
        <v>6</v>
      </c>
      <c r="P402">
        <v>0</v>
      </c>
      <c r="Q402">
        <f t="shared" si="33"/>
        <v>17</v>
      </c>
      <c r="S402" t="str">
        <f t="shared" si="34"/>
        <v>Mentally Strained</v>
      </c>
    </row>
    <row r="403" spans="1:19" x14ac:dyDescent="0.25">
      <c r="A403">
        <v>15</v>
      </c>
      <c r="B403" t="str">
        <f t="shared" si="30"/>
        <v>Young Teenager</v>
      </c>
      <c r="C403" t="s">
        <v>19</v>
      </c>
      <c r="D403">
        <v>5.5</v>
      </c>
      <c r="E403" t="s">
        <v>20</v>
      </c>
      <c r="F403">
        <v>7.8</v>
      </c>
      <c r="G403">
        <v>1.5</v>
      </c>
      <c r="H403">
        <f t="shared" si="31"/>
        <v>7</v>
      </c>
      <c r="I403">
        <v>2.79</v>
      </c>
      <c r="J403" t="str">
        <f t="shared" si="32"/>
        <v>Second class lower</v>
      </c>
      <c r="K403">
        <v>0.7</v>
      </c>
      <c r="L403" t="s">
        <v>21</v>
      </c>
      <c r="M403">
        <v>9</v>
      </c>
      <c r="N403">
        <v>10</v>
      </c>
      <c r="O403">
        <v>7</v>
      </c>
      <c r="P403">
        <v>0</v>
      </c>
      <c r="Q403">
        <f t="shared" si="33"/>
        <v>26</v>
      </c>
      <c r="S403" t="str">
        <f t="shared" si="34"/>
        <v>Mentally Unstable</v>
      </c>
    </row>
    <row r="404" spans="1:19" x14ac:dyDescent="0.25">
      <c r="A404">
        <v>17</v>
      </c>
      <c r="B404" t="str">
        <f t="shared" si="30"/>
        <v>Old Teenager</v>
      </c>
      <c r="C404" t="s">
        <v>16</v>
      </c>
      <c r="D404">
        <v>7.7</v>
      </c>
      <c r="E404" t="s">
        <v>20</v>
      </c>
      <c r="F404">
        <v>4.7</v>
      </c>
      <c r="G404">
        <v>2.8</v>
      </c>
      <c r="H404">
        <f t="shared" si="31"/>
        <v>10.5</v>
      </c>
      <c r="I404">
        <v>3.5</v>
      </c>
      <c r="J404" t="str">
        <f t="shared" si="32"/>
        <v>Second class upper</v>
      </c>
      <c r="K404">
        <v>1.5</v>
      </c>
      <c r="L404" t="s">
        <v>18</v>
      </c>
      <c r="M404">
        <v>8</v>
      </c>
      <c r="N404">
        <v>4</v>
      </c>
      <c r="O404">
        <v>8</v>
      </c>
      <c r="P404">
        <v>0</v>
      </c>
      <c r="Q404">
        <f t="shared" si="33"/>
        <v>20</v>
      </c>
      <c r="S404" t="str">
        <f t="shared" si="34"/>
        <v>Mentally Unstable</v>
      </c>
    </row>
    <row r="405" spans="1:19" x14ac:dyDescent="0.25">
      <c r="A405">
        <v>17</v>
      </c>
      <c r="B405" t="str">
        <f t="shared" si="30"/>
        <v>Old Teenager</v>
      </c>
      <c r="C405" t="s">
        <v>19</v>
      </c>
      <c r="D405">
        <v>7.6</v>
      </c>
      <c r="E405" t="s">
        <v>17</v>
      </c>
      <c r="F405">
        <v>5.9</v>
      </c>
      <c r="G405">
        <v>2</v>
      </c>
      <c r="H405">
        <f t="shared" si="31"/>
        <v>9.6</v>
      </c>
      <c r="I405">
        <v>2.52</v>
      </c>
      <c r="J405" t="str">
        <f t="shared" si="32"/>
        <v>Second class lower</v>
      </c>
      <c r="K405">
        <v>1.5</v>
      </c>
      <c r="L405" t="s">
        <v>22</v>
      </c>
      <c r="M405">
        <v>1</v>
      </c>
      <c r="N405">
        <v>5</v>
      </c>
      <c r="O405">
        <v>1</v>
      </c>
      <c r="P405">
        <v>0</v>
      </c>
      <c r="Q405">
        <f t="shared" si="33"/>
        <v>7</v>
      </c>
      <c r="S405" t="str">
        <f t="shared" si="34"/>
        <v>Mentally Sound</v>
      </c>
    </row>
    <row r="406" spans="1:19" x14ac:dyDescent="0.25">
      <c r="A406">
        <v>13</v>
      </c>
      <c r="B406" t="str">
        <f t="shared" si="30"/>
        <v>Young Teenager</v>
      </c>
      <c r="C406" t="s">
        <v>16</v>
      </c>
      <c r="D406">
        <v>8</v>
      </c>
      <c r="E406" t="s">
        <v>17</v>
      </c>
      <c r="F406">
        <v>6.9</v>
      </c>
      <c r="G406">
        <v>2.5</v>
      </c>
      <c r="H406">
        <f t="shared" si="31"/>
        <v>10.5</v>
      </c>
      <c r="I406">
        <v>2.4500000000000002</v>
      </c>
      <c r="J406" t="str">
        <f t="shared" si="32"/>
        <v>third class</v>
      </c>
      <c r="K406">
        <v>1.7</v>
      </c>
      <c r="L406" t="s">
        <v>22</v>
      </c>
      <c r="M406">
        <v>10</v>
      </c>
      <c r="N406">
        <v>1</v>
      </c>
      <c r="O406">
        <v>3</v>
      </c>
      <c r="P406">
        <v>0</v>
      </c>
      <c r="Q406">
        <f t="shared" si="33"/>
        <v>14</v>
      </c>
      <c r="S406" t="str">
        <f t="shared" si="34"/>
        <v>Mentally Strained</v>
      </c>
    </row>
    <row r="407" spans="1:19" x14ac:dyDescent="0.25">
      <c r="A407">
        <v>16</v>
      </c>
      <c r="B407" t="str">
        <f t="shared" si="30"/>
        <v>Old Teenager</v>
      </c>
      <c r="C407" t="s">
        <v>19</v>
      </c>
      <c r="D407">
        <v>4.3</v>
      </c>
      <c r="E407" t="s">
        <v>17</v>
      </c>
      <c r="F407">
        <v>6</v>
      </c>
      <c r="G407">
        <v>1.4</v>
      </c>
      <c r="H407">
        <f t="shared" si="31"/>
        <v>5.6999999999999993</v>
      </c>
      <c r="I407">
        <v>2.98</v>
      </c>
      <c r="J407" t="str">
        <f t="shared" si="32"/>
        <v>Second class lower</v>
      </c>
      <c r="K407">
        <v>1.7</v>
      </c>
      <c r="L407" t="s">
        <v>18</v>
      </c>
      <c r="M407">
        <v>8</v>
      </c>
      <c r="N407">
        <v>7</v>
      </c>
      <c r="O407">
        <v>4</v>
      </c>
      <c r="P407">
        <v>0</v>
      </c>
      <c r="Q407">
        <f t="shared" si="33"/>
        <v>19</v>
      </c>
      <c r="S407" t="str">
        <f t="shared" si="34"/>
        <v>Mentally Strained</v>
      </c>
    </row>
    <row r="408" spans="1:19" x14ac:dyDescent="0.25">
      <c r="A408">
        <v>13</v>
      </c>
      <c r="B408" t="str">
        <f t="shared" si="30"/>
        <v>Young Teenager</v>
      </c>
      <c r="C408" t="s">
        <v>16</v>
      </c>
      <c r="D408">
        <v>3.8</v>
      </c>
      <c r="E408" t="s">
        <v>23</v>
      </c>
      <c r="F408">
        <v>5.3</v>
      </c>
      <c r="G408">
        <v>2.5</v>
      </c>
      <c r="H408">
        <f t="shared" si="31"/>
        <v>6.3</v>
      </c>
      <c r="I408">
        <v>3.48</v>
      </c>
      <c r="J408" t="str">
        <f t="shared" si="32"/>
        <v>Second class upper</v>
      </c>
      <c r="K408">
        <v>1</v>
      </c>
      <c r="L408" t="s">
        <v>18</v>
      </c>
      <c r="M408">
        <v>6</v>
      </c>
      <c r="N408">
        <v>7</v>
      </c>
      <c r="O408">
        <v>7</v>
      </c>
      <c r="P408">
        <v>0</v>
      </c>
      <c r="Q408">
        <f t="shared" si="33"/>
        <v>20</v>
      </c>
      <c r="S408" t="str">
        <f t="shared" si="34"/>
        <v>Mentally Unstable</v>
      </c>
    </row>
    <row r="409" spans="1:19" x14ac:dyDescent="0.25">
      <c r="A409">
        <v>16</v>
      </c>
      <c r="B409" t="str">
        <f t="shared" si="30"/>
        <v>Old Teenager</v>
      </c>
      <c r="C409" t="s">
        <v>19</v>
      </c>
      <c r="D409">
        <v>2.9</v>
      </c>
      <c r="E409" t="s">
        <v>20</v>
      </c>
      <c r="F409">
        <v>6.3</v>
      </c>
      <c r="G409">
        <v>3</v>
      </c>
      <c r="H409">
        <f t="shared" si="31"/>
        <v>5.9</v>
      </c>
      <c r="I409">
        <v>2.6</v>
      </c>
      <c r="J409" t="str">
        <f t="shared" si="32"/>
        <v>Second class lower</v>
      </c>
      <c r="K409">
        <v>0.4</v>
      </c>
      <c r="L409" t="s">
        <v>22</v>
      </c>
      <c r="M409">
        <v>9</v>
      </c>
      <c r="N409">
        <v>7</v>
      </c>
      <c r="O409">
        <v>3</v>
      </c>
      <c r="P409">
        <v>0</v>
      </c>
      <c r="Q409">
        <f t="shared" si="33"/>
        <v>19</v>
      </c>
      <c r="S409" t="str">
        <f t="shared" si="34"/>
        <v>Mentally Strained</v>
      </c>
    </row>
    <row r="410" spans="1:19" x14ac:dyDescent="0.25">
      <c r="A410">
        <v>13</v>
      </c>
      <c r="B410" t="str">
        <f t="shared" si="30"/>
        <v>Young Teenager</v>
      </c>
      <c r="C410" t="s">
        <v>19</v>
      </c>
      <c r="D410">
        <v>5.3</v>
      </c>
      <c r="E410" t="s">
        <v>20</v>
      </c>
      <c r="F410">
        <v>6.5</v>
      </c>
      <c r="G410">
        <v>1.1000000000000001</v>
      </c>
      <c r="H410">
        <f t="shared" si="31"/>
        <v>6.4</v>
      </c>
      <c r="I410">
        <v>3.48</v>
      </c>
      <c r="J410" t="str">
        <f t="shared" si="32"/>
        <v>Second class upper</v>
      </c>
      <c r="K410">
        <v>1.8</v>
      </c>
      <c r="L410" t="s">
        <v>18</v>
      </c>
      <c r="M410">
        <v>9</v>
      </c>
      <c r="N410">
        <v>5</v>
      </c>
      <c r="O410">
        <v>4</v>
      </c>
      <c r="P410">
        <v>0</v>
      </c>
      <c r="Q410">
        <f t="shared" si="33"/>
        <v>18</v>
      </c>
      <c r="S410" t="str">
        <f t="shared" si="34"/>
        <v>Mentally Strained</v>
      </c>
    </row>
    <row r="411" spans="1:19" x14ac:dyDescent="0.25">
      <c r="A411">
        <v>15</v>
      </c>
      <c r="B411" t="str">
        <f t="shared" si="30"/>
        <v>Young Teenager</v>
      </c>
      <c r="C411" t="s">
        <v>19</v>
      </c>
      <c r="D411">
        <v>5.7</v>
      </c>
      <c r="E411" t="s">
        <v>17</v>
      </c>
      <c r="F411">
        <v>7.5</v>
      </c>
      <c r="G411">
        <v>2.4</v>
      </c>
      <c r="H411">
        <f t="shared" si="31"/>
        <v>8.1</v>
      </c>
      <c r="I411">
        <v>2.84</v>
      </c>
      <c r="J411" t="str">
        <f t="shared" si="32"/>
        <v>Second class lower</v>
      </c>
      <c r="K411">
        <v>1.3</v>
      </c>
      <c r="L411" t="s">
        <v>22</v>
      </c>
      <c r="M411">
        <v>10</v>
      </c>
      <c r="N411">
        <v>10</v>
      </c>
      <c r="O411">
        <v>2</v>
      </c>
      <c r="P411">
        <v>0</v>
      </c>
      <c r="Q411">
        <f t="shared" si="33"/>
        <v>22</v>
      </c>
      <c r="S411" t="str">
        <f t="shared" si="34"/>
        <v>Mentally Unstable</v>
      </c>
    </row>
    <row r="412" spans="1:19" x14ac:dyDescent="0.25">
      <c r="A412">
        <v>18</v>
      </c>
      <c r="B412" t="str">
        <f t="shared" si="30"/>
        <v>Old Teenager</v>
      </c>
      <c r="C412" t="s">
        <v>19</v>
      </c>
      <c r="D412">
        <v>2.8</v>
      </c>
      <c r="E412" t="s">
        <v>17</v>
      </c>
      <c r="F412">
        <v>7.4</v>
      </c>
      <c r="G412">
        <v>1</v>
      </c>
      <c r="H412">
        <f t="shared" si="31"/>
        <v>3.8</v>
      </c>
      <c r="I412">
        <v>3.73</v>
      </c>
      <c r="J412" t="str">
        <f t="shared" si="32"/>
        <v>first class</v>
      </c>
      <c r="K412">
        <v>1.9</v>
      </c>
      <c r="L412" t="s">
        <v>18</v>
      </c>
      <c r="M412">
        <v>7</v>
      </c>
      <c r="N412">
        <v>3</v>
      </c>
      <c r="O412">
        <v>6</v>
      </c>
      <c r="P412">
        <v>0</v>
      </c>
      <c r="Q412">
        <f t="shared" si="33"/>
        <v>16</v>
      </c>
      <c r="S412" t="str">
        <f t="shared" si="34"/>
        <v>Mentally Strained</v>
      </c>
    </row>
    <row r="413" spans="1:19" x14ac:dyDescent="0.25">
      <c r="A413">
        <v>15</v>
      </c>
      <c r="B413" t="str">
        <f t="shared" si="30"/>
        <v>Young Teenager</v>
      </c>
      <c r="C413" t="s">
        <v>16</v>
      </c>
      <c r="D413">
        <v>2.8</v>
      </c>
      <c r="E413" t="s">
        <v>20</v>
      </c>
      <c r="F413">
        <v>6.1</v>
      </c>
      <c r="G413">
        <v>2.9</v>
      </c>
      <c r="H413">
        <f t="shared" si="31"/>
        <v>5.6999999999999993</v>
      </c>
      <c r="I413">
        <v>2.98</v>
      </c>
      <c r="J413" t="str">
        <f t="shared" si="32"/>
        <v>Second class lower</v>
      </c>
      <c r="K413">
        <v>1.8</v>
      </c>
      <c r="L413" t="s">
        <v>22</v>
      </c>
      <c r="M413">
        <v>6</v>
      </c>
      <c r="N413">
        <v>3</v>
      </c>
      <c r="O413">
        <v>7</v>
      </c>
      <c r="P413">
        <v>0</v>
      </c>
      <c r="Q413">
        <f t="shared" si="33"/>
        <v>16</v>
      </c>
      <c r="S413" t="str">
        <f t="shared" si="34"/>
        <v>Mentally Strained</v>
      </c>
    </row>
    <row r="414" spans="1:19" x14ac:dyDescent="0.25">
      <c r="A414">
        <v>13</v>
      </c>
      <c r="B414" t="str">
        <f t="shared" si="30"/>
        <v>Young Teenager</v>
      </c>
      <c r="C414" t="s">
        <v>19</v>
      </c>
      <c r="D414">
        <v>1.1000000000000001</v>
      </c>
      <c r="E414" t="s">
        <v>17</v>
      </c>
      <c r="F414">
        <v>7</v>
      </c>
      <c r="G414">
        <v>1.9</v>
      </c>
      <c r="H414">
        <f t="shared" si="31"/>
        <v>3</v>
      </c>
      <c r="I414">
        <v>4</v>
      </c>
      <c r="J414" t="str">
        <f t="shared" si="32"/>
        <v>first class</v>
      </c>
      <c r="K414">
        <v>0.9</v>
      </c>
      <c r="L414" t="s">
        <v>22</v>
      </c>
      <c r="M414">
        <v>2</v>
      </c>
      <c r="N414">
        <v>9</v>
      </c>
      <c r="O414">
        <v>6</v>
      </c>
      <c r="P414">
        <v>0</v>
      </c>
      <c r="Q414">
        <f t="shared" si="33"/>
        <v>17</v>
      </c>
      <c r="S414" t="str">
        <f t="shared" si="34"/>
        <v>Mentally Strained</v>
      </c>
    </row>
    <row r="415" spans="1:19" x14ac:dyDescent="0.25">
      <c r="A415">
        <v>14</v>
      </c>
      <c r="B415" t="str">
        <f t="shared" si="30"/>
        <v>Young Teenager</v>
      </c>
      <c r="C415" t="s">
        <v>19</v>
      </c>
      <c r="D415">
        <v>2</v>
      </c>
      <c r="E415" t="s">
        <v>23</v>
      </c>
      <c r="F415">
        <v>5</v>
      </c>
      <c r="G415">
        <v>2.6</v>
      </c>
      <c r="H415">
        <f t="shared" si="31"/>
        <v>4.5999999999999996</v>
      </c>
      <c r="I415">
        <v>2.71</v>
      </c>
      <c r="J415" t="str">
        <f t="shared" si="32"/>
        <v>Second class lower</v>
      </c>
      <c r="K415">
        <v>2</v>
      </c>
      <c r="L415" t="s">
        <v>18</v>
      </c>
      <c r="M415">
        <v>5</v>
      </c>
      <c r="N415">
        <v>4</v>
      </c>
      <c r="O415">
        <v>3</v>
      </c>
      <c r="P415">
        <v>0</v>
      </c>
      <c r="Q415">
        <f t="shared" si="33"/>
        <v>12</v>
      </c>
      <c r="S415" t="str">
        <f t="shared" si="34"/>
        <v>Mentally Strained</v>
      </c>
    </row>
    <row r="416" spans="1:19" x14ac:dyDescent="0.25">
      <c r="A416">
        <v>16</v>
      </c>
      <c r="B416" t="str">
        <f t="shared" si="30"/>
        <v>Old Teenager</v>
      </c>
      <c r="C416" t="s">
        <v>19</v>
      </c>
      <c r="D416">
        <v>6.5</v>
      </c>
      <c r="E416" t="s">
        <v>20</v>
      </c>
      <c r="F416">
        <v>5.3</v>
      </c>
      <c r="G416">
        <v>1.8</v>
      </c>
      <c r="H416">
        <f t="shared" si="31"/>
        <v>8.3000000000000007</v>
      </c>
      <c r="I416">
        <v>2.29</v>
      </c>
      <c r="J416" t="str">
        <f t="shared" si="32"/>
        <v>third class</v>
      </c>
      <c r="K416">
        <v>0.2</v>
      </c>
      <c r="L416" t="s">
        <v>21</v>
      </c>
      <c r="M416">
        <v>4</v>
      </c>
      <c r="N416">
        <v>10</v>
      </c>
      <c r="O416">
        <v>2</v>
      </c>
      <c r="P416">
        <v>0</v>
      </c>
      <c r="Q416">
        <f t="shared" si="33"/>
        <v>16</v>
      </c>
      <c r="S416" t="str">
        <f t="shared" si="34"/>
        <v>Mentally Strained</v>
      </c>
    </row>
    <row r="417" spans="1:19" x14ac:dyDescent="0.25">
      <c r="A417">
        <v>16</v>
      </c>
      <c r="B417" t="str">
        <f t="shared" si="30"/>
        <v>Old Teenager</v>
      </c>
      <c r="C417" t="s">
        <v>19</v>
      </c>
      <c r="D417">
        <v>7.5</v>
      </c>
      <c r="E417" t="s">
        <v>20</v>
      </c>
      <c r="F417">
        <v>7.8</v>
      </c>
      <c r="G417">
        <v>1.3</v>
      </c>
      <c r="H417">
        <f t="shared" si="31"/>
        <v>8.8000000000000007</v>
      </c>
      <c r="I417">
        <v>2.73</v>
      </c>
      <c r="J417" t="str">
        <f t="shared" si="32"/>
        <v>Second class lower</v>
      </c>
      <c r="K417">
        <v>1.5</v>
      </c>
      <c r="L417" t="s">
        <v>22</v>
      </c>
      <c r="M417">
        <v>4</v>
      </c>
      <c r="N417">
        <v>5</v>
      </c>
      <c r="O417">
        <v>8</v>
      </c>
      <c r="P417">
        <v>0</v>
      </c>
      <c r="Q417">
        <f t="shared" si="33"/>
        <v>17</v>
      </c>
      <c r="S417" t="str">
        <f t="shared" si="34"/>
        <v>Mentally Strained</v>
      </c>
    </row>
    <row r="418" spans="1:19" x14ac:dyDescent="0.25">
      <c r="A418">
        <v>16</v>
      </c>
      <c r="B418" t="str">
        <f t="shared" si="30"/>
        <v>Old Teenager</v>
      </c>
      <c r="C418" t="s">
        <v>19</v>
      </c>
      <c r="D418">
        <v>3.1</v>
      </c>
      <c r="E418" t="s">
        <v>17</v>
      </c>
      <c r="F418">
        <v>7.9</v>
      </c>
      <c r="G418">
        <v>1.2</v>
      </c>
      <c r="H418">
        <f t="shared" si="31"/>
        <v>4.3</v>
      </c>
      <c r="I418">
        <v>2.85</v>
      </c>
      <c r="J418" t="str">
        <f t="shared" si="32"/>
        <v>Second class lower</v>
      </c>
      <c r="K418">
        <v>0.7</v>
      </c>
      <c r="L418" t="s">
        <v>21</v>
      </c>
      <c r="M418">
        <v>2</v>
      </c>
      <c r="N418">
        <v>2</v>
      </c>
      <c r="O418">
        <v>5</v>
      </c>
      <c r="P418">
        <v>0</v>
      </c>
      <c r="Q418">
        <f t="shared" si="33"/>
        <v>9</v>
      </c>
      <c r="S418" t="str">
        <f t="shared" si="34"/>
        <v>Mentally Sound</v>
      </c>
    </row>
    <row r="419" spans="1:19" x14ac:dyDescent="0.25">
      <c r="A419">
        <v>19</v>
      </c>
      <c r="B419" t="str">
        <f t="shared" si="30"/>
        <v>Old Teenager</v>
      </c>
      <c r="C419" t="s">
        <v>16</v>
      </c>
      <c r="D419">
        <v>5.9</v>
      </c>
      <c r="E419" t="s">
        <v>23</v>
      </c>
      <c r="F419">
        <v>7</v>
      </c>
      <c r="G419">
        <v>2.2999999999999998</v>
      </c>
      <c r="H419">
        <f t="shared" si="31"/>
        <v>8.1999999999999993</v>
      </c>
      <c r="I419">
        <v>3</v>
      </c>
      <c r="J419" t="str">
        <f t="shared" si="32"/>
        <v>Second class upper</v>
      </c>
      <c r="K419">
        <v>1.6</v>
      </c>
      <c r="L419" t="s">
        <v>18</v>
      </c>
      <c r="M419">
        <v>3</v>
      </c>
      <c r="N419">
        <v>5</v>
      </c>
      <c r="O419">
        <v>10</v>
      </c>
      <c r="P419">
        <v>0</v>
      </c>
      <c r="Q419">
        <f t="shared" si="33"/>
        <v>18</v>
      </c>
      <c r="S419" t="str">
        <f t="shared" si="34"/>
        <v>Mentally Strained</v>
      </c>
    </row>
    <row r="420" spans="1:19" x14ac:dyDescent="0.25">
      <c r="A420">
        <v>15</v>
      </c>
      <c r="B420" t="str">
        <f t="shared" si="30"/>
        <v>Young Teenager</v>
      </c>
      <c r="C420" t="s">
        <v>16</v>
      </c>
      <c r="D420">
        <v>7.9</v>
      </c>
      <c r="E420" t="s">
        <v>20</v>
      </c>
      <c r="F420">
        <v>4.0999999999999996</v>
      </c>
      <c r="G420">
        <v>0.7</v>
      </c>
      <c r="H420">
        <f t="shared" si="31"/>
        <v>8.6</v>
      </c>
      <c r="I420">
        <v>2.33</v>
      </c>
      <c r="J420" t="str">
        <f t="shared" si="32"/>
        <v>third class</v>
      </c>
      <c r="K420">
        <v>1.2</v>
      </c>
      <c r="L420" t="s">
        <v>22</v>
      </c>
      <c r="M420">
        <v>3</v>
      </c>
      <c r="N420">
        <v>8</v>
      </c>
      <c r="O420">
        <v>1</v>
      </c>
      <c r="P420">
        <v>0</v>
      </c>
      <c r="Q420">
        <f t="shared" si="33"/>
        <v>12</v>
      </c>
      <c r="S420" t="str">
        <f t="shared" si="34"/>
        <v>Mentally Strained</v>
      </c>
    </row>
    <row r="421" spans="1:19" x14ac:dyDescent="0.25">
      <c r="A421">
        <v>15</v>
      </c>
      <c r="B421" t="str">
        <f t="shared" si="30"/>
        <v>Young Teenager</v>
      </c>
      <c r="C421" t="s">
        <v>16</v>
      </c>
      <c r="D421">
        <v>5.0999999999999996</v>
      </c>
      <c r="E421" t="s">
        <v>17</v>
      </c>
      <c r="F421">
        <v>7.4</v>
      </c>
      <c r="G421">
        <v>0.7</v>
      </c>
      <c r="H421">
        <f t="shared" si="31"/>
        <v>5.8</v>
      </c>
      <c r="I421">
        <v>2.64</v>
      </c>
      <c r="J421" t="str">
        <f t="shared" si="32"/>
        <v>Second class lower</v>
      </c>
      <c r="K421">
        <v>0.2</v>
      </c>
      <c r="L421" t="s">
        <v>22</v>
      </c>
      <c r="M421">
        <v>5</v>
      </c>
      <c r="N421">
        <v>8</v>
      </c>
      <c r="O421">
        <v>1</v>
      </c>
      <c r="P421">
        <v>0</v>
      </c>
      <c r="Q421">
        <f t="shared" si="33"/>
        <v>14</v>
      </c>
      <c r="S421" t="str">
        <f t="shared" si="34"/>
        <v>Mentally Strained</v>
      </c>
    </row>
    <row r="422" spans="1:19" x14ac:dyDescent="0.25">
      <c r="A422">
        <v>16</v>
      </c>
      <c r="B422" t="str">
        <f t="shared" si="30"/>
        <v>Old Teenager</v>
      </c>
      <c r="C422" t="s">
        <v>16</v>
      </c>
      <c r="D422">
        <v>1.9</v>
      </c>
      <c r="E422" t="s">
        <v>23</v>
      </c>
      <c r="F422">
        <v>5.8</v>
      </c>
      <c r="G422">
        <v>2.1</v>
      </c>
      <c r="H422">
        <f t="shared" si="31"/>
        <v>4</v>
      </c>
      <c r="I422">
        <v>2.27</v>
      </c>
      <c r="J422" t="str">
        <f t="shared" si="32"/>
        <v>third class</v>
      </c>
      <c r="K422">
        <v>0.6</v>
      </c>
      <c r="L422" t="s">
        <v>22</v>
      </c>
      <c r="M422">
        <v>3</v>
      </c>
      <c r="N422">
        <v>3</v>
      </c>
      <c r="O422">
        <v>2</v>
      </c>
      <c r="P422">
        <v>0</v>
      </c>
      <c r="Q422">
        <f t="shared" si="33"/>
        <v>8</v>
      </c>
      <c r="S422" t="str">
        <f t="shared" si="34"/>
        <v>Mentally Sound</v>
      </c>
    </row>
    <row r="423" spans="1:19" x14ac:dyDescent="0.25">
      <c r="A423">
        <v>17</v>
      </c>
      <c r="B423" t="str">
        <f t="shared" si="30"/>
        <v>Old Teenager</v>
      </c>
      <c r="C423" t="s">
        <v>16</v>
      </c>
      <c r="D423">
        <v>8</v>
      </c>
      <c r="E423" t="s">
        <v>17</v>
      </c>
      <c r="F423">
        <v>8.6999999999999993</v>
      </c>
      <c r="G423">
        <v>1.5</v>
      </c>
      <c r="H423">
        <f t="shared" si="31"/>
        <v>9.5</v>
      </c>
      <c r="I423">
        <v>3.7</v>
      </c>
      <c r="J423" t="str">
        <f t="shared" si="32"/>
        <v>first class</v>
      </c>
      <c r="K423">
        <v>2</v>
      </c>
      <c r="L423" t="s">
        <v>21</v>
      </c>
      <c r="M423">
        <v>10</v>
      </c>
      <c r="N423">
        <v>9</v>
      </c>
      <c r="O423">
        <v>5</v>
      </c>
      <c r="P423">
        <v>0</v>
      </c>
      <c r="Q423">
        <f t="shared" si="33"/>
        <v>24</v>
      </c>
      <c r="S423" t="str">
        <f t="shared" si="34"/>
        <v>Mentally Unstable</v>
      </c>
    </row>
    <row r="424" spans="1:19" x14ac:dyDescent="0.25">
      <c r="A424">
        <v>19</v>
      </c>
      <c r="B424" t="str">
        <f t="shared" si="30"/>
        <v>Old Teenager</v>
      </c>
      <c r="C424" t="s">
        <v>16</v>
      </c>
      <c r="D424">
        <v>2.9</v>
      </c>
      <c r="E424" t="s">
        <v>23</v>
      </c>
      <c r="F424">
        <v>4</v>
      </c>
      <c r="G424">
        <v>0.5</v>
      </c>
      <c r="H424">
        <f t="shared" si="31"/>
        <v>3.4</v>
      </c>
      <c r="I424">
        <v>3.16</v>
      </c>
      <c r="J424" t="str">
        <f t="shared" si="32"/>
        <v>Second class upper</v>
      </c>
      <c r="K424">
        <v>0.2</v>
      </c>
      <c r="L424" t="s">
        <v>21</v>
      </c>
      <c r="M424">
        <v>7</v>
      </c>
      <c r="N424">
        <v>6</v>
      </c>
      <c r="O424">
        <v>3</v>
      </c>
      <c r="P424">
        <v>0</v>
      </c>
      <c r="Q424">
        <f t="shared" si="33"/>
        <v>16</v>
      </c>
      <c r="S424" t="str">
        <f t="shared" si="34"/>
        <v>Mentally Strained</v>
      </c>
    </row>
    <row r="425" spans="1:19" x14ac:dyDescent="0.25">
      <c r="A425">
        <v>14</v>
      </c>
      <c r="B425" t="str">
        <f t="shared" si="30"/>
        <v>Young Teenager</v>
      </c>
      <c r="C425" t="s">
        <v>16</v>
      </c>
      <c r="D425">
        <v>4.3</v>
      </c>
      <c r="E425" t="s">
        <v>17</v>
      </c>
      <c r="F425">
        <v>8.4</v>
      </c>
      <c r="G425">
        <v>0.9</v>
      </c>
      <c r="H425">
        <f t="shared" si="31"/>
        <v>5.2</v>
      </c>
      <c r="I425">
        <v>3.2</v>
      </c>
      <c r="J425" t="str">
        <f t="shared" si="32"/>
        <v>Second class upper</v>
      </c>
      <c r="K425">
        <v>1.6</v>
      </c>
      <c r="L425" t="s">
        <v>21</v>
      </c>
      <c r="M425">
        <v>10</v>
      </c>
      <c r="N425">
        <v>10</v>
      </c>
      <c r="O425">
        <v>1</v>
      </c>
      <c r="P425">
        <v>0</v>
      </c>
      <c r="Q425">
        <f t="shared" si="33"/>
        <v>21</v>
      </c>
      <c r="S425" t="str">
        <f t="shared" si="34"/>
        <v>Mentally Unstable</v>
      </c>
    </row>
    <row r="426" spans="1:19" x14ac:dyDescent="0.25">
      <c r="A426">
        <v>16</v>
      </c>
      <c r="B426" t="str">
        <f t="shared" si="30"/>
        <v>Old Teenager</v>
      </c>
      <c r="C426" t="s">
        <v>16</v>
      </c>
      <c r="D426">
        <v>1.1000000000000001</v>
      </c>
      <c r="E426" t="s">
        <v>17</v>
      </c>
      <c r="F426">
        <v>6.4</v>
      </c>
      <c r="G426">
        <v>3</v>
      </c>
      <c r="H426">
        <f t="shared" si="31"/>
        <v>4.0999999999999996</v>
      </c>
      <c r="I426">
        <v>2.5099999999999998</v>
      </c>
      <c r="J426" t="str">
        <f t="shared" si="32"/>
        <v>Second class lower</v>
      </c>
      <c r="K426">
        <v>0.1</v>
      </c>
      <c r="L426" t="s">
        <v>22</v>
      </c>
      <c r="M426">
        <v>8</v>
      </c>
      <c r="N426">
        <v>6</v>
      </c>
      <c r="O426">
        <v>9</v>
      </c>
      <c r="P426">
        <v>0</v>
      </c>
      <c r="Q426">
        <f t="shared" si="33"/>
        <v>23</v>
      </c>
      <c r="S426" t="str">
        <f t="shared" si="34"/>
        <v>Mentally Unstable</v>
      </c>
    </row>
    <row r="427" spans="1:19" x14ac:dyDescent="0.25">
      <c r="A427">
        <v>16</v>
      </c>
      <c r="B427" t="str">
        <f t="shared" si="30"/>
        <v>Old Teenager</v>
      </c>
      <c r="C427" t="s">
        <v>16</v>
      </c>
      <c r="D427">
        <v>4.9000000000000004</v>
      </c>
      <c r="E427" t="s">
        <v>17</v>
      </c>
      <c r="F427">
        <v>5.7</v>
      </c>
      <c r="G427">
        <v>1.2</v>
      </c>
      <c r="H427">
        <f t="shared" si="31"/>
        <v>6.1000000000000005</v>
      </c>
      <c r="I427">
        <v>2.0699999999999998</v>
      </c>
      <c r="J427" t="str">
        <f t="shared" si="32"/>
        <v>third class</v>
      </c>
      <c r="K427">
        <v>0.1</v>
      </c>
      <c r="L427" t="s">
        <v>22</v>
      </c>
      <c r="M427">
        <v>8</v>
      </c>
      <c r="N427">
        <v>2</v>
      </c>
      <c r="O427">
        <v>1</v>
      </c>
      <c r="P427">
        <v>0</v>
      </c>
      <c r="Q427">
        <f t="shared" si="33"/>
        <v>11</v>
      </c>
      <c r="S427" t="str">
        <f t="shared" si="34"/>
        <v>Mentally Strained</v>
      </c>
    </row>
    <row r="428" spans="1:19" x14ac:dyDescent="0.25">
      <c r="A428">
        <v>14</v>
      </c>
      <c r="B428" t="str">
        <f t="shared" si="30"/>
        <v>Young Teenager</v>
      </c>
      <c r="C428" t="s">
        <v>16</v>
      </c>
      <c r="D428">
        <v>6.1</v>
      </c>
      <c r="E428" t="s">
        <v>23</v>
      </c>
      <c r="F428">
        <v>7.6</v>
      </c>
      <c r="G428">
        <v>1.4</v>
      </c>
      <c r="H428">
        <f t="shared" si="31"/>
        <v>7.5</v>
      </c>
      <c r="I428">
        <v>2.72</v>
      </c>
      <c r="J428" t="str">
        <f t="shared" si="32"/>
        <v>Second class lower</v>
      </c>
      <c r="K428">
        <v>0.9</v>
      </c>
      <c r="L428" t="s">
        <v>18</v>
      </c>
      <c r="M428">
        <v>9</v>
      </c>
      <c r="N428">
        <v>3</v>
      </c>
      <c r="O428">
        <v>3</v>
      </c>
      <c r="P428">
        <v>0</v>
      </c>
      <c r="Q428">
        <f t="shared" si="33"/>
        <v>15</v>
      </c>
      <c r="S428" t="str">
        <f t="shared" si="34"/>
        <v>Mentally Strained</v>
      </c>
    </row>
    <row r="429" spans="1:19" x14ac:dyDescent="0.25">
      <c r="A429">
        <v>15</v>
      </c>
      <c r="B429" t="str">
        <f t="shared" si="30"/>
        <v>Young Teenager</v>
      </c>
      <c r="C429" t="s">
        <v>19</v>
      </c>
      <c r="D429">
        <v>2.7</v>
      </c>
      <c r="E429" t="s">
        <v>23</v>
      </c>
      <c r="F429">
        <v>6.5</v>
      </c>
      <c r="G429">
        <v>1.6</v>
      </c>
      <c r="H429">
        <f t="shared" si="31"/>
        <v>4.3000000000000007</v>
      </c>
      <c r="I429">
        <v>2.14</v>
      </c>
      <c r="J429" t="str">
        <f t="shared" si="32"/>
        <v>third class</v>
      </c>
      <c r="K429">
        <v>0.4</v>
      </c>
      <c r="L429" t="s">
        <v>21</v>
      </c>
      <c r="M429">
        <v>6</v>
      </c>
      <c r="N429">
        <v>6</v>
      </c>
      <c r="O429">
        <v>6</v>
      </c>
      <c r="P429">
        <v>0</v>
      </c>
      <c r="Q429">
        <f t="shared" si="33"/>
        <v>18</v>
      </c>
      <c r="S429" t="str">
        <f t="shared" si="34"/>
        <v>Mentally Strained</v>
      </c>
    </row>
    <row r="430" spans="1:19" x14ac:dyDescent="0.25">
      <c r="A430">
        <v>16</v>
      </c>
      <c r="B430" t="str">
        <f t="shared" si="30"/>
        <v>Old Teenager</v>
      </c>
      <c r="C430" t="s">
        <v>19</v>
      </c>
      <c r="D430">
        <v>7.8</v>
      </c>
      <c r="E430" t="s">
        <v>23</v>
      </c>
      <c r="F430">
        <v>7.4</v>
      </c>
      <c r="G430">
        <v>0.7</v>
      </c>
      <c r="H430">
        <f t="shared" si="31"/>
        <v>8.5</v>
      </c>
      <c r="I430">
        <v>2.54</v>
      </c>
      <c r="J430" t="str">
        <f t="shared" si="32"/>
        <v>Second class lower</v>
      </c>
      <c r="K430">
        <v>1.2</v>
      </c>
      <c r="L430" t="s">
        <v>22</v>
      </c>
      <c r="M430">
        <v>10</v>
      </c>
      <c r="N430">
        <v>4</v>
      </c>
      <c r="O430">
        <v>9</v>
      </c>
      <c r="P430">
        <v>0</v>
      </c>
      <c r="Q430">
        <f t="shared" si="33"/>
        <v>23</v>
      </c>
      <c r="S430" t="str">
        <f t="shared" si="34"/>
        <v>Mentally Unstable</v>
      </c>
    </row>
    <row r="431" spans="1:19" x14ac:dyDescent="0.25">
      <c r="A431">
        <v>18</v>
      </c>
      <c r="B431" t="str">
        <f t="shared" si="30"/>
        <v>Old Teenager</v>
      </c>
      <c r="C431" t="s">
        <v>16</v>
      </c>
      <c r="D431">
        <v>4.2</v>
      </c>
      <c r="E431" t="s">
        <v>20</v>
      </c>
      <c r="F431">
        <v>6.5</v>
      </c>
      <c r="G431">
        <v>1.4</v>
      </c>
      <c r="H431">
        <f t="shared" si="31"/>
        <v>5.6</v>
      </c>
      <c r="I431">
        <v>2.91</v>
      </c>
      <c r="J431" t="str">
        <f t="shared" si="32"/>
        <v>Second class lower</v>
      </c>
      <c r="K431">
        <v>1.5</v>
      </c>
      <c r="L431" t="s">
        <v>18</v>
      </c>
      <c r="M431">
        <v>5</v>
      </c>
      <c r="N431">
        <v>6</v>
      </c>
      <c r="O431">
        <v>4</v>
      </c>
      <c r="P431">
        <v>0</v>
      </c>
      <c r="Q431">
        <f t="shared" si="33"/>
        <v>15</v>
      </c>
      <c r="S431" t="str">
        <f t="shared" si="34"/>
        <v>Mentally Strained</v>
      </c>
    </row>
    <row r="432" spans="1:19" x14ac:dyDescent="0.25">
      <c r="A432">
        <v>13</v>
      </c>
      <c r="B432" t="str">
        <f t="shared" si="30"/>
        <v>Young Teenager</v>
      </c>
      <c r="C432" t="s">
        <v>19</v>
      </c>
      <c r="D432">
        <v>4.4000000000000004</v>
      </c>
      <c r="E432" t="s">
        <v>17</v>
      </c>
      <c r="F432">
        <v>5.5</v>
      </c>
      <c r="G432">
        <v>2.7</v>
      </c>
      <c r="H432">
        <f t="shared" si="31"/>
        <v>7.1000000000000005</v>
      </c>
      <c r="I432">
        <v>3.17</v>
      </c>
      <c r="J432" t="str">
        <f t="shared" si="32"/>
        <v>Second class upper</v>
      </c>
      <c r="K432">
        <v>0.3</v>
      </c>
      <c r="L432" t="s">
        <v>18</v>
      </c>
      <c r="M432">
        <v>5</v>
      </c>
      <c r="N432">
        <v>1</v>
      </c>
      <c r="O432">
        <v>5</v>
      </c>
      <c r="P432">
        <v>0</v>
      </c>
      <c r="Q432">
        <f t="shared" si="33"/>
        <v>11</v>
      </c>
      <c r="S432" t="str">
        <f t="shared" si="34"/>
        <v>Mentally Strained</v>
      </c>
    </row>
    <row r="433" spans="1:19" x14ac:dyDescent="0.25">
      <c r="A433">
        <v>13</v>
      </c>
      <c r="B433" t="str">
        <f t="shared" si="30"/>
        <v>Young Teenager</v>
      </c>
      <c r="C433" t="s">
        <v>19</v>
      </c>
      <c r="D433">
        <v>1.4</v>
      </c>
      <c r="E433" t="s">
        <v>23</v>
      </c>
      <c r="F433">
        <v>7.8</v>
      </c>
      <c r="G433">
        <v>0.6</v>
      </c>
      <c r="H433">
        <f t="shared" si="31"/>
        <v>2</v>
      </c>
      <c r="I433">
        <v>3.42</v>
      </c>
      <c r="J433" t="str">
        <f t="shared" si="32"/>
        <v>Second class upper</v>
      </c>
      <c r="K433">
        <v>1.6</v>
      </c>
      <c r="L433" t="s">
        <v>22</v>
      </c>
      <c r="M433">
        <v>10</v>
      </c>
      <c r="N433">
        <v>4</v>
      </c>
      <c r="O433">
        <v>6</v>
      </c>
      <c r="P433">
        <v>0</v>
      </c>
      <c r="Q433">
        <f t="shared" si="33"/>
        <v>20</v>
      </c>
      <c r="S433" t="str">
        <f t="shared" si="34"/>
        <v>Mentally Unstable</v>
      </c>
    </row>
    <row r="434" spans="1:19" x14ac:dyDescent="0.25">
      <c r="A434">
        <v>17</v>
      </c>
      <c r="B434" t="str">
        <f t="shared" si="30"/>
        <v>Old Teenager</v>
      </c>
      <c r="C434" t="s">
        <v>16</v>
      </c>
      <c r="D434">
        <v>3.7</v>
      </c>
      <c r="E434" t="s">
        <v>20</v>
      </c>
      <c r="F434">
        <v>7.2</v>
      </c>
      <c r="G434">
        <v>0.6</v>
      </c>
      <c r="H434">
        <f t="shared" si="31"/>
        <v>4.3</v>
      </c>
      <c r="I434">
        <v>3.34</v>
      </c>
      <c r="J434" t="str">
        <f t="shared" si="32"/>
        <v>Second class upper</v>
      </c>
      <c r="K434">
        <v>1.8</v>
      </c>
      <c r="L434" t="s">
        <v>21</v>
      </c>
      <c r="M434">
        <v>2</v>
      </c>
      <c r="N434">
        <v>6</v>
      </c>
      <c r="O434">
        <v>2</v>
      </c>
      <c r="P434">
        <v>0</v>
      </c>
      <c r="Q434">
        <f t="shared" si="33"/>
        <v>10</v>
      </c>
      <c r="S434" t="str">
        <f t="shared" si="34"/>
        <v>Mentally Strained</v>
      </c>
    </row>
    <row r="435" spans="1:19" x14ac:dyDescent="0.25">
      <c r="A435">
        <v>14</v>
      </c>
      <c r="B435" t="str">
        <f t="shared" si="30"/>
        <v>Young Teenager</v>
      </c>
      <c r="C435" t="s">
        <v>16</v>
      </c>
      <c r="D435">
        <v>3.8</v>
      </c>
      <c r="E435" t="s">
        <v>17</v>
      </c>
      <c r="F435">
        <v>8.9</v>
      </c>
      <c r="G435">
        <v>1.9</v>
      </c>
      <c r="H435">
        <f t="shared" si="31"/>
        <v>5.6999999999999993</v>
      </c>
      <c r="I435">
        <v>2.77</v>
      </c>
      <c r="J435" t="str">
        <f t="shared" si="32"/>
        <v>Second class lower</v>
      </c>
      <c r="K435">
        <v>0.2</v>
      </c>
      <c r="L435" t="s">
        <v>22</v>
      </c>
      <c r="M435">
        <v>6</v>
      </c>
      <c r="N435">
        <v>2</v>
      </c>
      <c r="O435">
        <v>2</v>
      </c>
      <c r="P435">
        <v>0</v>
      </c>
      <c r="Q435">
        <f t="shared" si="33"/>
        <v>10</v>
      </c>
      <c r="S435" t="str">
        <f t="shared" si="34"/>
        <v>Mentally Strained</v>
      </c>
    </row>
    <row r="436" spans="1:19" x14ac:dyDescent="0.25">
      <c r="A436">
        <v>15</v>
      </c>
      <c r="B436" t="str">
        <f t="shared" si="30"/>
        <v>Young Teenager</v>
      </c>
      <c r="C436" t="s">
        <v>19</v>
      </c>
      <c r="D436">
        <v>5.4</v>
      </c>
      <c r="E436" t="s">
        <v>20</v>
      </c>
      <c r="F436">
        <v>7</v>
      </c>
      <c r="G436">
        <v>1.8</v>
      </c>
      <c r="H436">
        <f t="shared" si="31"/>
        <v>7.2</v>
      </c>
      <c r="I436">
        <v>2.54</v>
      </c>
      <c r="J436" t="str">
        <f t="shared" si="32"/>
        <v>Second class lower</v>
      </c>
      <c r="K436">
        <v>0.1</v>
      </c>
      <c r="L436" t="s">
        <v>18</v>
      </c>
      <c r="M436">
        <v>1</v>
      </c>
      <c r="N436">
        <v>4</v>
      </c>
      <c r="O436">
        <v>4</v>
      </c>
      <c r="P436">
        <v>0</v>
      </c>
      <c r="Q436">
        <f t="shared" si="33"/>
        <v>9</v>
      </c>
      <c r="S436" t="str">
        <f t="shared" si="34"/>
        <v>Mentally Sound</v>
      </c>
    </row>
    <row r="437" spans="1:19" x14ac:dyDescent="0.25">
      <c r="A437">
        <v>17</v>
      </c>
      <c r="B437" t="str">
        <f t="shared" si="30"/>
        <v>Old Teenager</v>
      </c>
      <c r="C437" t="s">
        <v>16</v>
      </c>
      <c r="D437">
        <v>4</v>
      </c>
      <c r="E437" t="s">
        <v>23</v>
      </c>
      <c r="F437">
        <v>4.3</v>
      </c>
      <c r="G437">
        <v>1.8</v>
      </c>
      <c r="H437">
        <f t="shared" si="31"/>
        <v>5.8</v>
      </c>
      <c r="I437">
        <v>2.17</v>
      </c>
      <c r="J437" t="str">
        <f t="shared" si="32"/>
        <v>third class</v>
      </c>
      <c r="K437">
        <v>0.9</v>
      </c>
      <c r="L437" t="s">
        <v>21</v>
      </c>
      <c r="M437">
        <v>8</v>
      </c>
      <c r="N437">
        <v>8</v>
      </c>
      <c r="O437">
        <v>3</v>
      </c>
      <c r="P437">
        <v>0</v>
      </c>
      <c r="Q437">
        <f t="shared" si="33"/>
        <v>19</v>
      </c>
      <c r="S437" t="str">
        <f t="shared" si="34"/>
        <v>Mentally Strained</v>
      </c>
    </row>
    <row r="438" spans="1:19" x14ac:dyDescent="0.25">
      <c r="A438">
        <v>19</v>
      </c>
      <c r="B438" t="str">
        <f t="shared" si="30"/>
        <v>Old Teenager</v>
      </c>
      <c r="C438" t="s">
        <v>16</v>
      </c>
      <c r="D438">
        <v>3.5</v>
      </c>
      <c r="E438" t="s">
        <v>20</v>
      </c>
      <c r="F438">
        <v>5.8</v>
      </c>
      <c r="G438">
        <v>1.8</v>
      </c>
      <c r="H438">
        <f t="shared" si="31"/>
        <v>5.3</v>
      </c>
      <c r="I438">
        <v>3.3</v>
      </c>
      <c r="J438" t="str">
        <f t="shared" si="32"/>
        <v>Second class upper</v>
      </c>
      <c r="K438">
        <v>0.9</v>
      </c>
      <c r="L438" t="s">
        <v>18</v>
      </c>
      <c r="M438">
        <v>7</v>
      </c>
      <c r="N438">
        <v>6</v>
      </c>
      <c r="O438">
        <v>9</v>
      </c>
      <c r="P438">
        <v>0</v>
      </c>
      <c r="Q438">
        <f t="shared" si="33"/>
        <v>22</v>
      </c>
      <c r="S438" t="str">
        <f t="shared" si="34"/>
        <v>Mentally Unstable</v>
      </c>
    </row>
    <row r="439" spans="1:19" x14ac:dyDescent="0.25">
      <c r="A439">
        <v>17</v>
      </c>
      <c r="B439" t="str">
        <f t="shared" si="30"/>
        <v>Old Teenager</v>
      </c>
      <c r="C439" t="s">
        <v>16</v>
      </c>
      <c r="D439">
        <v>1.3</v>
      </c>
      <c r="E439" t="s">
        <v>23</v>
      </c>
      <c r="F439">
        <v>8.3000000000000007</v>
      </c>
      <c r="G439">
        <v>1</v>
      </c>
      <c r="H439">
        <f t="shared" si="31"/>
        <v>2.2999999999999998</v>
      </c>
      <c r="I439">
        <v>3.95</v>
      </c>
      <c r="J439" t="str">
        <f t="shared" si="32"/>
        <v>first class</v>
      </c>
      <c r="K439">
        <v>1.2</v>
      </c>
      <c r="L439" t="s">
        <v>22</v>
      </c>
      <c r="M439">
        <v>4</v>
      </c>
      <c r="N439">
        <v>1</v>
      </c>
      <c r="O439">
        <v>1</v>
      </c>
      <c r="P439">
        <v>0</v>
      </c>
      <c r="Q439">
        <f t="shared" si="33"/>
        <v>6</v>
      </c>
      <c r="S439" t="str">
        <f t="shared" si="34"/>
        <v>Mentally Sound</v>
      </c>
    </row>
    <row r="440" spans="1:19" x14ac:dyDescent="0.25">
      <c r="A440">
        <v>14</v>
      </c>
      <c r="B440" t="str">
        <f t="shared" si="30"/>
        <v>Young Teenager</v>
      </c>
      <c r="C440" t="s">
        <v>16</v>
      </c>
      <c r="D440">
        <v>5.6</v>
      </c>
      <c r="E440" t="s">
        <v>17</v>
      </c>
      <c r="F440">
        <v>8.8000000000000007</v>
      </c>
      <c r="G440">
        <v>0.9</v>
      </c>
      <c r="H440">
        <f t="shared" si="31"/>
        <v>6.5</v>
      </c>
      <c r="I440">
        <v>3.03</v>
      </c>
      <c r="J440" t="str">
        <f t="shared" si="32"/>
        <v>Second class upper</v>
      </c>
      <c r="K440">
        <v>2</v>
      </c>
      <c r="L440" t="s">
        <v>18</v>
      </c>
      <c r="M440">
        <v>8</v>
      </c>
      <c r="N440">
        <v>10</v>
      </c>
      <c r="O440">
        <v>3</v>
      </c>
      <c r="P440">
        <v>0</v>
      </c>
      <c r="Q440">
        <f t="shared" si="33"/>
        <v>21</v>
      </c>
      <c r="S440" t="str">
        <f t="shared" si="34"/>
        <v>Mentally Unstable</v>
      </c>
    </row>
    <row r="441" spans="1:19" x14ac:dyDescent="0.25">
      <c r="A441">
        <v>13</v>
      </c>
      <c r="B441" t="str">
        <f t="shared" si="30"/>
        <v>Young Teenager</v>
      </c>
      <c r="C441" t="s">
        <v>19</v>
      </c>
      <c r="D441">
        <v>2.4</v>
      </c>
      <c r="E441" t="s">
        <v>17</v>
      </c>
      <c r="F441">
        <v>5.5</v>
      </c>
      <c r="G441">
        <v>0.6</v>
      </c>
      <c r="H441">
        <f t="shared" si="31"/>
        <v>3</v>
      </c>
      <c r="I441">
        <v>3.56</v>
      </c>
      <c r="J441" t="str">
        <f t="shared" si="32"/>
        <v>Second class upper</v>
      </c>
      <c r="K441">
        <v>1.6</v>
      </c>
      <c r="L441" t="s">
        <v>22</v>
      </c>
      <c r="M441">
        <v>4</v>
      </c>
      <c r="N441">
        <v>8</v>
      </c>
      <c r="O441">
        <v>7</v>
      </c>
      <c r="P441">
        <v>0</v>
      </c>
      <c r="Q441">
        <f t="shared" si="33"/>
        <v>19</v>
      </c>
      <c r="S441" t="str">
        <f t="shared" si="34"/>
        <v>Mentally Strained</v>
      </c>
    </row>
    <row r="442" spans="1:19" x14ac:dyDescent="0.25">
      <c r="A442">
        <v>16</v>
      </c>
      <c r="B442" t="str">
        <f t="shared" si="30"/>
        <v>Old Teenager</v>
      </c>
      <c r="C442" t="s">
        <v>16</v>
      </c>
      <c r="D442">
        <v>2</v>
      </c>
      <c r="E442" t="s">
        <v>23</v>
      </c>
      <c r="F442">
        <v>7.8</v>
      </c>
      <c r="G442">
        <v>2.8</v>
      </c>
      <c r="H442">
        <f t="shared" si="31"/>
        <v>4.8</v>
      </c>
      <c r="I442">
        <v>2.1</v>
      </c>
      <c r="J442" t="str">
        <f t="shared" si="32"/>
        <v>third class</v>
      </c>
      <c r="K442">
        <v>0.6</v>
      </c>
      <c r="L442" t="s">
        <v>22</v>
      </c>
      <c r="M442">
        <v>2</v>
      </c>
      <c r="N442">
        <v>6</v>
      </c>
      <c r="O442">
        <v>8</v>
      </c>
      <c r="P442">
        <v>0</v>
      </c>
      <c r="Q442">
        <f t="shared" si="33"/>
        <v>16</v>
      </c>
      <c r="S442" t="str">
        <f t="shared" si="34"/>
        <v>Mentally Strained</v>
      </c>
    </row>
    <row r="443" spans="1:19" x14ac:dyDescent="0.25">
      <c r="A443">
        <v>15</v>
      </c>
      <c r="B443" t="str">
        <f t="shared" si="30"/>
        <v>Young Teenager</v>
      </c>
      <c r="C443" t="s">
        <v>16</v>
      </c>
      <c r="D443">
        <v>6.6</v>
      </c>
      <c r="E443" t="s">
        <v>17</v>
      </c>
      <c r="F443">
        <v>8.6</v>
      </c>
      <c r="G443">
        <v>1.5</v>
      </c>
      <c r="H443">
        <f t="shared" si="31"/>
        <v>8.1</v>
      </c>
      <c r="I443">
        <v>2.63</v>
      </c>
      <c r="J443" t="str">
        <f t="shared" si="32"/>
        <v>Second class lower</v>
      </c>
      <c r="K443">
        <v>1.1000000000000001</v>
      </c>
      <c r="L443" t="s">
        <v>18</v>
      </c>
      <c r="M443">
        <v>1</v>
      </c>
      <c r="N443">
        <v>9</v>
      </c>
      <c r="O443">
        <v>9</v>
      </c>
      <c r="P443">
        <v>0</v>
      </c>
      <c r="Q443">
        <f t="shared" si="33"/>
        <v>19</v>
      </c>
      <c r="S443" t="str">
        <f t="shared" si="34"/>
        <v>Mentally Strained</v>
      </c>
    </row>
    <row r="444" spans="1:19" x14ac:dyDescent="0.25">
      <c r="A444">
        <v>17</v>
      </c>
      <c r="B444" t="str">
        <f t="shared" si="30"/>
        <v>Old Teenager</v>
      </c>
      <c r="C444" t="s">
        <v>19</v>
      </c>
      <c r="D444">
        <v>2.2999999999999998</v>
      </c>
      <c r="E444" t="s">
        <v>20</v>
      </c>
      <c r="F444">
        <v>6.4</v>
      </c>
      <c r="G444">
        <v>2.4</v>
      </c>
      <c r="H444">
        <f t="shared" si="31"/>
        <v>4.6999999999999993</v>
      </c>
      <c r="I444">
        <v>3.61</v>
      </c>
      <c r="J444" t="str">
        <f t="shared" si="32"/>
        <v>first class</v>
      </c>
      <c r="K444">
        <v>0.6</v>
      </c>
      <c r="L444" t="s">
        <v>22</v>
      </c>
      <c r="M444">
        <v>2</v>
      </c>
      <c r="N444">
        <v>1</v>
      </c>
      <c r="O444">
        <v>1</v>
      </c>
      <c r="P444">
        <v>0</v>
      </c>
      <c r="Q444">
        <f t="shared" si="33"/>
        <v>4</v>
      </c>
      <c r="S444" t="str">
        <f t="shared" si="34"/>
        <v>Mentally Sound</v>
      </c>
    </row>
    <row r="445" spans="1:19" x14ac:dyDescent="0.25">
      <c r="A445">
        <v>16</v>
      </c>
      <c r="B445" t="str">
        <f t="shared" si="30"/>
        <v>Old Teenager</v>
      </c>
      <c r="C445" t="s">
        <v>16</v>
      </c>
      <c r="D445">
        <v>6.4</v>
      </c>
      <c r="E445" t="s">
        <v>20</v>
      </c>
      <c r="F445">
        <v>5.4</v>
      </c>
      <c r="G445">
        <v>1.4</v>
      </c>
      <c r="H445">
        <f t="shared" si="31"/>
        <v>7.8000000000000007</v>
      </c>
      <c r="I445">
        <v>2.42</v>
      </c>
      <c r="J445" t="str">
        <f t="shared" si="32"/>
        <v>third class</v>
      </c>
      <c r="K445">
        <v>1.9</v>
      </c>
      <c r="L445" t="s">
        <v>22</v>
      </c>
      <c r="M445">
        <v>4</v>
      </c>
      <c r="N445">
        <v>9</v>
      </c>
      <c r="O445">
        <v>5</v>
      </c>
      <c r="P445">
        <v>0</v>
      </c>
      <c r="Q445">
        <f t="shared" si="33"/>
        <v>18</v>
      </c>
      <c r="S445" t="str">
        <f t="shared" si="34"/>
        <v>Mentally Strained</v>
      </c>
    </row>
    <row r="446" spans="1:19" x14ac:dyDescent="0.25">
      <c r="A446">
        <v>18</v>
      </c>
      <c r="B446" t="str">
        <f t="shared" si="30"/>
        <v>Old Teenager</v>
      </c>
      <c r="C446" t="s">
        <v>19</v>
      </c>
      <c r="D446">
        <v>3.5</v>
      </c>
      <c r="E446" t="s">
        <v>23</v>
      </c>
      <c r="F446">
        <v>5.9</v>
      </c>
      <c r="G446">
        <v>1.3</v>
      </c>
      <c r="H446">
        <f t="shared" si="31"/>
        <v>4.8</v>
      </c>
      <c r="I446">
        <v>3.68</v>
      </c>
      <c r="J446" t="str">
        <f t="shared" si="32"/>
        <v>first class</v>
      </c>
      <c r="K446">
        <v>2</v>
      </c>
      <c r="L446" t="s">
        <v>22</v>
      </c>
      <c r="M446">
        <v>7</v>
      </c>
      <c r="N446">
        <v>4</v>
      </c>
      <c r="O446">
        <v>10</v>
      </c>
      <c r="P446">
        <v>0</v>
      </c>
      <c r="Q446">
        <f t="shared" si="33"/>
        <v>21</v>
      </c>
      <c r="S446" t="str">
        <f t="shared" si="34"/>
        <v>Mentally Unstable</v>
      </c>
    </row>
    <row r="447" spans="1:19" x14ac:dyDescent="0.25">
      <c r="A447">
        <v>18</v>
      </c>
      <c r="B447" t="str">
        <f t="shared" si="30"/>
        <v>Old Teenager</v>
      </c>
      <c r="C447" t="s">
        <v>19</v>
      </c>
      <c r="D447">
        <v>1.7</v>
      </c>
      <c r="E447" t="s">
        <v>17</v>
      </c>
      <c r="F447">
        <v>8.5</v>
      </c>
      <c r="G447">
        <v>1</v>
      </c>
      <c r="H447">
        <f t="shared" si="31"/>
        <v>2.7</v>
      </c>
      <c r="I447">
        <v>3.32</v>
      </c>
      <c r="J447" t="str">
        <f t="shared" si="32"/>
        <v>Second class upper</v>
      </c>
      <c r="K447">
        <v>1.3</v>
      </c>
      <c r="L447" t="s">
        <v>22</v>
      </c>
      <c r="M447">
        <v>1</v>
      </c>
      <c r="N447">
        <v>1</v>
      </c>
      <c r="O447">
        <v>7</v>
      </c>
      <c r="P447">
        <v>0</v>
      </c>
      <c r="Q447">
        <f t="shared" si="33"/>
        <v>9</v>
      </c>
      <c r="S447" t="str">
        <f t="shared" si="34"/>
        <v>Mentally Sound</v>
      </c>
    </row>
    <row r="448" spans="1:19" x14ac:dyDescent="0.25">
      <c r="A448">
        <v>14</v>
      </c>
      <c r="B448" t="str">
        <f t="shared" si="30"/>
        <v>Young Teenager</v>
      </c>
      <c r="C448" t="s">
        <v>16</v>
      </c>
      <c r="D448">
        <v>4.0999999999999996</v>
      </c>
      <c r="E448" t="s">
        <v>17</v>
      </c>
      <c r="F448">
        <v>8.1999999999999993</v>
      </c>
      <c r="G448">
        <v>1.7</v>
      </c>
      <c r="H448">
        <f t="shared" si="31"/>
        <v>5.8</v>
      </c>
      <c r="I448">
        <v>2.3199999999999998</v>
      </c>
      <c r="J448" t="str">
        <f t="shared" si="32"/>
        <v>third class</v>
      </c>
      <c r="K448">
        <v>1.4</v>
      </c>
      <c r="L448" t="s">
        <v>21</v>
      </c>
      <c r="M448">
        <v>9</v>
      </c>
      <c r="N448">
        <v>2</v>
      </c>
      <c r="O448">
        <v>4</v>
      </c>
      <c r="P448">
        <v>0</v>
      </c>
      <c r="Q448">
        <f t="shared" si="33"/>
        <v>15</v>
      </c>
      <c r="S448" t="str">
        <f t="shared" si="34"/>
        <v>Mentally Strained</v>
      </c>
    </row>
    <row r="449" spans="1:19" x14ac:dyDescent="0.25">
      <c r="A449">
        <v>14</v>
      </c>
      <c r="B449" t="str">
        <f t="shared" si="30"/>
        <v>Young Teenager</v>
      </c>
      <c r="C449" t="s">
        <v>16</v>
      </c>
      <c r="D449">
        <v>3.3</v>
      </c>
      <c r="E449" t="s">
        <v>17</v>
      </c>
      <c r="F449">
        <v>6.5</v>
      </c>
      <c r="G449">
        <v>0.8</v>
      </c>
      <c r="H449">
        <f t="shared" si="31"/>
        <v>4.0999999999999996</v>
      </c>
      <c r="I449">
        <v>2.54</v>
      </c>
      <c r="J449" t="str">
        <f t="shared" si="32"/>
        <v>Second class lower</v>
      </c>
      <c r="K449">
        <v>0.8</v>
      </c>
      <c r="L449" t="s">
        <v>18</v>
      </c>
      <c r="M449">
        <v>1</v>
      </c>
      <c r="N449">
        <v>2</v>
      </c>
      <c r="O449">
        <v>3</v>
      </c>
      <c r="P449">
        <v>0</v>
      </c>
      <c r="Q449">
        <f t="shared" si="33"/>
        <v>6</v>
      </c>
      <c r="S449" t="str">
        <f t="shared" si="34"/>
        <v>Mentally Sound</v>
      </c>
    </row>
    <row r="450" spans="1:19" x14ac:dyDescent="0.25">
      <c r="A450">
        <v>14</v>
      </c>
      <c r="B450" t="str">
        <f t="shared" si="30"/>
        <v>Young Teenager</v>
      </c>
      <c r="C450" t="s">
        <v>19</v>
      </c>
      <c r="D450">
        <v>5</v>
      </c>
      <c r="E450" t="s">
        <v>20</v>
      </c>
      <c r="F450">
        <v>4.9000000000000004</v>
      </c>
      <c r="G450">
        <v>2.6</v>
      </c>
      <c r="H450">
        <f t="shared" si="31"/>
        <v>7.6</v>
      </c>
      <c r="I450">
        <v>3.82</v>
      </c>
      <c r="J450" t="str">
        <f t="shared" si="32"/>
        <v>first class</v>
      </c>
      <c r="K450">
        <v>1.9</v>
      </c>
      <c r="L450" t="s">
        <v>22</v>
      </c>
      <c r="M450">
        <v>3</v>
      </c>
      <c r="N450">
        <v>10</v>
      </c>
      <c r="O450">
        <v>10</v>
      </c>
      <c r="P450">
        <v>0</v>
      </c>
      <c r="Q450">
        <f t="shared" si="33"/>
        <v>23</v>
      </c>
      <c r="S450" t="str">
        <f t="shared" si="34"/>
        <v>Mentally Unstable</v>
      </c>
    </row>
    <row r="451" spans="1:19" x14ac:dyDescent="0.25">
      <c r="A451">
        <v>19</v>
      </c>
      <c r="B451" t="str">
        <f t="shared" ref="B451:B514" si="35">IF(A451&lt;=15,"Young Teenager","Old Teenager")</f>
        <v>Old Teenager</v>
      </c>
      <c r="C451" t="s">
        <v>19</v>
      </c>
      <c r="D451">
        <v>1.5</v>
      </c>
      <c r="E451" t="s">
        <v>17</v>
      </c>
      <c r="F451">
        <v>8.4</v>
      </c>
      <c r="G451">
        <v>3</v>
      </c>
      <c r="H451">
        <f t="shared" ref="H451:H514" si="36">SUM(D451,G451)</f>
        <v>4.5</v>
      </c>
      <c r="I451">
        <v>2.46</v>
      </c>
      <c r="J451" t="str">
        <f t="shared" ref="J451:J514" si="37">IF(I451&lt;=2.49,"third class",IF(I451&lt;3,"Second class lower",IF(I451&lt;3.6,"Second class upper","first class")))</f>
        <v>third class</v>
      </c>
      <c r="K451">
        <v>1.5</v>
      </c>
      <c r="L451" t="s">
        <v>21</v>
      </c>
      <c r="M451">
        <v>1</v>
      </c>
      <c r="N451">
        <v>7</v>
      </c>
      <c r="O451">
        <v>6</v>
      </c>
      <c r="P451">
        <v>0</v>
      </c>
      <c r="Q451">
        <f t="shared" ref="Q451:Q514" si="38">SUM(M451:P451)</f>
        <v>14</v>
      </c>
      <c r="S451" t="str">
        <f t="shared" ref="S451:S514" si="39">IF(Q451&lt;10,"Mentally Sound",IF(Q451&gt;=20,"Mentally Unstable","Mentally Strained"))</f>
        <v>Mentally Strained</v>
      </c>
    </row>
    <row r="452" spans="1:19" x14ac:dyDescent="0.25">
      <c r="A452">
        <v>17</v>
      </c>
      <c r="B452" t="str">
        <f t="shared" si="35"/>
        <v>Old Teenager</v>
      </c>
      <c r="C452" t="s">
        <v>19</v>
      </c>
      <c r="D452">
        <v>3.3</v>
      </c>
      <c r="E452" t="s">
        <v>20</v>
      </c>
      <c r="F452">
        <v>8.4</v>
      </c>
      <c r="G452">
        <v>2.1</v>
      </c>
      <c r="H452">
        <f t="shared" si="36"/>
        <v>5.4</v>
      </c>
      <c r="I452">
        <v>3.4</v>
      </c>
      <c r="J452" t="str">
        <f t="shared" si="37"/>
        <v>Second class upper</v>
      </c>
      <c r="K452">
        <v>0.2</v>
      </c>
      <c r="L452" t="s">
        <v>21</v>
      </c>
      <c r="M452">
        <v>1</v>
      </c>
      <c r="N452">
        <v>3</v>
      </c>
      <c r="O452">
        <v>10</v>
      </c>
      <c r="P452">
        <v>0</v>
      </c>
      <c r="Q452">
        <f t="shared" si="38"/>
        <v>14</v>
      </c>
      <c r="S452" t="str">
        <f t="shared" si="39"/>
        <v>Mentally Strained</v>
      </c>
    </row>
    <row r="453" spans="1:19" x14ac:dyDescent="0.25">
      <c r="A453">
        <v>13</v>
      </c>
      <c r="B453" t="str">
        <f t="shared" si="35"/>
        <v>Young Teenager</v>
      </c>
      <c r="C453" t="s">
        <v>16</v>
      </c>
      <c r="D453">
        <v>6.4</v>
      </c>
      <c r="E453" t="s">
        <v>23</v>
      </c>
      <c r="F453">
        <v>4.0999999999999996</v>
      </c>
      <c r="G453">
        <v>1.3</v>
      </c>
      <c r="H453">
        <f t="shared" si="36"/>
        <v>7.7</v>
      </c>
      <c r="I453">
        <v>2.77</v>
      </c>
      <c r="J453" t="str">
        <f t="shared" si="37"/>
        <v>Second class lower</v>
      </c>
      <c r="K453">
        <v>1.3</v>
      </c>
      <c r="L453" t="s">
        <v>18</v>
      </c>
      <c r="M453">
        <v>10</v>
      </c>
      <c r="N453">
        <v>6</v>
      </c>
      <c r="O453">
        <v>1</v>
      </c>
      <c r="P453">
        <v>0</v>
      </c>
      <c r="Q453">
        <f t="shared" si="38"/>
        <v>17</v>
      </c>
      <c r="S453" t="str">
        <f t="shared" si="39"/>
        <v>Mentally Strained</v>
      </c>
    </row>
    <row r="454" spans="1:19" x14ac:dyDescent="0.25">
      <c r="A454">
        <v>17</v>
      </c>
      <c r="B454" t="str">
        <f t="shared" si="35"/>
        <v>Old Teenager</v>
      </c>
      <c r="C454" t="s">
        <v>19</v>
      </c>
      <c r="D454">
        <v>8</v>
      </c>
      <c r="E454" t="s">
        <v>17</v>
      </c>
      <c r="F454">
        <v>8.1</v>
      </c>
      <c r="G454">
        <v>1.2</v>
      </c>
      <c r="H454">
        <f t="shared" si="36"/>
        <v>9.1999999999999993</v>
      </c>
      <c r="I454">
        <v>2.13</v>
      </c>
      <c r="J454" t="str">
        <f t="shared" si="37"/>
        <v>third class</v>
      </c>
      <c r="K454">
        <v>1</v>
      </c>
      <c r="L454" t="s">
        <v>18</v>
      </c>
      <c r="M454">
        <v>1</v>
      </c>
      <c r="N454">
        <v>8</v>
      </c>
      <c r="O454">
        <v>7</v>
      </c>
      <c r="P454">
        <v>0</v>
      </c>
      <c r="Q454">
        <f t="shared" si="38"/>
        <v>16</v>
      </c>
      <c r="S454" t="str">
        <f t="shared" si="39"/>
        <v>Mentally Strained</v>
      </c>
    </row>
    <row r="455" spans="1:19" x14ac:dyDescent="0.25">
      <c r="A455">
        <v>16</v>
      </c>
      <c r="B455" t="str">
        <f t="shared" si="35"/>
        <v>Old Teenager</v>
      </c>
      <c r="C455" t="s">
        <v>19</v>
      </c>
      <c r="D455">
        <v>1</v>
      </c>
      <c r="E455" t="s">
        <v>23</v>
      </c>
      <c r="F455">
        <v>4.0999999999999996</v>
      </c>
      <c r="G455">
        <v>1.3</v>
      </c>
      <c r="H455">
        <f t="shared" si="36"/>
        <v>2.2999999999999998</v>
      </c>
      <c r="I455">
        <v>2.2200000000000002</v>
      </c>
      <c r="J455" t="str">
        <f t="shared" si="37"/>
        <v>third class</v>
      </c>
      <c r="K455">
        <v>0.4</v>
      </c>
      <c r="L455" t="s">
        <v>18</v>
      </c>
      <c r="M455">
        <v>2</v>
      </c>
      <c r="N455">
        <v>1</v>
      </c>
      <c r="O455">
        <v>8</v>
      </c>
      <c r="P455">
        <v>0</v>
      </c>
      <c r="Q455">
        <f t="shared" si="38"/>
        <v>11</v>
      </c>
      <c r="S455" t="str">
        <f t="shared" si="39"/>
        <v>Mentally Strained</v>
      </c>
    </row>
    <row r="456" spans="1:19" x14ac:dyDescent="0.25">
      <c r="A456">
        <v>18</v>
      </c>
      <c r="B456" t="str">
        <f t="shared" si="35"/>
        <v>Old Teenager</v>
      </c>
      <c r="C456" t="s">
        <v>19</v>
      </c>
      <c r="D456">
        <v>4.2</v>
      </c>
      <c r="E456" t="s">
        <v>17</v>
      </c>
      <c r="F456">
        <v>5.4</v>
      </c>
      <c r="G456">
        <v>1.1000000000000001</v>
      </c>
      <c r="H456">
        <f t="shared" si="36"/>
        <v>5.3000000000000007</v>
      </c>
      <c r="I456">
        <v>2.31</v>
      </c>
      <c r="J456" t="str">
        <f t="shared" si="37"/>
        <v>third class</v>
      </c>
      <c r="K456">
        <v>0.3</v>
      </c>
      <c r="L456" t="s">
        <v>18</v>
      </c>
      <c r="M456">
        <v>4</v>
      </c>
      <c r="N456">
        <v>9</v>
      </c>
      <c r="O456">
        <v>1</v>
      </c>
      <c r="P456">
        <v>0</v>
      </c>
      <c r="Q456">
        <f t="shared" si="38"/>
        <v>14</v>
      </c>
      <c r="S456" t="str">
        <f t="shared" si="39"/>
        <v>Mentally Strained</v>
      </c>
    </row>
    <row r="457" spans="1:19" x14ac:dyDescent="0.25">
      <c r="A457">
        <v>18</v>
      </c>
      <c r="B457" t="str">
        <f t="shared" si="35"/>
        <v>Old Teenager</v>
      </c>
      <c r="C457" t="s">
        <v>19</v>
      </c>
      <c r="D457">
        <v>4.5999999999999996</v>
      </c>
      <c r="E457" t="s">
        <v>20</v>
      </c>
      <c r="F457">
        <v>7.3</v>
      </c>
      <c r="G457">
        <v>2.8</v>
      </c>
      <c r="H457">
        <f t="shared" si="36"/>
        <v>7.3999999999999995</v>
      </c>
      <c r="I457">
        <v>3.22</v>
      </c>
      <c r="J457" t="str">
        <f t="shared" si="37"/>
        <v>Second class upper</v>
      </c>
      <c r="K457">
        <v>0.6</v>
      </c>
      <c r="L457" t="s">
        <v>21</v>
      </c>
      <c r="M457">
        <v>1</v>
      </c>
      <c r="N457">
        <v>3</v>
      </c>
      <c r="O457">
        <v>6</v>
      </c>
      <c r="P457">
        <v>0</v>
      </c>
      <c r="Q457">
        <f t="shared" si="38"/>
        <v>10</v>
      </c>
      <c r="S457" t="str">
        <f t="shared" si="39"/>
        <v>Mentally Strained</v>
      </c>
    </row>
    <row r="458" spans="1:19" x14ac:dyDescent="0.25">
      <c r="A458">
        <v>17</v>
      </c>
      <c r="B458" t="str">
        <f t="shared" si="35"/>
        <v>Old Teenager</v>
      </c>
      <c r="C458" t="s">
        <v>19</v>
      </c>
      <c r="D458">
        <v>2.8</v>
      </c>
      <c r="E458" t="s">
        <v>23</v>
      </c>
      <c r="F458">
        <v>6.2</v>
      </c>
      <c r="G458">
        <v>2.4</v>
      </c>
      <c r="H458">
        <f t="shared" si="36"/>
        <v>5.1999999999999993</v>
      </c>
      <c r="I458">
        <v>2.58</v>
      </c>
      <c r="J458" t="str">
        <f t="shared" si="37"/>
        <v>Second class lower</v>
      </c>
      <c r="K458">
        <v>0.4</v>
      </c>
      <c r="L458" t="s">
        <v>21</v>
      </c>
      <c r="M458">
        <v>4</v>
      </c>
      <c r="N458">
        <v>10</v>
      </c>
      <c r="O458">
        <v>9</v>
      </c>
      <c r="P458">
        <v>0</v>
      </c>
      <c r="Q458">
        <f t="shared" si="38"/>
        <v>23</v>
      </c>
      <c r="S458" t="str">
        <f t="shared" si="39"/>
        <v>Mentally Unstable</v>
      </c>
    </row>
    <row r="459" spans="1:19" x14ac:dyDescent="0.25">
      <c r="A459">
        <v>16</v>
      </c>
      <c r="B459" t="str">
        <f t="shared" si="35"/>
        <v>Old Teenager</v>
      </c>
      <c r="C459" t="s">
        <v>19</v>
      </c>
      <c r="D459">
        <v>6.3</v>
      </c>
      <c r="E459" t="s">
        <v>17</v>
      </c>
      <c r="F459">
        <v>6.9</v>
      </c>
      <c r="G459">
        <v>1.3</v>
      </c>
      <c r="H459">
        <f t="shared" si="36"/>
        <v>7.6</v>
      </c>
      <c r="I459">
        <v>2.15</v>
      </c>
      <c r="J459" t="str">
        <f t="shared" si="37"/>
        <v>third class</v>
      </c>
      <c r="K459">
        <v>1.4</v>
      </c>
      <c r="L459" t="s">
        <v>18</v>
      </c>
      <c r="M459">
        <v>9</v>
      </c>
      <c r="N459">
        <v>2</v>
      </c>
      <c r="O459">
        <v>10</v>
      </c>
      <c r="P459">
        <v>0</v>
      </c>
      <c r="Q459">
        <f t="shared" si="38"/>
        <v>21</v>
      </c>
      <c r="S459" t="str">
        <f t="shared" si="39"/>
        <v>Mentally Unstable</v>
      </c>
    </row>
    <row r="460" spans="1:19" x14ac:dyDescent="0.25">
      <c r="A460">
        <v>17</v>
      </c>
      <c r="B460" t="str">
        <f t="shared" si="35"/>
        <v>Old Teenager</v>
      </c>
      <c r="C460" t="s">
        <v>19</v>
      </c>
      <c r="D460">
        <v>7.2</v>
      </c>
      <c r="E460" t="s">
        <v>20</v>
      </c>
      <c r="F460">
        <v>7</v>
      </c>
      <c r="G460">
        <v>1.3</v>
      </c>
      <c r="H460">
        <f t="shared" si="36"/>
        <v>8.5</v>
      </c>
      <c r="I460">
        <v>3.86</v>
      </c>
      <c r="J460" t="str">
        <f t="shared" si="37"/>
        <v>first class</v>
      </c>
      <c r="K460">
        <v>0.9</v>
      </c>
      <c r="L460" t="s">
        <v>18</v>
      </c>
      <c r="M460">
        <v>7</v>
      </c>
      <c r="N460">
        <v>8</v>
      </c>
      <c r="O460">
        <v>4</v>
      </c>
      <c r="P460">
        <v>0</v>
      </c>
      <c r="Q460">
        <f t="shared" si="38"/>
        <v>19</v>
      </c>
      <c r="S460" t="str">
        <f t="shared" si="39"/>
        <v>Mentally Strained</v>
      </c>
    </row>
    <row r="461" spans="1:19" x14ac:dyDescent="0.25">
      <c r="A461">
        <v>13</v>
      </c>
      <c r="B461" t="str">
        <f t="shared" si="35"/>
        <v>Young Teenager</v>
      </c>
      <c r="C461" t="s">
        <v>16</v>
      </c>
      <c r="D461">
        <v>4.5</v>
      </c>
      <c r="E461" t="s">
        <v>23</v>
      </c>
      <c r="F461">
        <v>6.7</v>
      </c>
      <c r="G461">
        <v>2.2000000000000002</v>
      </c>
      <c r="H461">
        <f t="shared" si="36"/>
        <v>6.7</v>
      </c>
      <c r="I461">
        <v>3.73</v>
      </c>
      <c r="J461" t="str">
        <f t="shared" si="37"/>
        <v>first class</v>
      </c>
      <c r="K461">
        <v>0.3</v>
      </c>
      <c r="L461" t="s">
        <v>18</v>
      </c>
      <c r="M461">
        <v>3</v>
      </c>
      <c r="N461">
        <v>5</v>
      </c>
      <c r="O461">
        <v>10</v>
      </c>
      <c r="P461">
        <v>0</v>
      </c>
      <c r="Q461">
        <f t="shared" si="38"/>
        <v>18</v>
      </c>
      <c r="S461" t="str">
        <f t="shared" si="39"/>
        <v>Mentally Strained</v>
      </c>
    </row>
    <row r="462" spans="1:19" x14ac:dyDescent="0.25">
      <c r="A462">
        <v>18</v>
      </c>
      <c r="B462" t="str">
        <f t="shared" si="35"/>
        <v>Old Teenager</v>
      </c>
      <c r="C462" t="s">
        <v>16</v>
      </c>
      <c r="D462">
        <v>5.3</v>
      </c>
      <c r="E462" t="s">
        <v>23</v>
      </c>
      <c r="F462">
        <v>5.0999999999999996</v>
      </c>
      <c r="G462">
        <v>1.2</v>
      </c>
      <c r="H462">
        <f t="shared" si="36"/>
        <v>6.5</v>
      </c>
      <c r="I462">
        <v>3.32</v>
      </c>
      <c r="J462" t="str">
        <f t="shared" si="37"/>
        <v>Second class upper</v>
      </c>
      <c r="K462">
        <v>1.8</v>
      </c>
      <c r="L462" t="s">
        <v>18</v>
      </c>
      <c r="M462">
        <v>7</v>
      </c>
      <c r="N462">
        <v>3</v>
      </c>
      <c r="O462">
        <v>8</v>
      </c>
      <c r="P462">
        <v>0</v>
      </c>
      <c r="Q462">
        <f t="shared" si="38"/>
        <v>18</v>
      </c>
      <c r="S462" t="str">
        <f t="shared" si="39"/>
        <v>Mentally Strained</v>
      </c>
    </row>
    <row r="463" spans="1:19" x14ac:dyDescent="0.25">
      <c r="A463">
        <v>13</v>
      </c>
      <c r="B463" t="str">
        <f t="shared" si="35"/>
        <v>Young Teenager</v>
      </c>
      <c r="C463" t="s">
        <v>16</v>
      </c>
      <c r="D463">
        <v>5.2</v>
      </c>
      <c r="E463" t="s">
        <v>20</v>
      </c>
      <c r="F463">
        <v>6.7</v>
      </c>
      <c r="G463">
        <v>2.5</v>
      </c>
      <c r="H463">
        <f t="shared" si="36"/>
        <v>7.7</v>
      </c>
      <c r="I463">
        <v>3.82</v>
      </c>
      <c r="J463" t="str">
        <f t="shared" si="37"/>
        <v>first class</v>
      </c>
      <c r="K463">
        <v>0.9</v>
      </c>
      <c r="L463" t="s">
        <v>22</v>
      </c>
      <c r="M463">
        <v>8</v>
      </c>
      <c r="N463">
        <v>8</v>
      </c>
      <c r="O463">
        <v>6</v>
      </c>
      <c r="P463">
        <v>0</v>
      </c>
      <c r="Q463">
        <f t="shared" si="38"/>
        <v>22</v>
      </c>
      <c r="S463" t="str">
        <f t="shared" si="39"/>
        <v>Mentally Unstable</v>
      </c>
    </row>
    <row r="464" spans="1:19" x14ac:dyDescent="0.25">
      <c r="A464">
        <v>13</v>
      </c>
      <c r="B464" t="str">
        <f t="shared" si="35"/>
        <v>Young Teenager</v>
      </c>
      <c r="C464" t="s">
        <v>16</v>
      </c>
      <c r="D464">
        <v>7.9</v>
      </c>
      <c r="E464" t="s">
        <v>20</v>
      </c>
      <c r="F464">
        <v>6</v>
      </c>
      <c r="G464">
        <v>2.7</v>
      </c>
      <c r="H464">
        <f t="shared" si="36"/>
        <v>10.600000000000001</v>
      </c>
      <c r="I464">
        <v>2.85</v>
      </c>
      <c r="J464" t="str">
        <f t="shared" si="37"/>
        <v>Second class lower</v>
      </c>
      <c r="K464">
        <v>0.3</v>
      </c>
      <c r="L464" t="s">
        <v>18</v>
      </c>
      <c r="M464">
        <v>9</v>
      </c>
      <c r="N464">
        <v>10</v>
      </c>
      <c r="O464">
        <v>3</v>
      </c>
      <c r="P464">
        <v>0</v>
      </c>
      <c r="Q464">
        <f t="shared" si="38"/>
        <v>22</v>
      </c>
      <c r="S464" t="str">
        <f t="shared" si="39"/>
        <v>Mentally Unstable</v>
      </c>
    </row>
    <row r="465" spans="1:19" x14ac:dyDescent="0.25">
      <c r="A465">
        <v>19</v>
      </c>
      <c r="B465" t="str">
        <f t="shared" si="35"/>
        <v>Old Teenager</v>
      </c>
      <c r="C465" t="s">
        <v>16</v>
      </c>
      <c r="D465">
        <v>6.9</v>
      </c>
      <c r="E465" t="s">
        <v>20</v>
      </c>
      <c r="F465">
        <v>8.5</v>
      </c>
      <c r="G465">
        <v>1.5</v>
      </c>
      <c r="H465">
        <f t="shared" si="36"/>
        <v>8.4</v>
      </c>
      <c r="I465">
        <v>3.55</v>
      </c>
      <c r="J465" t="str">
        <f t="shared" si="37"/>
        <v>Second class upper</v>
      </c>
      <c r="K465">
        <v>1.3</v>
      </c>
      <c r="L465" t="s">
        <v>18</v>
      </c>
      <c r="M465">
        <v>5</v>
      </c>
      <c r="N465">
        <v>6</v>
      </c>
      <c r="O465">
        <v>1</v>
      </c>
      <c r="P465">
        <v>0</v>
      </c>
      <c r="Q465">
        <f t="shared" si="38"/>
        <v>12</v>
      </c>
      <c r="S465" t="str">
        <f t="shared" si="39"/>
        <v>Mentally Strained</v>
      </c>
    </row>
    <row r="466" spans="1:19" x14ac:dyDescent="0.25">
      <c r="A466">
        <v>17</v>
      </c>
      <c r="B466" t="str">
        <f t="shared" si="35"/>
        <v>Old Teenager</v>
      </c>
      <c r="C466" t="s">
        <v>19</v>
      </c>
      <c r="D466">
        <v>5.8</v>
      </c>
      <c r="E466" t="s">
        <v>17</v>
      </c>
      <c r="F466">
        <v>4.0999999999999996</v>
      </c>
      <c r="G466">
        <v>2.9</v>
      </c>
      <c r="H466">
        <f t="shared" si="36"/>
        <v>8.6999999999999993</v>
      </c>
      <c r="I466">
        <v>2.33</v>
      </c>
      <c r="J466" t="str">
        <f t="shared" si="37"/>
        <v>third class</v>
      </c>
      <c r="K466">
        <v>0.4</v>
      </c>
      <c r="L466" t="s">
        <v>21</v>
      </c>
      <c r="M466">
        <v>9</v>
      </c>
      <c r="N466">
        <v>6</v>
      </c>
      <c r="O466">
        <v>8</v>
      </c>
      <c r="P466">
        <v>0</v>
      </c>
      <c r="Q466">
        <f t="shared" si="38"/>
        <v>23</v>
      </c>
      <c r="S466" t="str">
        <f t="shared" si="39"/>
        <v>Mentally Unstable</v>
      </c>
    </row>
    <row r="467" spans="1:19" x14ac:dyDescent="0.25">
      <c r="A467">
        <v>19</v>
      </c>
      <c r="B467" t="str">
        <f t="shared" si="35"/>
        <v>Old Teenager</v>
      </c>
      <c r="C467" t="s">
        <v>16</v>
      </c>
      <c r="D467">
        <v>7</v>
      </c>
      <c r="E467" t="s">
        <v>17</v>
      </c>
      <c r="F467">
        <v>8.3000000000000007</v>
      </c>
      <c r="G467">
        <v>2.1</v>
      </c>
      <c r="H467">
        <f t="shared" si="36"/>
        <v>9.1</v>
      </c>
      <c r="I467">
        <v>3.09</v>
      </c>
      <c r="J467" t="str">
        <f t="shared" si="37"/>
        <v>Second class upper</v>
      </c>
      <c r="K467">
        <v>1.5</v>
      </c>
      <c r="L467" t="s">
        <v>18</v>
      </c>
      <c r="M467">
        <v>9</v>
      </c>
      <c r="N467">
        <v>7</v>
      </c>
      <c r="O467">
        <v>3</v>
      </c>
      <c r="P467">
        <v>0</v>
      </c>
      <c r="Q467">
        <f t="shared" si="38"/>
        <v>19</v>
      </c>
      <c r="S467" t="str">
        <f t="shared" si="39"/>
        <v>Mentally Strained</v>
      </c>
    </row>
    <row r="468" spans="1:19" x14ac:dyDescent="0.25">
      <c r="A468">
        <v>14</v>
      </c>
      <c r="B468" t="str">
        <f t="shared" si="35"/>
        <v>Young Teenager</v>
      </c>
      <c r="C468" t="s">
        <v>19</v>
      </c>
      <c r="D468">
        <v>3</v>
      </c>
      <c r="E468" t="s">
        <v>20</v>
      </c>
      <c r="F468">
        <v>8.3000000000000007</v>
      </c>
      <c r="G468">
        <v>2.7</v>
      </c>
      <c r="H468">
        <f t="shared" si="36"/>
        <v>5.7</v>
      </c>
      <c r="I468">
        <v>3.9</v>
      </c>
      <c r="J468" t="str">
        <f t="shared" si="37"/>
        <v>first class</v>
      </c>
      <c r="K468">
        <v>0.7</v>
      </c>
      <c r="L468" t="s">
        <v>21</v>
      </c>
      <c r="M468">
        <v>3</v>
      </c>
      <c r="N468">
        <v>1</v>
      </c>
      <c r="O468">
        <v>5</v>
      </c>
      <c r="P468">
        <v>0</v>
      </c>
      <c r="Q468">
        <f t="shared" si="38"/>
        <v>9</v>
      </c>
      <c r="S468" t="str">
        <f t="shared" si="39"/>
        <v>Mentally Sound</v>
      </c>
    </row>
    <row r="469" spans="1:19" x14ac:dyDescent="0.25">
      <c r="A469">
        <v>18</v>
      </c>
      <c r="B469" t="str">
        <f t="shared" si="35"/>
        <v>Old Teenager</v>
      </c>
      <c r="C469" t="s">
        <v>16</v>
      </c>
      <c r="D469">
        <v>6.3</v>
      </c>
      <c r="E469" t="s">
        <v>23</v>
      </c>
      <c r="F469">
        <v>7.9</v>
      </c>
      <c r="G469">
        <v>1.7</v>
      </c>
      <c r="H469">
        <f t="shared" si="36"/>
        <v>8</v>
      </c>
      <c r="I469">
        <v>2.85</v>
      </c>
      <c r="J469" t="str">
        <f t="shared" si="37"/>
        <v>Second class lower</v>
      </c>
      <c r="K469">
        <v>0.3</v>
      </c>
      <c r="L469" t="s">
        <v>22</v>
      </c>
      <c r="M469">
        <v>1</v>
      </c>
      <c r="N469">
        <v>1</v>
      </c>
      <c r="O469">
        <v>2</v>
      </c>
      <c r="P469">
        <v>0</v>
      </c>
      <c r="Q469">
        <f t="shared" si="38"/>
        <v>4</v>
      </c>
      <c r="S469" t="str">
        <f t="shared" si="39"/>
        <v>Mentally Sound</v>
      </c>
    </row>
    <row r="470" spans="1:19" x14ac:dyDescent="0.25">
      <c r="A470">
        <v>17</v>
      </c>
      <c r="B470" t="str">
        <f t="shared" si="35"/>
        <v>Old Teenager</v>
      </c>
      <c r="C470" t="s">
        <v>19</v>
      </c>
      <c r="D470">
        <v>5.5</v>
      </c>
      <c r="E470" t="s">
        <v>17</v>
      </c>
      <c r="F470">
        <v>4.9000000000000004</v>
      </c>
      <c r="G470">
        <v>2.6</v>
      </c>
      <c r="H470">
        <f t="shared" si="36"/>
        <v>8.1</v>
      </c>
      <c r="I470">
        <v>3.64</v>
      </c>
      <c r="J470" t="str">
        <f t="shared" si="37"/>
        <v>first class</v>
      </c>
      <c r="K470">
        <v>0.8</v>
      </c>
      <c r="L470" t="s">
        <v>22</v>
      </c>
      <c r="M470">
        <v>6</v>
      </c>
      <c r="N470">
        <v>8</v>
      </c>
      <c r="O470">
        <v>3</v>
      </c>
      <c r="P470">
        <v>0</v>
      </c>
      <c r="Q470">
        <f t="shared" si="38"/>
        <v>17</v>
      </c>
      <c r="S470" t="str">
        <f t="shared" si="39"/>
        <v>Mentally Strained</v>
      </c>
    </row>
    <row r="471" spans="1:19" x14ac:dyDescent="0.25">
      <c r="A471">
        <v>17</v>
      </c>
      <c r="B471" t="str">
        <f t="shared" si="35"/>
        <v>Old Teenager</v>
      </c>
      <c r="C471" t="s">
        <v>19</v>
      </c>
      <c r="D471">
        <v>2.2000000000000002</v>
      </c>
      <c r="E471" t="s">
        <v>23</v>
      </c>
      <c r="F471">
        <v>7.5</v>
      </c>
      <c r="G471">
        <v>2.2000000000000002</v>
      </c>
      <c r="H471">
        <f t="shared" si="36"/>
        <v>4.4000000000000004</v>
      </c>
      <c r="I471">
        <v>2.95</v>
      </c>
      <c r="J471" t="str">
        <f t="shared" si="37"/>
        <v>Second class lower</v>
      </c>
      <c r="K471">
        <v>1.6</v>
      </c>
      <c r="L471" t="s">
        <v>18</v>
      </c>
      <c r="M471">
        <v>9</v>
      </c>
      <c r="N471">
        <v>7</v>
      </c>
      <c r="O471">
        <v>4</v>
      </c>
      <c r="P471">
        <v>0</v>
      </c>
      <c r="Q471">
        <f t="shared" si="38"/>
        <v>20</v>
      </c>
      <c r="S471" t="str">
        <f t="shared" si="39"/>
        <v>Mentally Unstable</v>
      </c>
    </row>
    <row r="472" spans="1:19" x14ac:dyDescent="0.25">
      <c r="A472">
        <v>14</v>
      </c>
      <c r="B472" t="str">
        <f t="shared" si="35"/>
        <v>Young Teenager</v>
      </c>
      <c r="C472" t="s">
        <v>16</v>
      </c>
      <c r="D472">
        <v>1.4</v>
      </c>
      <c r="E472" t="s">
        <v>23</v>
      </c>
      <c r="F472">
        <v>4.5</v>
      </c>
      <c r="G472">
        <v>1.4</v>
      </c>
      <c r="H472">
        <f t="shared" si="36"/>
        <v>2.8</v>
      </c>
      <c r="I472">
        <v>3.17</v>
      </c>
      <c r="J472" t="str">
        <f t="shared" si="37"/>
        <v>Second class upper</v>
      </c>
      <c r="K472">
        <v>1.7</v>
      </c>
      <c r="L472" t="s">
        <v>21</v>
      </c>
      <c r="M472">
        <v>9</v>
      </c>
      <c r="N472">
        <v>10</v>
      </c>
      <c r="O472">
        <v>9</v>
      </c>
      <c r="P472">
        <v>0</v>
      </c>
      <c r="Q472">
        <f t="shared" si="38"/>
        <v>28</v>
      </c>
      <c r="S472" t="str">
        <f t="shared" si="39"/>
        <v>Mentally Unstable</v>
      </c>
    </row>
    <row r="473" spans="1:19" x14ac:dyDescent="0.25">
      <c r="A473">
        <v>18</v>
      </c>
      <c r="B473" t="str">
        <f t="shared" si="35"/>
        <v>Old Teenager</v>
      </c>
      <c r="C473" t="s">
        <v>16</v>
      </c>
      <c r="D473">
        <v>4.5</v>
      </c>
      <c r="E473" t="s">
        <v>17</v>
      </c>
      <c r="F473">
        <v>4.4000000000000004</v>
      </c>
      <c r="G473">
        <v>1.9</v>
      </c>
      <c r="H473">
        <f t="shared" si="36"/>
        <v>6.4</v>
      </c>
      <c r="I473">
        <v>2.2599999999999998</v>
      </c>
      <c r="J473" t="str">
        <f t="shared" si="37"/>
        <v>third class</v>
      </c>
      <c r="K473">
        <v>0</v>
      </c>
      <c r="L473" t="s">
        <v>18</v>
      </c>
      <c r="M473">
        <v>7</v>
      </c>
      <c r="N473">
        <v>8</v>
      </c>
      <c r="O473">
        <v>10</v>
      </c>
      <c r="P473">
        <v>0</v>
      </c>
      <c r="Q473">
        <f t="shared" si="38"/>
        <v>25</v>
      </c>
      <c r="S473" t="str">
        <f t="shared" si="39"/>
        <v>Mentally Unstable</v>
      </c>
    </row>
    <row r="474" spans="1:19" x14ac:dyDescent="0.25">
      <c r="A474">
        <v>14</v>
      </c>
      <c r="B474" t="str">
        <f t="shared" si="35"/>
        <v>Young Teenager</v>
      </c>
      <c r="C474" t="s">
        <v>19</v>
      </c>
      <c r="D474">
        <v>6.1</v>
      </c>
      <c r="E474" t="s">
        <v>17</v>
      </c>
      <c r="F474">
        <v>5.7</v>
      </c>
      <c r="G474">
        <v>2</v>
      </c>
      <c r="H474">
        <f t="shared" si="36"/>
        <v>8.1</v>
      </c>
      <c r="I474">
        <v>3.9</v>
      </c>
      <c r="J474" t="str">
        <f t="shared" si="37"/>
        <v>first class</v>
      </c>
      <c r="K474">
        <v>1</v>
      </c>
      <c r="L474" t="s">
        <v>18</v>
      </c>
      <c r="M474">
        <v>8</v>
      </c>
      <c r="N474">
        <v>4</v>
      </c>
      <c r="O474">
        <v>6</v>
      </c>
      <c r="P474">
        <v>0</v>
      </c>
      <c r="Q474">
        <f t="shared" si="38"/>
        <v>18</v>
      </c>
      <c r="S474" t="str">
        <f t="shared" si="39"/>
        <v>Mentally Strained</v>
      </c>
    </row>
    <row r="475" spans="1:19" x14ac:dyDescent="0.25">
      <c r="A475">
        <v>17</v>
      </c>
      <c r="B475" t="str">
        <f t="shared" si="35"/>
        <v>Old Teenager</v>
      </c>
      <c r="C475" t="s">
        <v>16</v>
      </c>
      <c r="D475">
        <v>3.3</v>
      </c>
      <c r="E475" t="s">
        <v>20</v>
      </c>
      <c r="F475">
        <v>5.7</v>
      </c>
      <c r="G475">
        <v>2</v>
      </c>
      <c r="H475">
        <f t="shared" si="36"/>
        <v>5.3</v>
      </c>
      <c r="I475">
        <v>3.71</v>
      </c>
      <c r="J475" t="str">
        <f t="shared" si="37"/>
        <v>first class</v>
      </c>
      <c r="K475">
        <v>0.1</v>
      </c>
      <c r="L475" t="s">
        <v>18</v>
      </c>
      <c r="M475">
        <v>6</v>
      </c>
      <c r="N475">
        <v>6</v>
      </c>
      <c r="O475">
        <v>8</v>
      </c>
      <c r="P475">
        <v>0</v>
      </c>
      <c r="Q475">
        <f t="shared" si="38"/>
        <v>20</v>
      </c>
      <c r="S475" t="str">
        <f t="shared" si="39"/>
        <v>Mentally Unstable</v>
      </c>
    </row>
    <row r="476" spans="1:19" x14ac:dyDescent="0.25">
      <c r="A476">
        <v>15</v>
      </c>
      <c r="B476" t="str">
        <f t="shared" si="35"/>
        <v>Young Teenager</v>
      </c>
      <c r="C476" t="s">
        <v>16</v>
      </c>
      <c r="D476">
        <v>5.2</v>
      </c>
      <c r="E476" t="s">
        <v>23</v>
      </c>
      <c r="F476">
        <v>5.6</v>
      </c>
      <c r="G476">
        <v>1.1000000000000001</v>
      </c>
      <c r="H476">
        <f t="shared" si="36"/>
        <v>6.3000000000000007</v>
      </c>
      <c r="I476">
        <v>2.88</v>
      </c>
      <c r="J476" t="str">
        <f t="shared" si="37"/>
        <v>Second class lower</v>
      </c>
      <c r="K476">
        <v>0.1</v>
      </c>
      <c r="L476" t="s">
        <v>22</v>
      </c>
      <c r="M476">
        <v>4</v>
      </c>
      <c r="N476">
        <v>8</v>
      </c>
      <c r="O476">
        <v>7</v>
      </c>
      <c r="P476">
        <v>0</v>
      </c>
      <c r="Q476">
        <f t="shared" si="38"/>
        <v>19</v>
      </c>
      <c r="S476" t="str">
        <f t="shared" si="39"/>
        <v>Mentally Strained</v>
      </c>
    </row>
    <row r="477" spans="1:19" x14ac:dyDescent="0.25">
      <c r="A477">
        <v>18</v>
      </c>
      <c r="B477" t="str">
        <f t="shared" si="35"/>
        <v>Old Teenager</v>
      </c>
      <c r="C477" t="s">
        <v>16</v>
      </c>
      <c r="D477">
        <v>5</v>
      </c>
      <c r="E477" t="s">
        <v>23</v>
      </c>
      <c r="F477">
        <v>5.8</v>
      </c>
      <c r="G477">
        <v>1.3</v>
      </c>
      <c r="H477">
        <f t="shared" si="36"/>
        <v>6.3</v>
      </c>
      <c r="I477">
        <v>2.12</v>
      </c>
      <c r="J477" t="str">
        <f t="shared" si="37"/>
        <v>third class</v>
      </c>
      <c r="K477">
        <v>0.1</v>
      </c>
      <c r="L477" t="s">
        <v>18</v>
      </c>
      <c r="M477">
        <v>1</v>
      </c>
      <c r="N477">
        <v>9</v>
      </c>
      <c r="O477">
        <v>2</v>
      </c>
      <c r="P477">
        <v>0</v>
      </c>
      <c r="Q477">
        <f t="shared" si="38"/>
        <v>12</v>
      </c>
      <c r="S477" t="str">
        <f t="shared" si="39"/>
        <v>Mentally Strained</v>
      </c>
    </row>
    <row r="478" spans="1:19" x14ac:dyDescent="0.25">
      <c r="A478">
        <v>17</v>
      </c>
      <c r="B478" t="str">
        <f t="shared" si="35"/>
        <v>Old Teenager</v>
      </c>
      <c r="C478" t="s">
        <v>19</v>
      </c>
      <c r="D478">
        <v>1.8</v>
      </c>
      <c r="E478" t="s">
        <v>20</v>
      </c>
      <c r="F478">
        <v>5.9</v>
      </c>
      <c r="G478">
        <v>1.9</v>
      </c>
      <c r="H478">
        <f t="shared" si="36"/>
        <v>3.7</v>
      </c>
      <c r="I478">
        <v>2.89</v>
      </c>
      <c r="J478" t="str">
        <f t="shared" si="37"/>
        <v>Second class lower</v>
      </c>
      <c r="K478">
        <v>0.6</v>
      </c>
      <c r="L478" t="s">
        <v>18</v>
      </c>
      <c r="M478">
        <v>8</v>
      </c>
      <c r="N478">
        <v>8</v>
      </c>
      <c r="O478">
        <v>5</v>
      </c>
      <c r="P478">
        <v>0</v>
      </c>
      <c r="Q478">
        <f t="shared" si="38"/>
        <v>21</v>
      </c>
      <c r="S478" t="str">
        <f t="shared" si="39"/>
        <v>Mentally Unstable</v>
      </c>
    </row>
    <row r="479" spans="1:19" x14ac:dyDescent="0.25">
      <c r="A479">
        <v>13</v>
      </c>
      <c r="B479" t="str">
        <f t="shared" si="35"/>
        <v>Young Teenager</v>
      </c>
      <c r="C479" t="s">
        <v>16</v>
      </c>
      <c r="D479">
        <v>2.2999999999999998</v>
      </c>
      <c r="E479" t="s">
        <v>20</v>
      </c>
      <c r="F479">
        <v>4.5</v>
      </c>
      <c r="G479">
        <v>0.7</v>
      </c>
      <c r="H479">
        <f t="shared" si="36"/>
        <v>3</v>
      </c>
      <c r="I479">
        <v>2.71</v>
      </c>
      <c r="J479" t="str">
        <f t="shared" si="37"/>
        <v>Second class lower</v>
      </c>
      <c r="K479">
        <v>0.2</v>
      </c>
      <c r="L479" t="s">
        <v>18</v>
      </c>
      <c r="M479">
        <v>6</v>
      </c>
      <c r="N479">
        <v>3</v>
      </c>
      <c r="O479">
        <v>7</v>
      </c>
      <c r="P479">
        <v>0</v>
      </c>
      <c r="Q479">
        <f t="shared" si="38"/>
        <v>16</v>
      </c>
      <c r="S479" t="str">
        <f t="shared" si="39"/>
        <v>Mentally Strained</v>
      </c>
    </row>
    <row r="480" spans="1:19" x14ac:dyDescent="0.25">
      <c r="A480">
        <v>14</v>
      </c>
      <c r="B480" t="str">
        <f t="shared" si="35"/>
        <v>Young Teenager</v>
      </c>
      <c r="C480" t="s">
        <v>16</v>
      </c>
      <c r="D480">
        <v>2.7</v>
      </c>
      <c r="E480" t="s">
        <v>23</v>
      </c>
      <c r="F480">
        <v>6.3</v>
      </c>
      <c r="G480">
        <v>0.6</v>
      </c>
      <c r="H480">
        <f t="shared" si="36"/>
        <v>3.3000000000000003</v>
      </c>
      <c r="I480">
        <v>3.88</v>
      </c>
      <c r="J480" t="str">
        <f t="shared" si="37"/>
        <v>first class</v>
      </c>
      <c r="K480">
        <v>0.3</v>
      </c>
      <c r="L480" t="s">
        <v>22</v>
      </c>
      <c r="M480">
        <v>6</v>
      </c>
      <c r="N480">
        <v>6</v>
      </c>
      <c r="O480">
        <v>6</v>
      </c>
      <c r="P480">
        <v>0</v>
      </c>
      <c r="Q480">
        <f t="shared" si="38"/>
        <v>18</v>
      </c>
      <c r="S480" t="str">
        <f t="shared" si="39"/>
        <v>Mentally Strained</v>
      </c>
    </row>
    <row r="481" spans="1:19" x14ac:dyDescent="0.25">
      <c r="A481">
        <v>16</v>
      </c>
      <c r="B481" t="str">
        <f t="shared" si="35"/>
        <v>Old Teenager</v>
      </c>
      <c r="C481" t="s">
        <v>16</v>
      </c>
      <c r="D481">
        <v>7.4</v>
      </c>
      <c r="E481" t="s">
        <v>20</v>
      </c>
      <c r="F481">
        <v>7.5</v>
      </c>
      <c r="G481">
        <v>1.7</v>
      </c>
      <c r="H481">
        <f t="shared" si="36"/>
        <v>9.1</v>
      </c>
      <c r="I481">
        <v>3.16</v>
      </c>
      <c r="J481" t="str">
        <f t="shared" si="37"/>
        <v>Second class upper</v>
      </c>
      <c r="K481">
        <v>1.8</v>
      </c>
      <c r="L481" t="s">
        <v>22</v>
      </c>
      <c r="M481">
        <v>2</v>
      </c>
      <c r="N481">
        <v>3</v>
      </c>
      <c r="O481">
        <v>2</v>
      </c>
      <c r="P481">
        <v>0</v>
      </c>
      <c r="Q481">
        <f t="shared" si="38"/>
        <v>7</v>
      </c>
      <c r="S481" t="str">
        <f t="shared" si="39"/>
        <v>Mentally Sound</v>
      </c>
    </row>
    <row r="482" spans="1:19" x14ac:dyDescent="0.25">
      <c r="A482">
        <v>15</v>
      </c>
      <c r="B482" t="str">
        <f t="shared" si="35"/>
        <v>Young Teenager</v>
      </c>
      <c r="C482" t="s">
        <v>16</v>
      </c>
      <c r="D482">
        <v>6.2</v>
      </c>
      <c r="E482" t="s">
        <v>20</v>
      </c>
      <c r="F482">
        <v>4.5999999999999996</v>
      </c>
      <c r="G482">
        <v>1.1000000000000001</v>
      </c>
      <c r="H482">
        <f t="shared" si="36"/>
        <v>7.3000000000000007</v>
      </c>
      <c r="I482">
        <v>2.94</v>
      </c>
      <c r="J482" t="str">
        <f t="shared" si="37"/>
        <v>Second class lower</v>
      </c>
      <c r="K482">
        <v>1.8</v>
      </c>
      <c r="L482" t="s">
        <v>21</v>
      </c>
      <c r="M482">
        <v>4</v>
      </c>
      <c r="N482">
        <v>2</v>
      </c>
      <c r="O482">
        <v>3</v>
      </c>
      <c r="P482">
        <v>0</v>
      </c>
      <c r="Q482">
        <f t="shared" si="38"/>
        <v>9</v>
      </c>
      <c r="S482" t="str">
        <f t="shared" si="39"/>
        <v>Mentally Sound</v>
      </c>
    </row>
    <row r="483" spans="1:19" x14ac:dyDescent="0.25">
      <c r="A483">
        <v>16</v>
      </c>
      <c r="B483" t="str">
        <f t="shared" si="35"/>
        <v>Old Teenager</v>
      </c>
      <c r="C483" t="s">
        <v>16</v>
      </c>
      <c r="D483">
        <v>2.2999999999999998</v>
      </c>
      <c r="E483" t="s">
        <v>20</v>
      </c>
      <c r="F483">
        <v>8.8000000000000007</v>
      </c>
      <c r="G483">
        <v>1</v>
      </c>
      <c r="H483">
        <f t="shared" si="36"/>
        <v>3.3</v>
      </c>
      <c r="I483">
        <v>2.5099999999999998</v>
      </c>
      <c r="J483" t="str">
        <f t="shared" si="37"/>
        <v>Second class lower</v>
      </c>
      <c r="K483">
        <v>2</v>
      </c>
      <c r="L483" t="s">
        <v>22</v>
      </c>
      <c r="M483">
        <v>6</v>
      </c>
      <c r="N483">
        <v>10</v>
      </c>
      <c r="O483">
        <v>10</v>
      </c>
      <c r="P483">
        <v>0</v>
      </c>
      <c r="Q483">
        <f t="shared" si="38"/>
        <v>26</v>
      </c>
      <c r="S483" t="str">
        <f t="shared" si="39"/>
        <v>Mentally Unstable</v>
      </c>
    </row>
    <row r="484" spans="1:19" x14ac:dyDescent="0.25">
      <c r="A484">
        <v>18</v>
      </c>
      <c r="B484" t="str">
        <f t="shared" si="35"/>
        <v>Old Teenager</v>
      </c>
      <c r="C484" t="s">
        <v>16</v>
      </c>
      <c r="D484">
        <v>1.8</v>
      </c>
      <c r="E484" t="s">
        <v>20</v>
      </c>
      <c r="F484">
        <v>5.2</v>
      </c>
      <c r="G484">
        <v>1.4</v>
      </c>
      <c r="H484">
        <f t="shared" si="36"/>
        <v>3.2</v>
      </c>
      <c r="I484">
        <v>2.68</v>
      </c>
      <c r="J484" t="str">
        <f t="shared" si="37"/>
        <v>Second class lower</v>
      </c>
      <c r="K484">
        <v>0.1</v>
      </c>
      <c r="L484" t="s">
        <v>21</v>
      </c>
      <c r="M484">
        <v>6</v>
      </c>
      <c r="N484">
        <v>2</v>
      </c>
      <c r="O484">
        <v>10</v>
      </c>
      <c r="P484">
        <v>0</v>
      </c>
      <c r="Q484">
        <f t="shared" si="38"/>
        <v>18</v>
      </c>
      <c r="S484" t="str">
        <f t="shared" si="39"/>
        <v>Mentally Strained</v>
      </c>
    </row>
    <row r="485" spans="1:19" x14ac:dyDescent="0.25">
      <c r="A485">
        <v>16</v>
      </c>
      <c r="B485" t="str">
        <f t="shared" si="35"/>
        <v>Old Teenager</v>
      </c>
      <c r="C485" t="s">
        <v>19</v>
      </c>
      <c r="D485">
        <v>1.3</v>
      </c>
      <c r="E485" t="s">
        <v>17</v>
      </c>
      <c r="F485">
        <v>4.9000000000000004</v>
      </c>
      <c r="G485">
        <v>2.6</v>
      </c>
      <c r="H485">
        <f t="shared" si="36"/>
        <v>3.9000000000000004</v>
      </c>
      <c r="I485">
        <v>2.89</v>
      </c>
      <c r="J485" t="str">
        <f t="shared" si="37"/>
        <v>Second class lower</v>
      </c>
      <c r="K485">
        <v>0.2</v>
      </c>
      <c r="L485" t="s">
        <v>18</v>
      </c>
      <c r="M485">
        <v>2</v>
      </c>
      <c r="N485">
        <v>5</v>
      </c>
      <c r="O485">
        <v>2</v>
      </c>
      <c r="P485">
        <v>0</v>
      </c>
      <c r="Q485">
        <f t="shared" si="38"/>
        <v>9</v>
      </c>
      <c r="S485" t="str">
        <f t="shared" si="39"/>
        <v>Mentally Sound</v>
      </c>
    </row>
    <row r="486" spans="1:19" x14ac:dyDescent="0.25">
      <c r="A486">
        <v>15</v>
      </c>
      <c r="B486" t="str">
        <f t="shared" si="35"/>
        <v>Young Teenager</v>
      </c>
      <c r="C486" t="s">
        <v>16</v>
      </c>
      <c r="D486">
        <v>2.1</v>
      </c>
      <c r="E486" t="s">
        <v>17</v>
      </c>
      <c r="F486">
        <v>4.4000000000000004</v>
      </c>
      <c r="G486">
        <v>2.1</v>
      </c>
      <c r="H486">
        <f t="shared" si="36"/>
        <v>4.2</v>
      </c>
      <c r="I486">
        <v>3.43</v>
      </c>
      <c r="J486" t="str">
        <f t="shared" si="37"/>
        <v>Second class upper</v>
      </c>
      <c r="K486">
        <v>1.9</v>
      </c>
      <c r="L486" t="s">
        <v>18</v>
      </c>
      <c r="M486">
        <v>6</v>
      </c>
      <c r="N486">
        <v>6</v>
      </c>
      <c r="O486">
        <v>7</v>
      </c>
      <c r="P486">
        <v>0</v>
      </c>
      <c r="Q486">
        <f t="shared" si="38"/>
        <v>19</v>
      </c>
      <c r="S486" t="str">
        <f t="shared" si="39"/>
        <v>Mentally Strained</v>
      </c>
    </row>
    <row r="487" spans="1:19" x14ac:dyDescent="0.25">
      <c r="A487">
        <v>14</v>
      </c>
      <c r="B487" t="str">
        <f t="shared" si="35"/>
        <v>Young Teenager</v>
      </c>
      <c r="C487" t="s">
        <v>16</v>
      </c>
      <c r="D487">
        <v>3.9</v>
      </c>
      <c r="E487" t="s">
        <v>17</v>
      </c>
      <c r="F487">
        <v>7.7</v>
      </c>
      <c r="G487">
        <v>1.4</v>
      </c>
      <c r="H487">
        <f t="shared" si="36"/>
        <v>5.3</v>
      </c>
      <c r="I487">
        <v>2.86</v>
      </c>
      <c r="J487" t="str">
        <f t="shared" si="37"/>
        <v>Second class lower</v>
      </c>
      <c r="K487">
        <v>1.7</v>
      </c>
      <c r="L487" t="s">
        <v>21</v>
      </c>
      <c r="M487">
        <v>3</v>
      </c>
      <c r="N487">
        <v>5</v>
      </c>
      <c r="O487">
        <v>1</v>
      </c>
      <c r="P487">
        <v>0</v>
      </c>
      <c r="Q487">
        <f t="shared" si="38"/>
        <v>9</v>
      </c>
      <c r="S487" t="str">
        <f t="shared" si="39"/>
        <v>Mentally Sound</v>
      </c>
    </row>
    <row r="488" spans="1:19" x14ac:dyDescent="0.25">
      <c r="A488">
        <v>18</v>
      </c>
      <c r="B488" t="str">
        <f t="shared" si="35"/>
        <v>Old Teenager</v>
      </c>
      <c r="C488" t="s">
        <v>19</v>
      </c>
      <c r="D488">
        <v>3.8</v>
      </c>
      <c r="E488" t="s">
        <v>23</v>
      </c>
      <c r="F488">
        <v>4.5</v>
      </c>
      <c r="G488">
        <v>1.3</v>
      </c>
      <c r="H488">
        <f t="shared" si="36"/>
        <v>5.0999999999999996</v>
      </c>
      <c r="I488">
        <v>3.06</v>
      </c>
      <c r="J488" t="str">
        <f t="shared" si="37"/>
        <v>Second class upper</v>
      </c>
      <c r="K488">
        <v>0.3</v>
      </c>
      <c r="L488" t="s">
        <v>22</v>
      </c>
      <c r="M488">
        <v>7</v>
      </c>
      <c r="N488">
        <v>8</v>
      </c>
      <c r="O488">
        <v>1</v>
      </c>
      <c r="P488">
        <v>0</v>
      </c>
      <c r="Q488">
        <f t="shared" si="38"/>
        <v>16</v>
      </c>
      <c r="S488" t="str">
        <f t="shared" si="39"/>
        <v>Mentally Strained</v>
      </c>
    </row>
    <row r="489" spans="1:19" x14ac:dyDescent="0.25">
      <c r="A489">
        <v>15</v>
      </c>
      <c r="B489" t="str">
        <f t="shared" si="35"/>
        <v>Young Teenager</v>
      </c>
      <c r="C489" t="s">
        <v>16</v>
      </c>
      <c r="D489">
        <v>6.4</v>
      </c>
      <c r="E489" t="s">
        <v>17</v>
      </c>
      <c r="F489">
        <v>7.8</v>
      </c>
      <c r="G489">
        <v>0.7</v>
      </c>
      <c r="H489">
        <f t="shared" si="36"/>
        <v>7.1000000000000005</v>
      </c>
      <c r="I489">
        <v>2.6</v>
      </c>
      <c r="J489" t="str">
        <f t="shared" si="37"/>
        <v>Second class lower</v>
      </c>
      <c r="K489">
        <v>0.7</v>
      </c>
      <c r="L489" t="s">
        <v>21</v>
      </c>
      <c r="M489">
        <v>4</v>
      </c>
      <c r="N489">
        <v>4</v>
      </c>
      <c r="O489">
        <v>2</v>
      </c>
      <c r="P489">
        <v>0</v>
      </c>
      <c r="Q489">
        <f t="shared" si="38"/>
        <v>10</v>
      </c>
      <c r="S489" t="str">
        <f t="shared" si="39"/>
        <v>Mentally Strained</v>
      </c>
    </row>
    <row r="490" spans="1:19" x14ac:dyDescent="0.25">
      <c r="A490">
        <v>19</v>
      </c>
      <c r="B490" t="str">
        <f t="shared" si="35"/>
        <v>Old Teenager</v>
      </c>
      <c r="C490" t="s">
        <v>16</v>
      </c>
      <c r="D490">
        <v>3.2</v>
      </c>
      <c r="E490" t="s">
        <v>17</v>
      </c>
      <c r="F490">
        <v>6.2</v>
      </c>
      <c r="G490">
        <v>2.6</v>
      </c>
      <c r="H490">
        <f t="shared" si="36"/>
        <v>5.8000000000000007</v>
      </c>
      <c r="I490">
        <v>3.72</v>
      </c>
      <c r="J490" t="str">
        <f t="shared" si="37"/>
        <v>first class</v>
      </c>
      <c r="K490">
        <v>1.9</v>
      </c>
      <c r="L490" t="s">
        <v>21</v>
      </c>
      <c r="M490">
        <v>9</v>
      </c>
      <c r="N490">
        <v>5</v>
      </c>
      <c r="O490">
        <v>7</v>
      </c>
      <c r="P490">
        <v>0</v>
      </c>
      <c r="Q490">
        <f t="shared" si="38"/>
        <v>21</v>
      </c>
      <c r="S490" t="str">
        <f t="shared" si="39"/>
        <v>Mentally Unstable</v>
      </c>
    </row>
    <row r="491" spans="1:19" x14ac:dyDescent="0.25">
      <c r="A491">
        <v>13</v>
      </c>
      <c r="B491" t="str">
        <f t="shared" si="35"/>
        <v>Young Teenager</v>
      </c>
      <c r="C491" t="s">
        <v>16</v>
      </c>
      <c r="D491">
        <v>4.4000000000000004</v>
      </c>
      <c r="E491" t="s">
        <v>23</v>
      </c>
      <c r="F491">
        <v>8.1999999999999993</v>
      </c>
      <c r="G491">
        <v>1.5</v>
      </c>
      <c r="H491">
        <f t="shared" si="36"/>
        <v>5.9</v>
      </c>
      <c r="I491">
        <v>3.98</v>
      </c>
      <c r="J491" t="str">
        <f t="shared" si="37"/>
        <v>first class</v>
      </c>
      <c r="K491">
        <v>1.4</v>
      </c>
      <c r="L491" t="s">
        <v>21</v>
      </c>
      <c r="M491">
        <v>9</v>
      </c>
      <c r="N491">
        <v>6</v>
      </c>
      <c r="O491">
        <v>6</v>
      </c>
      <c r="P491">
        <v>0</v>
      </c>
      <c r="Q491">
        <f t="shared" si="38"/>
        <v>21</v>
      </c>
      <c r="S491" t="str">
        <f t="shared" si="39"/>
        <v>Mentally Unstable</v>
      </c>
    </row>
    <row r="492" spans="1:19" x14ac:dyDescent="0.25">
      <c r="A492">
        <v>15</v>
      </c>
      <c r="B492" t="str">
        <f t="shared" si="35"/>
        <v>Young Teenager</v>
      </c>
      <c r="C492" t="s">
        <v>16</v>
      </c>
      <c r="D492">
        <v>1.3</v>
      </c>
      <c r="E492" t="s">
        <v>20</v>
      </c>
      <c r="F492">
        <v>7.5</v>
      </c>
      <c r="G492">
        <v>1.3</v>
      </c>
      <c r="H492">
        <f t="shared" si="36"/>
        <v>2.6</v>
      </c>
      <c r="I492">
        <v>2.99</v>
      </c>
      <c r="J492" t="str">
        <f t="shared" si="37"/>
        <v>Second class lower</v>
      </c>
      <c r="K492">
        <v>1.4</v>
      </c>
      <c r="L492" t="s">
        <v>18</v>
      </c>
      <c r="M492">
        <v>1</v>
      </c>
      <c r="N492">
        <v>5</v>
      </c>
      <c r="O492">
        <v>2</v>
      </c>
      <c r="P492">
        <v>0</v>
      </c>
      <c r="Q492">
        <f t="shared" si="38"/>
        <v>8</v>
      </c>
      <c r="S492" t="str">
        <f t="shared" si="39"/>
        <v>Mentally Sound</v>
      </c>
    </row>
    <row r="493" spans="1:19" x14ac:dyDescent="0.25">
      <c r="A493">
        <v>18</v>
      </c>
      <c r="B493" t="str">
        <f t="shared" si="35"/>
        <v>Old Teenager</v>
      </c>
      <c r="C493" t="s">
        <v>19</v>
      </c>
      <c r="D493">
        <v>5.7</v>
      </c>
      <c r="E493" t="s">
        <v>20</v>
      </c>
      <c r="F493">
        <v>6.2</v>
      </c>
      <c r="G493">
        <v>0.5</v>
      </c>
      <c r="H493">
        <f t="shared" si="36"/>
        <v>6.2</v>
      </c>
      <c r="I493">
        <v>3.98</v>
      </c>
      <c r="J493" t="str">
        <f t="shared" si="37"/>
        <v>first class</v>
      </c>
      <c r="K493">
        <v>1.7</v>
      </c>
      <c r="L493" t="s">
        <v>22</v>
      </c>
      <c r="M493">
        <v>7</v>
      </c>
      <c r="N493">
        <v>6</v>
      </c>
      <c r="O493">
        <v>3</v>
      </c>
      <c r="P493">
        <v>0</v>
      </c>
      <c r="Q493">
        <f t="shared" si="38"/>
        <v>16</v>
      </c>
      <c r="S493" t="str">
        <f t="shared" si="39"/>
        <v>Mentally Strained</v>
      </c>
    </row>
    <row r="494" spans="1:19" x14ac:dyDescent="0.25">
      <c r="A494">
        <v>13</v>
      </c>
      <c r="B494" t="str">
        <f t="shared" si="35"/>
        <v>Young Teenager</v>
      </c>
      <c r="C494" t="s">
        <v>16</v>
      </c>
      <c r="D494">
        <v>4</v>
      </c>
      <c r="E494" t="s">
        <v>20</v>
      </c>
      <c r="F494">
        <v>5</v>
      </c>
      <c r="G494">
        <v>2.9</v>
      </c>
      <c r="H494">
        <f t="shared" si="36"/>
        <v>6.9</v>
      </c>
      <c r="I494">
        <v>3.84</v>
      </c>
      <c r="J494" t="str">
        <f t="shared" si="37"/>
        <v>first class</v>
      </c>
      <c r="K494">
        <v>0.1</v>
      </c>
      <c r="L494" t="s">
        <v>18</v>
      </c>
      <c r="M494">
        <v>7</v>
      </c>
      <c r="N494">
        <v>8</v>
      </c>
      <c r="O494">
        <v>10</v>
      </c>
      <c r="P494">
        <v>0</v>
      </c>
      <c r="Q494">
        <f t="shared" si="38"/>
        <v>25</v>
      </c>
      <c r="S494" t="str">
        <f t="shared" si="39"/>
        <v>Mentally Unstable</v>
      </c>
    </row>
    <row r="495" spans="1:19" x14ac:dyDescent="0.25">
      <c r="A495">
        <v>16</v>
      </c>
      <c r="B495" t="str">
        <f t="shared" si="35"/>
        <v>Old Teenager</v>
      </c>
      <c r="C495" t="s">
        <v>19</v>
      </c>
      <c r="D495">
        <v>4.8</v>
      </c>
      <c r="E495" t="s">
        <v>17</v>
      </c>
      <c r="F495">
        <v>6.7</v>
      </c>
      <c r="G495">
        <v>1.4</v>
      </c>
      <c r="H495">
        <f t="shared" si="36"/>
        <v>6.1999999999999993</v>
      </c>
      <c r="I495">
        <v>2.44</v>
      </c>
      <c r="J495" t="str">
        <f t="shared" si="37"/>
        <v>third class</v>
      </c>
      <c r="K495">
        <v>0.3</v>
      </c>
      <c r="L495" t="s">
        <v>18</v>
      </c>
      <c r="M495">
        <v>1</v>
      </c>
      <c r="N495">
        <v>3</v>
      </c>
      <c r="O495">
        <v>1</v>
      </c>
      <c r="P495">
        <v>0</v>
      </c>
      <c r="Q495">
        <f t="shared" si="38"/>
        <v>5</v>
      </c>
      <c r="S495" t="str">
        <f t="shared" si="39"/>
        <v>Mentally Sound</v>
      </c>
    </row>
    <row r="496" spans="1:19" x14ac:dyDescent="0.25">
      <c r="A496">
        <v>19</v>
      </c>
      <c r="B496" t="str">
        <f t="shared" si="35"/>
        <v>Old Teenager</v>
      </c>
      <c r="C496" t="s">
        <v>16</v>
      </c>
      <c r="D496">
        <v>5.8</v>
      </c>
      <c r="E496" t="s">
        <v>23</v>
      </c>
      <c r="F496">
        <v>7.5</v>
      </c>
      <c r="G496">
        <v>1.9</v>
      </c>
      <c r="H496">
        <f t="shared" si="36"/>
        <v>7.6999999999999993</v>
      </c>
      <c r="I496">
        <v>2.08</v>
      </c>
      <c r="J496" t="str">
        <f t="shared" si="37"/>
        <v>third class</v>
      </c>
      <c r="K496">
        <v>0.1</v>
      </c>
      <c r="L496" t="s">
        <v>21</v>
      </c>
      <c r="M496">
        <v>2</v>
      </c>
      <c r="N496">
        <v>1</v>
      </c>
      <c r="O496">
        <v>3</v>
      </c>
      <c r="P496">
        <v>0</v>
      </c>
      <c r="Q496">
        <f t="shared" si="38"/>
        <v>6</v>
      </c>
      <c r="S496" t="str">
        <f t="shared" si="39"/>
        <v>Mentally Sound</v>
      </c>
    </row>
    <row r="497" spans="1:19" x14ac:dyDescent="0.25">
      <c r="A497">
        <v>16</v>
      </c>
      <c r="B497" t="str">
        <f t="shared" si="35"/>
        <v>Old Teenager</v>
      </c>
      <c r="C497" t="s">
        <v>16</v>
      </c>
      <c r="D497">
        <v>5.8</v>
      </c>
      <c r="E497" t="s">
        <v>23</v>
      </c>
      <c r="F497">
        <v>8.9</v>
      </c>
      <c r="G497">
        <v>1.1000000000000001</v>
      </c>
      <c r="H497">
        <f t="shared" si="36"/>
        <v>6.9</v>
      </c>
      <c r="I497">
        <v>2.08</v>
      </c>
      <c r="J497" t="str">
        <f t="shared" si="37"/>
        <v>third class</v>
      </c>
      <c r="K497">
        <v>1.9</v>
      </c>
      <c r="L497" t="s">
        <v>22</v>
      </c>
      <c r="M497">
        <v>8</v>
      </c>
      <c r="N497">
        <v>5</v>
      </c>
      <c r="O497">
        <v>9</v>
      </c>
      <c r="P497">
        <v>0</v>
      </c>
      <c r="Q497">
        <f t="shared" si="38"/>
        <v>22</v>
      </c>
      <c r="S497" t="str">
        <f t="shared" si="39"/>
        <v>Mentally Unstable</v>
      </c>
    </row>
    <row r="498" spans="1:19" x14ac:dyDescent="0.25">
      <c r="A498">
        <v>13</v>
      </c>
      <c r="B498" t="str">
        <f t="shared" si="35"/>
        <v>Young Teenager</v>
      </c>
      <c r="C498" t="s">
        <v>16</v>
      </c>
      <c r="D498">
        <v>3.2</v>
      </c>
      <c r="E498" t="s">
        <v>20</v>
      </c>
      <c r="F498">
        <v>5.0999999999999996</v>
      </c>
      <c r="G498">
        <v>1.6</v>
      </c>
      <c r="H498">
        <f t="shared" si="36"/>
        <v>4.8000000000000007</v>
      </c>
      <c r="I498">
        <v>2.87</v>
      </c>
      <c r="J498" t="str">
        <f t="shared" si="37"/>
        <v>Second class lower</v>
      </c>
      <c r="K498">
        <v>1.8</v>
      </c>
      <c r="L498" t="s">
        <v>22</v>
      </c>
      <c r="M498">
        <v>4</v>
      </c>
      <c r="N498">
        <v>9</v>
      </c>
      <c r="O498">
        <v>8</v>
      </c>
      <c r="P498">
        <v>0</v>
      </c>
      <c r="Q498">
        <f t="shared" si="38"/>
        <v>21</v>
      </c>
      <c r="S498" t="str">
        <f t="shared" si="39"/>
        <v>Mentally Unstable</v>
      </c>
    </row>
    <row r="499" spans="1:19" x14ac:dyDescent="0.25">
      <c r="A499">
        <v>16</v>
      </c>
      <c r="B499" t="str">
        <f t="shared" si="35"/>
        <v>Old Teenager</v>
      </c>
      <c r="C499" t="s">
        <v>19</v>
      </c>
      <c r="D499">
        <v>5.2</v>
      </c>
      <c r="E499" t="s">
        <v>23</v>
      </c>
      <c r="F499">
        <v>4</v>
      </c>
      <c r="G499">
        <v>2.4</v>
      </c>
      <c r="H499">
        <f t="shared" si="36"/>
        <v>7.6</v>
      </c>
      <c r="I499">
        <v>2.35</v>
      </c>
      <c r="J499" t="str">
        <f t="shared" si="37"/>
        <v>third class</v>
      </c>
      <c r="K499">
        <v>1.6</v>
      </c>
      <c r="L499" t="s">
        <v>18</v>
      </c>
      <c r="M499">
        <v>10</v>
      </c>
      <c r="N499">
        <v>5</v>
      </c>
      <c r="O499">
        <v>2</v>
      </c>
      <c r="P499">
        <v>0</v>
      </c>
      <c r="Q499">
        <f t="shared" si="38"/>
        <v>17</v>
      </c>
      <c r="S499" t="str">
        <f t="shared" si="39"/>
        <v>Mentally Strained</v>
      </c>
    </row>
    <row r="500" spans="1:19" x14ac:dyDescent="0.25">
      <c r="A500">
        <v>17</v>
      </c>
      <c r="B500" t="str">
        <f t="shared" si="35"/>
        <v>Old Teenager</v>
      </c>
      <c r="C500" t="s">
        <v>16</v>
      </c>
      <c r="D500">
        <v>2.4</v>
      </c>
      <c r="E500" t="s">
        <v>20</v>
      </c>
      <c r="F500">
        <v>6</v>
      </c>
      <c r="G500">
        <v>0.7</v>
      </c>
      <c r="H500">
        <f t="shared" si="36"/>
        <v>3.0999999999999996</v>
      </c>
      <c r="I500">
        <v>3.67</v>
      </c>
      <c r="J500" t="str">
        <f t="shared" si="37"/>
        <v>first class</v>
      </c>
      <c r="K500">
        <v>1.5</v>
      </c>
      <c r="L500" t="s">
        <v>18</v>
      </c>
      <c r="M500">
        <v>7</v>
      </c>
      <c r="N500">
        <v>9</v>
      </c>
      <c r="O500">
        <v>2</v>
      </c>
      <c r="P500">
        <v>0</v>
      </c>
      <c r="Q500">
        <f t="shared" si="38"/>
        <v>18</v>
      </c>
      <c r="S500" t="str">
        <f t="shared" si="39"/>
        <v>Mentally Strained</v>
      </c>
    </row>
    <row r="501" spans="1:19" x14ac:dyDescent="0.25">
      <c r="A501">
        <v>15</v>
      </c>
      <c r="B501" t="str">
        <f t="shared" si="35"/>
        <v>Young Teenager</v>
      </c>
      <c r="C501" t="s">
        <v>16</v>
      </c>
      <c r="D501">
        <v>7.4</v>
      </c>
      <c r="E501" t="s">
        <v>23</v>
      </c>
      <c r="F501">
        <v>5.9</v>
      </c>
      <c r="G501">
        <v>2.6</v>
      </c>
      <c r="H501">
        <f t="shared" si="36"/>
        <v>10</v>
      </c>
      <c r="I501">
        <v>2.89</v>
      </c>
      <c r="J501" t="str">
        <f t="shared" si="37"/>
        <v>Second class lower</v>
      </c>
      <c r="K501">
        <v>1.9</v>
      </c>
      <c r="L501" t="s">
        <v>22</v>
      </c>
      <c r="M501">
        <v>7</v>
      </c>
      <c r="N501">
        <v>3</v>
      </c>
      <c r="O501">
        <v>8</v>
      </c>
      <c r="P501">
        <v>0</v>
      </c>
      <c r="Q501">
        <f t="shared" si="38"/>
        <v>18</v>
      </c>
      <c r="S501" t="str">
        <f t="shared" si="39"/>
        <v>Mentally Strained</v>
      </c>
    </row>
    <row r="502" spans="1:19" x14ac:dyDescent="0.25">
      <c r="A502">
        <v>18</v>
      </c>
      <c r="B502" t="str">
        <f t="shared" si="35"/>
        <v>Old Teenager</v>
      </c>
      <c r="C502" t="s">
        <v>19</v>
      </c>
      <c r="D502">
        <v>7.1</v>
      </c>
      <c r="E502" t="s">
        <v>17</v>
      </c>
      <c r="F502">
        <v>4.8</v>
      </c>
      <c r="G502">
        <v>2.1</v>
      </c>
      <c r="H502">
        <f t="shared" si="36"/>
        <v>9.1999999999999993</v>
      </c>
      <c r="I502">
        <v>2.5099999999999998</v>
      </c>
      <c r="J502" t="str">
        <f t="shared" si="37"/>
        <v>Second class lower</v>
      </c>
      <c r="K502">
        <v>0.9</v>
      </c>
      <c r="L502" t="s">
        <v>21</v>
      </c>
      <c r="M502">
        <v>1</v>
      </c>
      <c r="N502">
        <v>1</v>
      </c>
      <c r="O502">
        <v>10</v>
      </c>
      <c r="P502">
        <v>0</v>
      </c>
      <c r="Q502">
        <f t="shared" si="38"/>
        <v>12</v>
      </c>
      <c r="S502" t="str">
        <f t="shared" si="39"/>
        <v>Mentally Strained</v>
      </c>
    </row>
    <row r="503" spans="1:19" x14ac:dyDescent="0.25">
      <c r="A503">
        <v>16</v>
      </c>
      <c r="B503" t="str">
        <f t="shared" si="35"/>
        <v>Old Teenager</v>
      </c>
      <c r="C503" t="s">
        <v>16</v>
      </c>
      <c r="D503">
        <v>6.5</v>
      </c>
      <c r="E503" t="s">
        <v>20</v>
      </c>
      <c r="F503">
        <v>7.4</v>
      </c>
      <c r="G503">
        <v>1.9</v>
      </c>
      <c r="H503">
        <f t="shared" si="36"/>
        <v>8.4</v>
      </c>
      <c r="I503">
        <v>2.2200000000000002</v>
      </c>
      <c r="J503" t="str">
        <f t="shared" si="37"/>
        <v>third class</v>
      </c>
      <c r="K503">
        <v>1.1000000000000001</v>
      </c>
      <c r="L503" t="s">
        <v>22</v>
      </c>
      <c r="M503">
        <v>10</v>
      </c>
      <c r="N503">
        <v>10</v>
      </c>
      <c r="O503">
        <v>2</v>
      </c>
      <c r="P503">
        <v>0</v>
      </c>
      <c r="Q503">
        <f t="shared" si="38"/>
        <v>22</v>
      </c>
      <c r="S503" t="str">
        <f t="shared" si="39"/>
        <v>Mentally Unstable</v>
      </c>
    </row>
    <row r="504" spans="1:19" x14ac:dyDescent="0.25">
      <c r="A504">
        <v>13</v>
      </c>
      <c r="B504" t="str">
        <f t="shared" si="35"/>
        <v>Young Teenager</v>
      </c>
      <c r="C504" t="s">
        <v>16</v>
      </c>
      <c r="D504">
        <v>7.4</v>
      </c>
      <c r="E504" t="s">
        <v>23</v>
      </c>
      <c r="F504">
        <v>7</v>
      </c>
      <c r="G504">
        <v>1.8</v>
      </c>
      <c r="H504">
        <f t="shared" si="36"/>
        <v>9.2000000000000011</v>
      </c>
      <c r="I504">
        <v>2.17</v>
      </c>
      <c r="J504" t="str">
        <f t="shared" si="37"/>
        <v>third class</v>
      </c>
      <c r="K504">
        <v>1.4</v>
      </c>
      <c r="L504" t="s">
        <v>22</v>
      </c>
      <c r="M504">
        <v>9</v>
      </c>
      <c r="N504">
        <v>10</v>
      </c>
      <c r="O504">
        <v>5</v>
      </c>
      <c r="P504">
        <v>0</v>
      </c>
      <c r="Q504">
        <f t="shared" si="38"/>
        <v>24</v>
      </c>
      <c r="S504" t="str">
        <f t="shared" si="39"/>
        <v>Mentally Unstable</v>
      </c>
    </row>
    <row r="505" spans="1:19" x14ac:dyDescent="0.25">
      <c r="A505">
        <v>15</v>
      </c>
      <c r="B505" t="str">
        <f t="shared" si="35"/>
        <v>Young Teenager</v>
      </c>
      <c r="C505" t="s">
        <v>19</v>
      </c>
      <c r="D505">
        <v>3.9</v>
      </c>
      <c r="E505" t="s">
        <v>17</v>
      </c>
      <c r="F505">
        <v>6.4</v>
      </c>
      <c r="G505">
        <v>1.7</v>
      </c>
      <c r="H505">
        <f t="shared" si="36"/>
        <v>5.6</v>
      </c>
      <c r="I505">
        <v>2.87</v>
      </c>
      <c r="J505" t="str">
        <f t="shared" si="37"/>
        <v>Second class lower</v>
      </c>
      <c r="K505">
        <v>1.8</v>
      </c>
      <c r="L505" t="s">
        <v>21</v>
      </c>
      <c r="M505">
        <v>6</v>
      </c>
      <c r="N505">
        <v>6</v>
      </c>
      <c r="O505">
        <v>6</v>
      </c>
      <c r="P505">
        <v>0</v>
      </c>
      <c r="Q505">
        <f t="shared" si="38"/>
        <v>18</v>
      </c>
      <c r="S505" t="str">
        <f t="shared" si="39"/>
        <v>Mentally Strained</v>
      </c>
    </row>
    <row r="506" spans="1:19" x14ac:dyDescent="0.25">
      <c r="A506">
        <v>15</v>
      </c>
      <c r="B506" t="str">
        <f t="shared" si="35"/>
        <v>Young Teenager</v>
      </c>
      <c r="C506" t="s">
        <v>19</v>
      </c>
      <c r="D506">
        <v>4.5999999999999996</v>
      </c>
      <c r="E506" t="s">
        <v>23</v>
      </c>
      <c r="F506">
        <v>8.6</v>
      </c>
      <c r="G506">
        <v>2</v>
      </c>
      <c r="H506">
        <f t="shared" si="36"/>
        <v>6.6</v>
      </c>
      <c r="I506">
        <v>3.01</v>
      </c>
      <c r="J506" t="str">
        <f t="shared" si="37"/>
        <v>Second class upper</v>
      </c>
      <c r="K506">
        <v>0</v>
      </c>
      <c r="L506" t="s">
        <v>18</v>
      </c>
      <c r="M506">
        <v>1</v>
      </c>
      <c r="N506">
        <v>8</v>
      </c>
      <c r="O506">
        <v>3</v>
      </c>
      <c r="P506">
        <v>0</v>
      </c>
      <c r="Q506">
        <f t="shared" si="38"/>
        <v>12</v>
      </c>
      <c r="S506" t="str">
        <f t="shared" si="39"/>
        <v>Mentally Strained</v>
      </c>
    </row>
    <row r="507" spans="1:19" x14ac:dyDescent="0.25">
      <c r="A507">
        <v>19</v>
      </c>
      <c r="B507" t="str">
        <f t="shared" si="35"/>
        <v>Old Teenager</v>
      </c>
      <c r="C507" t="s">
        <v>16</v>
      </c>
      <c r="D507">
        <v>1.5</v>
      </c>
      <c r="E507" t="s">
        <v>20</v>
      </c>
      <c r="F507">
        <v>6.7</v>
      </c>
      <c r="G507">
        <v>1</v>
      </c>
      <c r="H507">
        <f t="shared" si="36"/>
        <v>2.5</v>
      </c>
      <c r="I507">
        <v>3.9</v>
      </c>
      <c r="J507" t="str">
        <f t="shared" si="37"/>
        <v>first class</v>
      </c>
      <c r="K507">
        <v>0.4</v>
      </c>
      <c r="L507" t="s">
        <v>18</v>
      </c>
      <c r="M507">
        <v>4</v>
      </c>
      <c r="N507">
        <v>3</v>
      </c>
      <c r="O507">
        <v>3</v>
      </c>
      <c r="P507">
        <v>0</v>
      </c>
      <c r="Q507">
        <f t="shared" si="38"/>
        <v>10</v>
      </c>
      <c r="S507" t="str">
        <f t="shared" si="39"/>
        <v>Mentally Strained</v>
      </c>
    </row>
    <row r="508" spans="1:19" x14ac:dyDescent="0.25">
      <c r="A508">
        <v>15</v>
      </c>
      <c r="B508" t="str">
        <f t="shared" si="35"/>
        <v>Young Teenager</v>
      </c>
      <c r="C508" t="s">
        <v>19</v>
      </c>
      <c r="D508">
        <v>5.8</v>
      </c>
      <c r="E508" t="s">
        <v>17</v>
      </c>
      <c r="F508">
        <v>7.1</v>
      </c>
      <c r="G508">
        <v>1.1000000000000001</v>
      </c>
      <c r="H508">
        <f t="shared" si="36"/>
        <v>6.9</v>
      </c>
      <c r="I508">
        <v>3.72</v>
      </c>
      <c r="J508" t="str">
        <f t="shared" si="37"/>
        <v>first class</v>
      </c>
      <c r="K508">
        <v>1.5</v>
      </c>
      <c r="L508" t="s">
        <v>18</v>
      </c>
      <c r="M508">
        <v>9</v>
      </c>
      <c r="N508">
        <v>6</v>
      </c>
      <c r="O508">
        <v>6</v>
      </c>
      <c r="P508">
        <v>0</v>
      </c>
      <c r="Q508">
        <f t="shared" si="38"/>
        <v>21</v>
      </c>
      <c r="S508" t="str">
        <f t="shared" si="39"/>
        <v>Mentally Unstable</v>
      </c>
    </row>
    <row r="509" spans="1:19" x14ac:dyDescent="0.25">
      <c r="A509">
        <v>17</v>
      </c>
      <c r="B509" t="str">
        <f t="shared" si="35"/>
        <v>Old Teenager</v>
      </c>
      <c r="C509" t="s">
        <v>19</v>
      </c>
      <c r="D509">
        <v>6.4</v>
      </c>
      <c r="E509" t="s">
        <v>20</v>
      </c>
      <c r="F509">
        <v>4.9000000000000004</v>
      </c>
      <c r="G509">
        <v>2.1</v>
      </c>
      <c r="H509">
        <f t="shared" si="36"/>
        <v>8.5</v>
      </c>
      <c r="I509">
        <v>2.78</v>
      </c>
      <c r="J509" t="str">
        <f t="shared" si="37"/>
        <v>Second class lower</v>
      </c>
      <c r="K509">
        <v>1</v>
      </c>
      <c r="L509" t="s">
        <v>21</v>
      </c>
      <c r="M509">
        <v>2</v>
      </c>
      <c r="N509">
        <v>2</v>
      </c>
      <c r="O509">
        <v>6</v>
      </c>
      <c r="P509">
        <v>0</v>
      </c>
      <c r="Q509">
        <f t="shared" si="38"/>
        <v>10</v>
      </c>
      <c r="S509" t="str">
        <f t="shared" si="39"/>
        <v>Mentally Strained</v>
      </c>
    </row>
    <row r="510" spans="1:19" x14ac:dyDescent="0.25">
      <c r="A510">
        <v>16</v>
      </c>
      <c r="B510" t="str">
        <f t="shared" si="35"/>
        <v>Old Teenager</v>
      </c>
      <c r="C510" t="s">
        <v>19</v>
      </c>
      <c r="D510">
        <v>2.1</v>
      </c>
      <c r="E510" t="s">
        <v>20</v>
      </c>
      <c r="F510">
        <v>8.1999999999999993</v>
      </c>
      <c r="G510">
        <v>2.4</v>
      </c>
      <c r="H510">
        <f t="shared" si="36"/>
        <v>4.5</v>
      </c>
      <c r="I510">
        <v>3.25</v>
      </c>
      <c r="J510" t="str">
        <f t="shared" si="37"/>
        <v>Second class upper</v>
      </c>
      <c r="K510">
        <v>0.1</v>
      </c>
      <c r="L510" t="s">
        <v>21</v>
      </c>
      <c r="M510">
        <v>1</v>
      </c>
      <c r="N510">
        <v>1</v>
      </c>
      <c r="O510">
        <v>8</v>
      </c>
      <c r="P510">
        <v>0</v>
      </c>
      <c r="Q510">
        <f t="shared" si="38"/>
        <v>10</v>
      </c>
      <c r="S510" t="str">
        <f t="shared" si="39"/>
        <v>Mentally Strained</v>
      </c>
    </row>
    <row r="511" spans="1:19" x14ac:dyDescent="0.25">
      <c r="A511">
        <v>17</v>
      </c>
      <c r="B511" t="str">
        <f t="shared" si="35"/>
        <v>Old Teenager</v>
      </c>
      <c r="C511" t="s">
        <v>19</v>
      </c>
      <c r="D511">
        <v>2.2000000000000002</v>
      </c>
      <c r="E511" t="s">
        <v>20</v>
      </c>
      <c r="F511">
        <v>6.5</v>
      </c>
      <c r="G511">
        <v>3</v>
      </c>
      <c r="H511">
        <f t="shared" si="36"/>
        <v>5.2</v>
      </c>
      <c r="I511">
        <v>2.4900000000000002</v>
      </c>
      <c r="J511" t="str">
        <f t="shared" si="37"/>
        <v>third class</v>
      </c>
      <c r="K511">
        <v>0.2</v>
      </c>
      <c r="L511" t="s">
        <v>22</v>
      </c>
      <c r="M511">
        <v>5</v>
      </c>
      <c r="N511">
        <v>8</v>
      </c>
      <c r="O511">
        <v>4</v>
      </c>
      <c r="P511">
        <v>0</v>
      </c>
      <c r="Q511">
        <f t="shared" si="38"/>
        <v>17</v>
      </c>
      <c r="S511" t="str">
        <f t="shared" si="39"/>
        <v>Mentally Strained</v>
      </c>
    </row>
    <row r="512" spans="1:19" x14ac:dyDescent="0.25">
      <c r="A512">
        <v>14</v>
      </c>
      <c r="B512" t="str">
        <f t="shared" si="35"/>
        <v>Young Teenager</v>
      </c>
      <c r="C512" t="s">
        <v>16</v>
      </c>
      <c r="D512">
        <v>5.5</v>
      </c>
      <c r="E512" t="s">
        <v>20</v>
      </c>
      <c r="F512">
        <v>7.4</v>
      </c>
      <c r="G512">
        <v>2.9</v>
      </c>
      <c r="H512">
        <f t="shared" si="36"/>
        <v>8.4</v>
      </c>
      <c r="I512">
        <v>3.54</v>
      </c>
      <c r="J512" t="str">
        <f t="shared" si="37"/>
        <v>Second class upper</v>
      </c>
      <c r="K512">
        <v>1.1000000000000001</v>
      </c>
      <c r="L512" t="s">
        <v>21</v>
      </c>
      <c r="M512">
        <v>8</v>
      </c>
      <c r="N512">
        <v>4</v>
      </c>
      <c r="O512">
        <v>10</v>
      </c>
      <c r="P512">
        <v>0</v>
      </c>
      <c r="Q512">
        <f t="shared" si="38"/>
        <v>22</v>
      </c>
      <c r="S512" t="str">
        <f t="shared" si="39"/>
        <v>Mentally Unstable</v>
      </c>
    </row>
    <row r="513" spans="1:19" x14ac:dyDescent="0.25">
      <c r="A513">
        <v>17</v>
      </c>
      <c r="B513" t="str">
        <f t="shared" si="35"/>
        <v>Old Teenager</v>
      </c>
      <c r="C513" t="s">
        <v>19</v>
      </c>
      <c r="D513">
        <v>6.6</v>
      </c>
      <c r="E513" t="s">
        <v>23</v>
      </c>
      <c r="F513">
        <v>7.4</v>
      </c>
      <c r="G513">
        <v>2.2000000000000002</v>
      </c>
      <c r="H513">
        <f t="shared" si="36"/>
        <v>8.8000000000000007</v>
      </c>
      <c r="I513">
        <v>2.63</v>
      </c>
      <c r="J513" t="str">
        <f t="shared" si="37"/>
        <v>Second class lower</v>
      </c>
      <c r="K513">
        <v>0.6</v>
      </c>
      <c r="L513" t="s">
        <v>21</v>
      </c>
      <c r="M513">
        <v>7</v>
      </c>
      <c r="N513">
        <v>4</v>
      </c>
      <c r="O513">
        <v>9</v>
      </c>
      <c r="P513">
        <v>0</v>
      </c>
      <c r="Q513">
        <f t="shared" si="38"/>
        <v>20</v>
      </c>
      <c r="S513" t="str">
        <f t="shared" si="39"/>
        <v>Mentally Unstable</v>
      </c>
    </row>
    <row r="514" spans="1:19" x14ac:dyDescent="0.25">
      <c r="A514">
        <v>19</v>
      </c>
      <c r="B514" t="str">
        <f t="shared" si="35"/>
        <v>Old Teenager</v>
      </c>
      <c r="C514" t="s">
        <v>19</v>
      </c>
      <c r="D514">
        <v>5.2</v>
      </c>
      <c r="E514" t="s">
        <v>17</v>
      </c>
      <c r="F514">
        <v>6.6</v>
      </c>
      <c r="G514">
        <v>1.6</v>
      </c>
      <c r="H514">
        <f t="shared" si="36"/>
        <v>6.8000000000000007</v>
      </c>
      <c r="I514">
        <v>2.36</v>
      </c>
      <c r="J514" t="str">
        <f t="shared" si="37"/>
        <v>third class</v>
      </c>
      <c r="K514">
        <v>1.4</v>
      </c>
      <c r="L514" t="s">
        <v>18</v>
      </c>
      <c r="M514">
        <v>2</v>
      </c>
      <c r="N514">
        <v>6</v>
      </c>
      <c r="O514">
        <v>10</v>
      </c>
      <c r="P514">
        <v>0</v>
      </c>
      <c r="Q514">
        <f t="shared" si="38"/>
        <v>18</v>
      </c>
      <c r="S514" t="str">
        <f t="shared" si="39"/>
        <v>Mentally Strained</v>
      </c>
    </row>
    <row r="515" spans="1:19" x14ac:dyDescent="0.25">
      <c r="A515">
        <v>17</v>
      </c>
      <c r="B515" t="str">
        <f t="shared" ref="B515:B578" si="40">IF(A515&lt;=15,"Young Teenager","Old Teenager")</f>
        <v>Old Teenager</v>
      </c>
      <c r="C515" t="s">
        <v>16</v>
      </c>
      <c r="D515">
        <v>4.7</v>
      </c>
      <c r="E515" t="s">
        <v>20</v>
      </c>
      <c r="F515">
        <v>5.0999999999999996</v>
      </c>
      <c r="G515">
        <v>2</v>
      </c>
      <c r="H515">
        <f t="shared" ref="H515:H578" si="41">SUM(D515,G515)</f>
        <v>6.7</v>
      </c>
      <c r="I515">
        <v>2.35</v>
      </c>
      <c r="J515" t="str">
        <f t="shared" ref="J515:J578" si="42">IF(I515&lt;=2.49,"third class",IF(I515&lt;3,"Second class lower",IF(I515&lt;3.6,"Second class upper","first class")))</f>
        <v>third class</v>
      </c>
      <c r="K515">
        <v>1.8</v>
      </c>
      <c r="L515" t="s">
        <v>18</v>
      </c>
      <c r="M515">
        <v>8</v>
      </c>
      <c r="N515">
        <v>9</v>
      </c>
      <c r="O515">
        <v>1</v>
      </c>
      <c r="P515">
        <v>0</v>
      </c>
      <c r="Q515">
        <f t="shared" ref="Q515:Q578" si="43">SUM(M515:P515)</f>
        <v>18</v>
      </c>
      <c r="S515" t="str">
        <f t="shared" ref="S515:S578" si="44">IF(Q515&lt;10,"Mentally Sound",IF(Q515&gt;=20,"Mentally Unstable","Mentally Strained"))</f>
        <v>Mentally Strained</v>
      </c>
    </row>
    <row r="516" spans="1:19" x14ac:dyDescent="0.25">
      <c r="A516">
        <v>19</v>
      </c>
      <c r="B516" t="str">
        <f t="shared" si="40"/>
        <v>Old Teenager</v>
      </c>
      <c r="C516" t="s">
        <v>19</v>
      </c>
      <c r="D516">
        <v>7.1</v>
      </c>
      <c r="E516" t="s">
        <v>23</v>
      </c>
      <c r="F516">
        <v>6.3</v>
      </c>
      <c r="G516">
        <v>2.2000000000000002</v>
      </c>
      <c r="H516">
        <f t="shared" si="41"/>
        <v>9.3000000000000007</v>
      </c>
      <c r="I516">
        <v>3.88</v>
      </c>
      <c r="J516" t="str">
        <f t="shared" si="42"/>
        <v>first class</v>
      </c>
      <c r="K516">
        <v>0.8</v>
      </c>
      <c r="L516" t="s">
        <v>21</v>
      </c>
      <c r="M516">
        <v>10</v>
      </c>
      <c r="N516">
        <v>4</v>
      </c>
      <c r="O516">
        <v>9</v>
      </c>
      <c r="P516">
        <v>0</v>
      </c>
      <c r="Q516">
        <f t="shared" si="43"/>
        <v>23</v>
      </c>
      <c r="S516" t="str">
        <f t="shared" si="44"/>
        <v>Mentally Unstable</v>
      </c>
    </row>
    <row r="517" spans="1:19" x14ac:dyDescent="0.25">
      <c r="A517">
        <v>19</v>
      </c>
      <c r="B517" t="str">
        <f t="shared" si="40"/>
        <v>Old Teenager</v>
      </c>
      <c r="C517" t="s">
        <v>19</v>
      </c>
      <c r="D517">
        <v>4.2</v>
      </c>
      <c r="E517" t="s">
        <v>23</v>
      </c>
      <c r="F517">
        <v>8.1</v>
      </c>
      <c r="G517">
        <v>1.4</v>
      </c>
      <c r="H517">
        <f t="shared" si="41"/>
        <v>5.6</v>
      </c>
      <c r="I517">
        <v>2.66</v>
      </c>
      <c r="J517" t="str">
        <f t="shared" si="42"/>
        <v>Second class lower</v>
      </c>
      <c r="K517">
        <v>1.9</v>
      </c>
      <c r="L517" t="s">
        <v>18</v>
      </c>
      <c r="M517">
        <v>9</v>
      </c>
      <c r="N517">
        <v>4</v>
      </c>
      <c r="O517">
        <v>2</v>
      </c>
      <c r="P517">
        <v>0</v>
      </c>
      <c r="Q517">
        <f t="shared" si="43"/>
        <v>15</v>
      </c>
      <c r="S517" t="str">
        <f t="shared" si="44"/>
        <v>Mentally Strained</v>
      </c>
    </row>
    <row r="518" spans="1:19" x14ac:dyDescent="0.25">
      <c r="A518">
        <v>17</v>
      </c>
      <c r="B518" t="str">
        <f t="shared" si="40"/>
        <v>Old Teenager</v>
      </c>
      <c r="C518" t="s">
        <v>19</v>
      </c>
      <c r="D518">
        <v>1.3</v>
      </c>
      <c r="E518" t="s">
        <v>17</v>
      </c>
      <c r="F518">
        <v>5.0999999999999996</v>
      </c>
      <c r="G518">
        <v>2.2000000000000002</v>
      </c>
      <c r="H518">
        <f t="shared" si="41"/>
        <v>3.5</v>
      </c>
      <c r="I518">
        <v>3.44</v>
      </c>
      <c r="J518" t="str">
        <f t="shared" si="42"/>
        <v>Second class upper</v>
      </c>
      <c r="K518">
        <v>0.6</v>
      </c>
      <c r="L518" t="s">
        <v>21</v>
      </c>
      <c r="M518">
        <v>7</v>
      </c>
      <c r="N518">
        <v>8</v>
      </c>
      <c r="O518">
        <v>6</v>
      </c>
      <c r="P518">
        <v>0</v>
      </c>
      <c r="Q518">
        <f t="shared" si="43"/>
        <v>21</v>
      </c>
      <c r="S518" t="str">
        <f t="shared" si="44"/>
        <v>Mentally Unstable</v>
      </c>
    </row>
    <row r="519" spans="1:19" x14ac:dyDescent="0.25">
      <c r="A519">
        <v>18</v>
      </c>
      <c r="B519" t="str">
        <f t="shared" si="40"/>
        <v>Old Teenager</v>
      </c>
      <c r="C519" t="s">
        <v>16</v>
      </c>
      <c r="D519">
        <v>2.6</v>
      </c>
      <c r="E519" t="s">
        <v>23</v>
      </c>
      <c r="F519">
        <v>7.8</v>
      </c>
      <c r="G519">
        <v>1.9</v>
      </c>
      <c r="H519">
        <f t="shared" si="41"/>
        <v>4.5</v>
      </c>
      <c r="I519">
        <v>3.15</v>
      </c>
      <c r="J519" t="str">
        <f t="shared" si="42"/>
        <v>Second class upper</v>
      </c>
      <c r="K519">
        <v>0.4</v>
      </c>
      <c r="L519" t="s">
        <v>22</v>
      </c>
      <c r="M519">
        <v>8</v>
      </c>
      <c r="N519">
        <v>3</v>
      </c>
      <c r="O519">
        <v>2</v>
      </c>
      <c r="P519">
        <v>0</v>
      </c>
      <c r="Q519">
        <f t="shared" si="43"/>
        <v>13</v>
      </c>
      <c r="S519" t="str">
        <f t="shared" si="44"/>
        <v>Mentally Strained</v>
      </c>
    </row>
    <row r="520" spans="1:19" x14ac:dyDescent="0.25">
      <c r="A520">
        <v>15</v>
      </c>
      <c r="B520" t="str">
        <f t="shared" si="40"/>
        <v>Young Teenager</v>
      </c>
      <c r="C520" t="s">
        <v>16</v>
      </c>
      <c r="D520">
        <v>6.2</v>
      </c>
      <c r="E520" t="s">
        <v>17</v>
      </c>
      <c r="F520">
        <v>8.1</v>
      </c>
      <c r="G520">
        <v>2.2999999999999998</v>
      </c>
      <c r="H520">
        <f t="shared" si="41"/>
        <v>8.5</v>
      </c>
      <c r="I520">
        <v>3.46</v>
      </c>
      <c r="J520" t="str">
        <f t="shared" si="42"/>
        <v>Second class upper</v>
      </c>
      <c r="K520">
        <v>1.3</v>
      </c>
      <c r="L520" t="s">
        <v>18</v>
      </c>
      <c r="M520">
        <v>5</v>
      </c>
      <c r="N520">
        <v>4</v>
      </c>
      <c r="O520">
        <v>9</v>
      </c>
      <c r="P520">
        <v>0</v>
      </c>
      <c r="Q520">
        <f t="shared" si="43"/>
        <v>18</v>
      </c>
      <c r="S520" t="str">
        <f t="shared" si="44"/>
        <v>Mentally Strained</v>
      </c>
    </row>
    <row r="521" spans="1:19" x14ac:dyDescent="0.25">
      <c r="A521">
        <v>14</v>
      </c>
      <c r="B521" t="str">
        <f t="shared" si="40"/>
        <v>Young Teenager</v>
      </c>
      <c r="C521" t="s">
        <v>19</v>
      </c>
      <c r="D521">
        <v>6.2</v>
      </c>
      <c r="E521" t="s">
        <v>20</v>
      </c>
      <c r="F521">
        <v>5.0999999999999996</v>
      </c>
      <c r="G521">
        <v>1.5</v>
      </c>
      <c r="H521">
        <f t="shared" si="41"/>
        <v>7.7</v>
      </c>
      <c r="I521">
        <v>3.85</v>
      </c>
      <c r="J521" t="str">
        <f t="shared" si="42"/>
        <v>first class</v>
      </c>
      <c r="K521">
        <v>0.2</v>
      </c>
      <c r="L521" t="s">
        <v>21</v>
      </c>
      <c r="M521">
        <v>3</v>
      </c>
      <c r="N521">
        <v>4</v>
      </c>
      <c r="O521">
        <v>10</v>
      </c>
      <c r="P521">
        <v>0</v>
      </c>
      <c r="Q521">
        <f t="shared" si="43"/>
        <v>17</v>
      </c>
      <c r="S521" t="str">
        <f t="shared" si="44"/>
        <v>Mentally Strained</v>
      </c>
    </row>
    <row r="522" spans="1:19" x14ac:dyDescent="0.25">
      <c r="A522">
        <v>18</v>
      </c>
      <c r="B522" t="str">
        <f t="shared" si="40"/>
        <v>Old Teenager</v>
      </c>
      <c r="C522" t="s">
        <v>16</v>
      </c>
      <c r="D522">
        <v>4.8</v>
      </c>
      <c r="E522" t="s">
        <v>20</v>
      </c>
      <c r="F522">
        <v>8.5</v>
      </c>
      <c r="G522">
        <v>2.8</v>
      </c>
      <c r="H522">
        <f t="shared" si="41"/>
        <v>7.6</v>
      </c>
      <c r="I522">
        <v>3.77</v>
      </c>
      <c r="J522" t="str">
        <f t="shared" si="42"/>
        <v>first class</v>
      </c>
      <c r="K522">
        <v>1.3</v>
      </c>
      <c r="L522" t="s">
        <v>18</v>
      </c>
      <c r="M522">
        <v>5</v>
      </c>
      <c r="N522">
        <v>4</v>
      </c>
      <c r="O522">
        <v>3</v>
      </c>
      <c r="P522">
        <v>0</v>
      </c>
      <c r="Q522">
        <f t="shared" si="43"/>
        <v>12</v>
      </c>
      <c r="S522" t="str">
        <f t="shared" si="44"/>
        <v>Mentally Strained</v>
      </c>
    </row>
    <row r="523" spans="1:19" x14ac:dyDescent="0.25">
      <c r="A523">
        <v>18</v>
      </c>
      <c r="B523" t="str">
        <f t="shared" si="40"/>
        <v>Old Teenager</v>
      </c>
      <c r="C523" t="s">
        <v>19</v>
      </c>
      <c r="D523">
        <v>3</v>
      </c>
      <c r="E523" t="s">
        <v>23</v>
      </c>
      <c r="F523">
        <v>4.5999999999999996</v>
      </c>
      <c r="G523">
        <v>2</v>
      </c>
      <c r="H523">
        <f t="shared" si="41"/>
        <v>5</v>
      </c>
      <c r="I523">
        <v>2.2400000000000002</v>
      </c>
      <c r="J523" t="str">
        <f t="shared" si="42"/>
        <v>third class</v>
      </c>
      <c r="K523">
        <v>1.5</v>
      </c>
      <c r="L523" t="s">
        <v>22</v>
      </c>
      <c r="M523">
        <v>10</v>
      </c>
      <c r="N523">
        <v>2</v>
      </c>
      <c r="O523">
        <v>5</v>
      </c>
      <c r="P523">
        <v>0</v>
      </c>
      <c r="Q523">
        <f t="shared" si="43"/>
        <v>17</v>
      </c>
      <c r="S523" t="str">
        <f t="shared" si="44"/>
        <v>Mentally Strained</v>
      </c>
    </row>
    <row r="524" spans="1:19" x14ac:dyDescent="0.25">
      <c r="A524">
        <v>16</v>
      </c>
      <c r="B524" t="str">
        <f t="shared" si="40"/>
        <v>Old Teenager</v>
      </c>
      <c r="C524" t="s">
        <v>16</v>
      </c>
      <c r="D524">
        <v>4.7</v>
      </c>
      <c r="E524" t="s">
        <v>17</v>
      </c>
      <c r="F524">
        <v>8.1999999999999993</v>
      </c>
      <c r="G524">
        <v>2.7</v>
      </c>
      <c r="H524">
        <f t="shared" si="41"/>
        <v>7.4</v>
      </c>
      <c r="I524">
        <v>3.04</v>
      </c>
      <c r="J524" t="str">
        <f t="shared" si="42"/>
        <v>Second class upper</v>
      </c>
      <c r="K524">
        <v>0.3</v>
      </c>
      <c r="L524" t="s">
        <v>21</v>
      </c>
      <c r="M524">
        <v>1</v>
      </c>
      <c r="N524">
        <v>3</v>
      </c>
      <c r="O524">
        <v>4</v>
      </c>
      <c r="P524">
        <v>0</v>
      </c>
      <c r="Q524">
        <f t="shared" si="43"/>
        <v>8</v>
      </c>
      <c r="S524" t="str">
        <f t="shared" si="44"/>
        <v>Mentally Sound</v>
      </c>
    </row>
    <row r="525" spans="1:19" x14ac:dyDescent="0.25">
      <c r="A525">
        <v>18</v>
      </c>
      <c r="B525" t="str">
        <f t="shared" si="40"/>
        <v>Old Teenager</v>
      </c>
      <c r="C525" t="s">
        <v>19</v>
      </c>
      <c r="D525">
        <v>4.4000000000000004</v>
      </c>
      <c r="E525" t="s">
        <v>23</v>
      </c>
      <c r="F525">
        <v>5.0999999999999996</v>
      </c>
      <c r="G525">
        <v>1.4</v>
      </c>
      <c r="H525">
        <f t="shared" si="41"/>
        <v>5.8000000000000007</v>
      </c>
      <c r="I525">
        <v>2.33</v>
      </c>
      <c r="J525" t="str">
        <f t="shared" si="42"/>
        <v>third class</v>
      </c>
      <c r="K525">
        <v>0.6</v>
      </c>
      <c r="L525" t="s">
        <v>18</v>
      </c>
      <c r="M525">
        <v>2</v>
      </c>
      <c r="N525">
        <v>7</v>
      </c>
      <c r="O525">
        <v>4</v>
      </c>
      <c r="P525">
        <v>0</v>
      </c>
      <c r="Q525">
        <f t="shared" si="43"/>
        <v>13</v>
      </c>
      <c r="S525" t="str">
        <f t="shared" si="44"/>
        <v>Mentally Strained</v>
      </c>
    </row>
    <row r="526" spans="1:19" x14ac:dyDescent="0.25">
      <c r="A526">
        <v>14</v>
      </c>
      <c r="B526" t="str">
        <f t="shared" si="40"/>
        <v>Young Teenager</v>
      </c>
      <c r="C526" t="s">
        <v>19</v>
      </c>
      <c r="D526">
        <v>2.2999999999999998</v>
      </c>
      <c r="E526" t="s">
        <v>20</v>
      </c>
      <c r="F526">
        <v>7.3</v>
      </c>
      <c r="G526">
        <v>2.2999999999999998</v>
      </c>
      <c r="H526">
        <f t="shared" si="41"/>
        <v>4.5999999999999996</v>
      </c>
      <c r="I526">
        <v>2.8</v>
      </c>
      <c r="J526" t="str">
        <f t="shared" si="42"/>
        <v>Second class lower</v>
      </c>
      <c r="K526">
        <v>1.5</v>
      </c>
      <c r="L526" t="s">
        <v>22</v>
      </c>
      <c r="M526">
        <v>4</v>
      </c>
      <c r="N526">
        <v>6</v>
      </c>
      <c r="O526">
        <v>5</v>
      </c>
      <c r="P526">
        <v>0</v>
      </c>
      <c r="Q526">
        <f t="shared" si="43"/>
        <v>15</v>
      </c>
      <c r="S526" t="str">
        <f t="shared" si="44"/>
        <v>Mentally Strained</v>
      </c>
    </row>
    <row r="527" spans="1:19" x14ac:dyDescent="0.25">
      <c r="A527">
        <v>14</v>
      </c>
      <c r="B527" t="str">
        <f t="shared" si="40"/>
        <v>Young Teenager</v>
      </c>
      <c r="C527" t="s">
        <v>19</v>
      </c>
      <c r="D527">
        <v>3.1</v>
      </c>
      <c r="E527" t="s">
        <v>17</v>
      </c>
      <c r="F527">
        <v>6.9</v>
      </c>
      <c r="G527">
        <v>1.9</v>
      </c>
      <c r="H527">
        <f t="shared" si="41"/>
        <v>5</v>
      </c>
      <c r="I527">
        <v>2.2000000000000002</v>
      </c>
      <c r="J527" t="str">
        <f t="shared" si="42"/>
        <v>third class</v>
      </c>
      <c r="K527">
        <v>1.2</v>
      </c>
      <c r="L527" t="s">
        <v>22</v>
      </c>
      <c r="M527">
        <v>3</v>
      </c>
      <c r="N527">
        <v>4</v>
      </c>
      <c r="O527">
        <v>2</v>
      </c>
      <c r="P527">
        <v>0</v>
      </c>
      <c r="Q527">
        <f t="shared" si="43"/>
        <v>9</v>
      </c>
      <c r="S527" t="str">
        <f t="shared" si="44"/>
        <v>Mentally Sound</v>
      </c>
    </row>
    <row r="528" spans="1:19" x14ac:dyDescent="0.25">
      <c r="A528">
        <v>18</v>
      </c>
      <c r="B528" t="str">
        <f t="shared" si="40"/>
        <v>Old Teenager</v>
      </c>
      <c r="C528" t="s">
        <v>16</v>
      </c>
      <c r="D528">
        <v>2.9</v>
      </c>
      <c r="E528" t="s">
        <v>20</v>
      </c>
      <c r="F528">
        <v>7.5</v>
      </c>
      <c r="G528">
        <v>0.6</v>
      </c>
      <c r="H528">
        <f t="shared" si="41"/>
        <v>3.5</v>
      </c>
      <c r="I528">
        <v>2.25</v>
      </c>
      <c r="J528" t="str">
        <f t="shared" si="42"/>
        <v>third class</v>
      </c>
      <c r="K528">
        <v>1</v>
      </c>
      <c r="L528" t="s">
        <v>21</v>
      </c>
      <c r="M528">
        <v>4</v>
      </c>
      <c r="N528">
        <v>7</v>
      </c>
      <c r="O528">
        <v>4</v>
      </c>
      <c r="P528">
        <v>0</v>
      </c>
      <c r="Q528">
        <f t="shared" si="43"/>
        <v>15</v>
      </c>
      <c r="S528" t="str">
        <f t="shared" si="44"/>
        <v>Mentally Strained</v>
      </c>
    </row>
    <row r="529" spans="1:19" x14ac:dyDescent="0.25">
      <c r="A529">
        <v>13</v>
      </c>
      <c r="B529" t="str">
        <f t="shared" si="40"/>
        <v>Young Teenager</v>
      </c>
      <c r="C529" t="s">
        <v>16</v>
      </c>
      <c r="D529">
        <v>1.8</v>
      </c>
      <c r="E529" t="s">
        <v>17</v>
      </c>
      <c r="F529">
        <v>4.4000000000000004</v>
      </c>
      <c r="G529">
        <v>0.6</v>
      </c>
      <c r="H529">
        <f t="shared" si="41"/>
        <v>2.4</v>
      </c>
      <c r="I529">
        <v>3.48</v>
      </c>
      <c r="J529" t="str">
        <f t="shared" si="42"/>
        <v>Second class upper</v>
      </c>
      <c r="K529">
        <v>1.7</v>
      </c>
      <c r="L529" t="s">
        <v>22</v>
      </c>
      <c r="M529">
        <v>3</v>
      </c>
      <c r="N529">
        <v>1</v>
      </c>
      <c r="O529">
        <v>10</v>
      </c>
      <c r="P529">
        <v>0</v>
      </c>
      <c r="Q529">
        <f t="shared" si="43"/>
        <v>14</v>
      </c>
      <c r="S529" t="str">
        <f t="shared" si="44"/>
        <v>Mentally Strained</v>
      </c>
    </row>
    <row r="530" spans="1:19" x14ac:dyDescent="0.25">
      <c r="A530">
        <v>15</v>
      </c>
      <c r="B530" t="str">
        <f t="shared" si="40"/>
        <v>Young Teenager</v>
      </c>
      <c r="C530" t="s">
        <v>19</v>
      </c>
      <c r="D530">
        <v>2</v>
      </c>
      <c r="E530" t="s">
        <v>17</v>
      </c>
      <c r="F530">
        <v>4.7</v>
      </c>
      <c r="G530">
        <v>1.3</v>
      </c>
      <c r="H530">
        <f t="shared" si="41"/>
        <v>3.3</v>
      </c>
      <c r="I530">
        <v>3.55</v>
      </c>
      <c r="J530" t="str">
        <f t="shared" si="42"/>
        <v>Second class upper</v>
      </c>
      <c r="K530">
        <v>1.3</v>
      </c>
      <c r="L530" t="s">
        <v>18</v>
      </c>
      <c r="M530">
        <v>2</v>
      </c>
      <c r="N530">
        <v>6</v>
      </c>
      <c r="O530">
        <v>5</v>
      </c>
      <c r="P530">
        <v>0</v>
      </c>
      <c r="Q530">
        <f t="shared" si="43"/>
        <v>13</v>
      </c>
      <c r="S530" t="str">
        <f t="shared" si="44"/>
        <v>Mentally Strained</v>
      </c>
    </row>
    <row r="531" spans="1:19" x14ac:dyDescent="0.25">
      <c r="A531">
        <v>13</v>
      </c>
      <c r="B531" t="str">
        <f t="shared" si="40"/>
        <v>Young Teenager</v>
      </c>
      <c r="C531" t="s">
        <v>19</v>
      </c>
      <c r="D531">
        <v>4.2</v>
      </c>
      <c r="E531" t="s">
        <v>17</v>
      </c>
      <c r="F531">
        <v>7.9</v>
      </c>
      <c r="G531">
        <v>2.7</v>
      </c>
      <c r="H531">
        <f t="shared" si="41"/>
        <v>6.9</v>
      </c>
      <c r="I531">
        <v>3.76</v>
      </c>
      <c r="J531" t="str">
        <f t="shared" si="42"/>
        <v>first class</v>
      </c>
      <c r="K531">
        <v>0.1</v>
      </c>
      <c r="L531" t="s">
        <v>22</v>
      </c>
      <c r="M531">
        <v>10</v>
      </c>
      <c r="N531">
        <v>7</v>
      </c>
      <c r="O531">
        <v>2</v>
      </c>
      <c r="P531">
        <v>0</v>
      </c>
      <c r="Q531">
        <f t="shared" si="43"/>
        <v>19</v>
      </c>
      <c r="S531" t="str">
        <f t="shared" si="44"/>
        <v>Mentally Strained</v>
      </c>
    </row>
    <row r="532" spans="1:19" x14ac:dyDescent="0.25">
      <c r="A532">
        <v>17</v>
      </c>
      <c r="B532" t="str">
        <f t="shared" si="40"/>
        <v>Old Teenager</v>
      </c>
      <c r="C532" t="s">
        <v>19</v>
      </c>
      <c r="D532">
        <v>6.7</v>
      </c>
      <c r="E532" t="s">
        <v>23</v>
      </c>
      <c r="F532">
        <v>7.9</v>
      </c>
      <c r="G532">
        <v>1.4</v>
      </c>
      <c r="H532">
        <f t="shared" si="41"/>
        <v>8.1</v>
      </c>
      <c r="I532">
        <v>3.91</v>
      </c>
      <c r="J532" t="str">
        <f t="shared" si="42"/>
        <v>first class</v>
      </c>
      <c r="K532">
        <v>0.4</v>
      </c>
      <c r="L532" t="s">
        <v>21</v>
      </c>
      <c r="M532">
        <v>3</v>
      </c>
      <c r="N532">
        <v>3</v>
      </c>
      <c r="O532">
        <v>1</v>
      </c>
      <c r="P532">
        <v>0</v>
      </c>
      <c r="Q532">
        <f t="shared" si="43"/>
        <v>7</v>
      </c>
      <c r="S532" t="str">
        <f t="shared" si="44"/>
        <v>Mentally Sound</v>
      </c>
    </row>
    <row r="533" spans="1:19" x14ac:dyDescent="0.25">
      <c r="A533">
        <v>17</v>
      </c>
      <c r="B533" t="str">
        <f t="shared" si="40"/>
        <v>Old Teenager</v>
      </c>
      <c r="C533" t="s">
        <v>19</v>
      </c>
      <c r="D533">
        <v>2.2000000000000002</v>
      </c>
      <c r="E533" t="s">
        <v>23</v>
      </c>
      <c r="F533">
        <v>7.2</v>
      </c>
      <c r="G533">
        <v>0.5</v>
      </c>
      <c r="H533">
        <f t="shared" si="41"/>
        <v>2.7</v>
      </c>
      <c r="I533">
        <v>2.38</v>
      </c>
      <c r="J533" t="str">
        <f t="shared" si="42"/>
        <v>third class</v>
      </c>
      <c r="K533">
        <v>1.2</v>
      </c>
      <c r="L533" t="s">
        <v>22</v>
      </c>
      <c r="M533">
        <v>10</v>
      </c>
      <c r="N533">
        <v>4</v>
      </c>
      <c r="O533">
        <v>8</v>
      </c>
      <c r="P533">
        <v>0</v>
      </c>
      <c r="Q533">
        <f t="shared" si="43"/>
        <v>22</v>
      </c>
      <c r="S533" t="str">
        <f t="shared" si="44"/>
        <v>Mentally Unstable</v>
      </c>
    </row>
    <row r="534" spans="1:19" x14ac:dyDescent="0.25">
      <c r="A534">
        <v>17</v>
      </c>
      <c r="B534" t="str">
        <f t="shared" si="40"/>
        <v>Old Teenager</v>
      </c>
      <c r="C534" t="s">
        <v>19</v>
      </c>
      <c r="D534">
        <v>1.1000000000000001</v>
      </c>
      <c r="E534" t="s">
        <v>20</v>
      </c>
      <c r="F534">
        <v>6.8</v>
      </c>
      <c r="G534">
        <v>0.6</v>
      </c>
      <c r="H534">
        <f t="shared" si="41"/>
        <v>1.7000000000000002</v>
      </c>
      <c r="I534">
        <v>2.2799999999999998</v>
      </c>
      <c r="J534" t="str">
        <f t="shared" si="42"/>
        <v>third class</v>
      </c>
      <c r="K534">
        <v>1.6</v>
      </c>
      <c r="L534" t="s">
        <v>22</v>
      </c>
      <c r="M534">
        <v>9</v>
      </c>
      <c r="N534">
        <v>3</v>
      </c>
      <c r="O534">
        <v>7</v>
      </c>
      <c r="P534">
        <v>0</v>
      </c>
      <c r="Q534">
        <f t="shared" si="43"/>
        <v>19</v>
      </c>
      <c r="S534" t="str">
        <f t="shared" si="44"/>
        <v>Mentally Strained</v>
      </c>
    </row>
    <row r="535" spans="1:19" x14ac:dyDescent="0.25">
      <c r="A535">
        <v>16</v>
      </c>
      <c r="B535" t="str">
        <f t="shared" si="40"/>
        <v>Old Teenager</v>
      </c>
      <c r="C535" t="s">
        <v>19</v>
      </c>
      <c r="D535">
        <v>6.4</v>
      </c>
      <c r="E535" t="s">
        <v>20</v>
      </c>
      <c r="F535">
        <v>5.9</v>
      </c>
      <c r="G535">
        <v>2.8</v>
      </c>
      <c r="H535">
        <f t="shared" si="41"/>
        <v>9.1999999999999993</v>
      </c>
      <c r="I535">
        <v>3.81</v>
      </c>
      <c r="J535" t="str">
        <f t="shared" si="42"/>
        <v>first class</v>
      </c>
      <c r="K535">
        <v>1.3</v>
      </c>
      <c r="L535" t="s">
        <v>21</v>
      </c>
      <c r="M535">
        <v>1</v>
      </c>
      <c r="N535">
        <v>3</v>
      </c>
      <c r="O535">
        <v>7</v>
      </c>
      <c r="P535">
        <v>0</v>
      </c>
      <c r="Q535">
        <f t="shared" si="43"/>
        <v>11</v>
      </c>
      <c r="S535" t="str">
        <f t="shared" si="44"/>
        <v>Mentally Strained</v>
      </c>
    </row>
    <row r="536" spans="1:19" x14ac:dyDescent="0.25">
      <c r="A536">
        <v>19</v>
      </c>
      <c r="B536" t="str">
        <f t="shared" si="40"/>
        <v>Old Teenager</v>
      </c>
      <c r="C536" t="s">
        <v>19</v>
      </c>
      <c r="D536">
        <v>2.8</v>
      </c>
      <c r="E536" t="s">
        <v>17</v>
      </c>
      <c r="F536">
        <v>5.9</v>
      </c>
      <c r="G536">
        <v>1.5</v>
      </c>
      <c r="H536">
        <f t="shared" si="41"/>
        <v>4.3</v>
      </c>
      <c r="I536">
        <v>2.85</v>
      </c>
      <c r="J536" t="str">
        <f t="shared" si="42"/>
        <v>Second class lower</v>
      </c>
      <c r="K536">
        <v>0.6</v>
      </c>
      <c r="L536" t="s">
        <v>21</v>
      </c>
      <c r="M536">
        <v>10</v>
      </c>
      <c r="N536">
        <v>9</v>
      </c>
      <c r="O536">
        <v>4</v>
      </c>
      <c r="P536">
        <v>0</v>
      </c>
      <c r="Q536">
        <f t="shared" si="43"/>
        <v>23</v>
      </c>
      <c r="S536" t="str">
        <f t="shared" si="44"/>
        <v>Mentally Unstable</v>
      </c>
    </row>
    <row r="537" spans="1:19" x14ac:dyDescent="0.25">
      <c r="A537">
        <v>13</v>
      </c>
      <c r="B537" t="str">
        <f t="shared" si="40"/>
        <v>Young Teenager</v>
      </c>
      <c r="C537" t="s">
        <v>16</v>
      </c>
      <c r="D537">
        <v>2.2000000000000002</v>
      </c>
      <c r="E537" t="s">
        <v>23</v>
      </c>
      <c r="F537">
        <v>5.8</v>
      </c>
      <c r="G537">
        <v>2</v>
      </c>
      <c r="H537">
        <f t="shared" si="41"/>
        <v>4.2</v>
      </c>
      <c r="I537">
        <v>3.63</v>
      </c>
      <c r="J537" t="str">
        <f t="shared" si="42"/>
        <v>first class</v>
      </c>
      <c r="K537">
        <v>1.9</v>
      </c>
      <c r="L537" t="s">
        <v>18</v>
      </c>
      <c r="M537">
        <v>4</v>
      </c>
      <c r="N537">
        <v>4</v>
      </c>
      <c r="O537">
        <v>10</v>
      </c>
      <c r="P537">
        <v>0</v>
      </c>
      <c r="Q537">
        <f t="shared" si="43"/>
        <v>18</v>
      </c>
      <c r="S537" t="str">
        <f t="shared" si="44"/>
        <v>Mentally Strained</v>
      </c>
    </row>
    <row r="538" spans="1:19" x14ac:dyDescent="0.25">
      <c r="A538">
        <v>19</v>
      </c>
      <c r="B538" t="str">
        <f t="shared" si="40"/>
        <v>Old Teenager</v>
      </c>
      <c r="C538" t="s">
        <v>16</v>
      </c>
      <c r="D538">
        <v>5.7</v>
      </c>
      <c r="E538" t="s">
        <v>17</v>
      </c>
      <c r="F538">
        <v>4.8</v>
      </c>
      <c r="G538">
        <v>2.2000000000000002</v>
      </c>
      <c r="H538">
        <f t="shared" si="41"/>
        <v>7.9</v>
      </c>
      <c r="I538">
        <v>3.66</v>
      </c>
      <c r="J538" t="str">
        <f t="shared" si="42"/>
        <v>first class</v>
      </c>
      <c r="K538">
        <v>0.9</v>
      </c>
      <c r="L538" t="s">
        <v>18</v>
      </c>
      <c r="M538">
        <v>3</v>
      </c>
      <c r="N538">
        <v>7</v>
      </c>
      <c r="O538">
        <v>5</v>
      </c>
      <c r="P538">
        <v>0</v>
      </c>
      <c r="Q538">
        <f t="shared" si="43"/>
        <v>15</v>
      </c>
      <c r="S538" t="str">
        <f t="shared" si="44"/>
        <v>Mentally Strained</v>
      </c>
    </row>
    <row r="539" spans="1:19" x14ac:dyDescent="0.25">
      <c r="A539">
        <v>15</v>
      </c>
      <c r="B539" t="str">
        <f t="shared" si="40"/>
        <v>Young Teenager</v>
      </c>
      <c r="C539" t="s">
        <v>16</v>
      </c>
      <c r="D539">
        <v>5.3</v>
      </c>
      <c r="E539" t="s">
        <v>23</v>
      </c>
      <c r="F539">
        <v>7.3</v>
      </c>
      <c r="G539">
        <v>1.9</v>
      </c>
      <c r="H539">
        <f t="shared" si="41"/>
        <v>7.1999999999999993</v>
      </c>
      <c r="I539">
        <v>2.5099999999999998</v>
      </c>
      <c r="J539" t="str">
        <f t="shared" si="42"/>
        <v>Second class lower</v>
      </c>
      <c r="K539">
        <v>1.4</v>
      </c>
      <c r="L539" t="s">
        <v>21</v>
      </c>
      <c r="M539">
        <v>10</v>
      </c>
      <c r="N539">
        <v>4</v>
      </c>
      <c r="O539">
        <v>2</v>
      </c>
      <c r="P539">
        <v>0</v>
      </c>
      <c r="Q539">
        <f t="shared" si="43"/>
        <v>16</v>
      </c>
      <c r="S539" t="str">
        <f t="shared" si="44"/>
        <v>Mentally Strained</v>
      </c>
    </row>
    <row r="540" spans="1:19" x14ac:dyDescent="0.25">
      <c r="A540">
        <v>14</v>
      </c>
      <c r="B540" t="str">
        <f t="shared" si="40"/>
        <v>Young Teenager</v>
      </c>
      <c r="C540" t="s">
        <v>16</v>
      </c>
      <c r="D540">
        <v>3.1</v>
      </c>
      <c r="E540" t="s">
        <v>20</v>
      </c>
      <c r="F540">
        <v>8.8000000000000007</v>
      </c>
      <c r="G540">
        <v>1.5</v>
      </c>
      <c r="H540">
        <f t="shared" si="41"/>
        <v>4.5999999999999996</v>
      </c>
      <c r="I540">
        <v>3.91</v>
      </c>
      <c r="J540" t="str">
        <f t="shared" si="42"/>
        <v>first class</v>
      </c>
      <c r="K540">
        <v>0.6</v>
      </c>
      <c r="L540" t="s">
        <v>22</v>
      </c>
      <c r="M540">
        <v>4</v>
      </c>
      <c r="N540">
        <v>9</v>
      </c>
      <c r="O540">
        <v>6</v>
      </c>
      <c r="P540">
        <v>0</v>
      </c>
      <c r="Q540">
        <f t="shared" si="43"/>
        <v>19</v>
      </c>
      <c r="S540" t="str">
        <f t="shared" si="44"/>
        <v>Mentally Strained</v>
      </c>
    </row>
    <row r="541" spans="1:19" x14ac:dyDescent="0.25">
      <c r="A541">
        <v>16</v>
      </c>
      <c r="B541" t="str">
        <f t="shared" si="40"/>
        <v>Old Teenager</v>
      </c>
      <c r="C541" t="s">
        <v>16</v>
      </c>
      <c r="D541">
        <v>1.7</v>
      </c>
      <c r="E541" t="s">
        <v>20</v>
      </c>
      <c r="F541">
        <v>4.9000000000000004</v>
      </c>
      <c r="G541">
        <v>0.6</v>
      </c>
      <c r="H541">
        <f t="shared" si="41"/>
        <v>2.2999999999999998</v>
      </c>
      <c r="I541">
        <v>3.38</v>
      </c>
      <c r="J541" t="str">
        <f t="shared" si="42"/>
        <v>Second class upper</v>
      </c>
      <c r="K541">
        <v>1.1000000000000001</v>
      </c>
      <c r="L541" t="s">
        <v>22</v>
      </c>
      <c r="M541">
        <v>10</v>
      </c>
      <c r="N541">
        <v>4</v>
      </c>
      <c r="O541">
        <v>6</v>
      </c>
      <c r="P541">
        <v>0</v>
      </c>
      <c r="Q541">
        <f t="shared" si="43"/>
        <v>20</v>
      </c>
      <c r="S541" t="str">
        <f t="shared" si="44"/>
        <v>Mentally Unstable</v>
      </c>
    </row>
    <row r="542" spans="1:19" x14ac:dyDescent="0.25">
      <c r="A542">
        <v>19</v>
      </c>
      <c r="B542" t="str">
        <f t="shared" si="40"/>
        <v>Old Teenager</v>
      </c>
      <c r="C542" t="s">
        <v>19</v>
      </c>
      <c r="D542">
        <v>6.7</v>
      </c>
      <c r="E542" t="s">
        <v>17</v>
      </c>
      <c r="F542">
        <v>7.3</v>
      </c>
      <c r="G542">
        <v>2.8</v>
      </c>
      <c r="H542">
        <f t="shared" si="41"/>
        <v>9.5</v>
      </c>
      <c r="I542">
        <v>2.2599999999999998</v>
      </c>
      <c r="J542" t="str">
        <f t="shared" si="42"/>
        <v>third class</v>
      </c>
      <c r="K542">
        <v>1.4</v>
      </c>
      <c r="L542" t="s">
        <v>21</v>
      </c>
      <c r="M542">
        <v>7</v>
      </c>
      <c r="N542">
        <v>6</v>
      </c>
      <c r="O542">
        <v>8</v>
      </c>
      <c r="P542">
        <v>0</v>
      </c>
      <c r="Q542">
        <f t="shared" si="43"/>
        <v>21</v>
      </c>
      <c r="S542" t="str">
        <f t="shared" si="44"/>
        <v>Mentally Unstable</v>
      </c>
    </row>
    <row r="543" spans="1:19" x14ac:dyDescent="0.25">
      <c r="A543">
        <v>13</v>
      </c>
      <c r="B543" t="str">
        <f t="shared" si="40"/>
        <v>Young Teenager</v>
      </c>
      <c r="C543" t="s">
        <v>19</v>
      </c>
      <c r="D543">
        <v>7.8</v>
      </c>
      <c r="E543" t="s">
        <v>17</v>
      </c>
      <c r="F543">
        <v>7.4</v>
      </c>
      <c r="G543">
        <v>1.7</v>
      </c>
      <c r="H543">
        <f t="shared" si="41"/>
        <v>9.5</v>
      </c>
      <c r="I543">
        <v>2.76</v>
      </c>
      <c r="J543" t="str">
        <f t="shared" si="42"/>
        <v>Second class lower</v>
      </c>
      <c r="K543">
        <v>1.1000000000000001</v>
      </c>
      <c r="L543" t="s">
        <v>18</v>
      </c>
      <c r="M543">
        <v>10</v>
      </c>
      <c r="N543">
        <v>1</v>
      </c>
      <c r="O543">
        <v>4</v>
      </c>
      <c r="P543">
        <v>0</v>
      </c>
      <c r="Q543">
        <f t="shared" si="43"/>
        <v>15</v>
      </c>
      <c r="S543" t="str">
        <f t="shared" si="44"/>
        <v>Mentally Strained</v>
      </c>
    </row>
    <row r="544" spans="1:19" x14ac:dyDescent="0.25">
      <c r="A544">
        <v>18</v>
      </c>
      <c r="B544" t="str">
        <f t="shared" si="40"/>
        <v>Old Teenager</v>
      </c>
      <c r="C544" t="s">
        <v>19</v>
      </c>
      <c r="D544">
        <v>2.1</v>
      </c>
      <c r="E544" t="s">
        <v>23</v>
      </c>
      <c r="F544">
        <v>6.7</v>
      </c>
      <c r="G544">
        <v>0.9</v>
      </c>
      <c r="H544">
        <f t="shared" si="41"/>
        <v>3</v>
      </c>
      <c r="I544">
        <v>3.73</v>
      </c>
      <c r="J544" t="str">
        <f t="shared" si="42"/>
        <v>first class</v>
      </c>
      <c r="K544">
        <v>0.7</v>
      </c>
      <c r="L544" t="s">
        <v>18</v>
      </c>
      <c r="M544">
        <v>3</v>
      </c>
      <c r="N544">
        <v>5</v>
      </c>
      <c r="O544">
        <v>7</v>
      </c>
      <c r="P544">
        <v>0</v>
      </c>
      <c r="Q544">
        <f t="shared" si="43"/>
        <v>15</v>
      </c>
      <c r="S544" t="str">
        <f t="shared" si="44"/>
        <v>Mentally Strained</v>
      </c>
    </row>
    <row r="545" spans="1:19" x14ac:dyDescent="0.25">
      <c r="A545">
        <v>17</v>
      </c>
      <c r="B545" t="str">
        <f t="shared" si="40"/>
        <v>Old Teenager</v>
      </c>
      <c r="C545" t="s">
        <v>19</v>
      </c>
      <c r="D545">
        <v>5.0999999999999996</v>
      </c>
      <c r="E545" t="s">
        <v>20</v>
      </c>
      <c r="F545">
        <v>8.6</v>
      </c>
      <c r="G545">
        <v>1.9</v>
      </c>
      <c r="H545">
        <f t="shared" si="41"/>
        <v>7</v>
      </c>
      <c r="I545">
        <v>3.33</v>
      </c>
      <c r="J545" t="str">
        <f t="shared" si="42"/>
        <v>Second class upper</v>
      </c>
      <c r="K545">
        <v>1.1000000000000001</v>
      </c>
      <c r="L545" t="s">
        <v>18</v>
      </c>
      <c r="M545">
        <v>1</v>
      </c>
      <c r="N545">
        <v>7</v>
      </c>
      <c r="O545">
        <v>8</v>
      </c>
      <c r="P545">
        <v>0</v>
      </c>
      <c r="Q545">
        <f t="shared" si="43"/>
        <v>16</v>
      </c>
      <c r="S545" t="str">
        <f t="shared" si="44"/>
        <v>Mentally Strained</v>
      </c>
    </row>
    <row r="546" spans="1:19" x14ac:dyDescent="0.25">
      <c r="A546">
        <v>18</v>
      </c>
      <c r="B546" t="str">
        <f t="shared" si="40"/>
        <v>Old Teenager</v>
      </c>
      <c r="C546" t="s">
        <v>19</v>
      </c>
      <c r="D546">
        <v>3.6</v>
      </c>
      <c r="E546" t="s">
        <v>17</v>
      </c>
      <c r="F546">
        <v>5.4</v>
      </c>
      <c r="G546">
        <v>0.9</v>
      </c>
      <c r="H546">
        <f t="shared" si="41"/>
        <v>4.5</v>
      </c>
      <c r="I546">
        <v>3.45</v>
      </c>
      <c r="J546" t="str">
        <f t="shared" si="42"/>
        <v>Second class upper</v>
      </c>
      <c r="K546">
        <v>0.5</v>
      </c>
      <c r="L546" t="s">
        <v>22</v>
      </c>
      <c r="M546">
        <v>1</v>
      </c>
      <c r="N546">
        <v>10</v>
      </c>
      <c r="O546">
        <v>2</v>
      </c>
      <c r="P546">
        <v>0</v>
      </c>
      <c r="Q546">
        <f t="shared" si="43"/>
        <v>13</v>
      </c>
      <c r="S546" t="str">
        <f t="shared" si="44"/>
        <v>Mentally Strained</v>
      </c>
    </row>
    <row r="547" spans="1:19" x14ac:dyDescent="0.25">
      <c r="A547">
        <v>18</v>
      </c>
      <c r="B547" t="str">
        <f t="shared" si="40"/>
        <v>Old Teenager</v>
      </c>
      <c r="C547" t="s">
        <v>16</v>
      </c>
      <c r="D547">
        <v>5</v>
      </c>
      <c r="E547" t="s">
        <v>23</v>
      </c>
      <c r="F547">
        <v>7.6</v>
      </c>
      <c r="G547">
        <v>2</v>
      </c>
      <c r="H547">
        <f t="shared" si="41"/>
        <v>7</v>
      </c>
      <c r="I547">
        <v>3.94</v>
      </c>
      <c r="J547" t="str">
        <f t="shared" si="42"/>
        <v>first class</v>
      </c>
      <c r="K547">
        <v>0.5</v>
      </c>
      <c r="L547" t="s">
        <v>18</v>
      </c>
      <c r="M547">
        <v>4</v>
      </c>
      <c r="N547">
        <v>3</v>
      </c>
      <c r="O547">
        <v>3</v>
      </c>
      <c r="P547">
        <v>0</v>
      </c>
      <c r="Q547">
        <f t="shared" si="43"/>
        <v>10</v>
      </c>
      <c r="S547" t="str">
        <f t="shared" si="44"/>
        <v>Mentally Strained</v>
      </c>
    </row>
    <row r="548" spans="1:19" x14ac:dyDescent="0.25">
      <c r="A548">
        <v>17</v>
      </c>
      <c r="B548" t="str">
        <f t="shared" si="40"/>
        <v>Old Teenager</v>
      </c>
      <c r="C548" t="s">
        <v>16</v>
      </c>
      <c r="D548">
        <v>1.7</v>
      </c>
      <c r="E548" t="s">
        <v>23</v>
      </c>
      <c r="F548">
        <v>8.6</v>
      </c>
      <c r="G548">
        <v>0.9</v>
      </c>
      <c r="H548">
        <f t="shared" si="41"/>
        <v>2.6</v>
      </c>
      <c r="I548">
        <v>2.36</v>
      </c>
      <c r="J548" t="str">
        <f t="shared" si="42"/>
        <v>third class</v>
      </c>
      <c r="K548">
        <v>1.7</v>
      </c>
      <c r="L548" t="s">
        <v>18</v>
      </c>
      <c r="M548">
        <v>9</v>
      </c>
      <c r="N548">
        <v>1</v>
      </c>
      <c r="O548">
        <v>3</v>
      </c>
      <c r="P548">
        <v>0</v>
      </c>
      <c r="Q548">
        <f t="shared" si="43"/>
        <v>13</v>
      </c>
      <c r="S548" t="str">
        <f t="shared" si="44"/>
        <v>Mentally Strained</v>
      </c>
    </row>
    <row r="549" spans="1:19" x14ac:dyDescent="0.25">
      <c r="A549">
        <v>17</v>
      </c>
      <c r="B549" t="str">
        <f t="shared" si="40"/>
        <v>Old Teenager</v>
      </c>
      <c r="C549" t="s">
        <v>16</v>
      </c>
      <c r="D549">
        <v>6.8</v>
      </c>
      <c r="E549" t="s">
        <v>17</v>
      </c>
      <c r="F549">
        <v>4.7</v>
      </c>
      <c r="G549">
        <v>0.6</v>
      </c>
      <c r="H549">
        <f t="shared" si="41"/>
        <v>7.3999999999999995</v>
      </c>
      <c r="I549">
        <v>3.4</v>
      </c>
      <c r="J549" t="str">
        <f t="shared" si="42"/>
        <v>Second class upper</v>
      </c>
      <c r="K549">
        <v>0.9</v>
      </c>
      <c r="L549" t="s">
        <v>18</v>
      </c>
      <c r="M549">
        <v>3</v>
      </c>
      <c r="N549">
        <v>9</v>
      </c>
      <c r="O549">
        <v>7</v>
      </c>
      <c r="P549">
        <v>0</v>
      </c>
      <c r="Q549">
        <f t="shared" si="43"/>
        <v>19</v>
      </c>
      <c r="S549" t="str">
        <f t="shared" si="44"/>
        <v>Mentally Strained</v>
      </c>
    </row>
    <row r="550" spans="1:19" x14ac:dyDescent="0.25">
      <c r="A550">
        <v>14</v>
      </c>
      <c r="B550" t="str">
        <f t="shared" si="40"/>
        <v>Young Teenager</v>
      </c>
      <c r="C550" t="s">
        <v>16</v>
      </c>
      <c r="D550">
        <v>3.8</v>
      </c>
      <c r="E550" t="s">
        <v>23</v>
      </c>
      <c r="F550">
        <v>7.5</v>
      </c>
      <c r="G550">
        <v>0.5</v>
      </c>
      <c r="H550">
        <f t="shared" si="41"/>
        <v>4.3</v>
      </c>
      <c r="I550">
        <v>2.1800000000000002</v>
      </c>
      <c r="J550" t="str">
        <f t="shared" si="42"/>
        <v>third class</v>
      </c>
      <c r="K550">
        <v>1</v>
      </c>
      <c r="L550" t="s">
        <v>22</v>
      </c>
      <c r="M550">
        <v>5</v>
      </c>
      <c r="N550">
        <v>2</v>
      </c>
      <c r="O550">
        <v>2</v>
      </c>
      <c r="P550">
        <v>0</v>
      </c>
      <c r="Q550">
        <f t="shared" si="43"/>
        <v>9</v>
      </c>
      <c r="S550" t="str">
        <f t="shared" si="44"/>
        <v>Mentally Sound</v>
      </c>
    </row>
    <row r="551" spans="1:19" x14ac:dyDescent="0.25">
      <c r="A551">
        <v>16</v>
      </c>
      <c r="B551" t="str">
        <f t="shared" si="40"/>
        <v>Old Teenager</v>
      </c>
      <c r="C551" t="s">
        <v>16</v>
      </c>
      <c r="D551">
        <v>2.1</v>
      </c>
      <c r="E551" t="s">
        <v>17</v>
      </c>
      <c r="F551">
        <v>7.7</v>
      </c>
      <c r="G551">
        <v>1.1000000000000001</v>
      </c>
      <c r="H551">
        <f t="shared" si="41"/>
        <v>3.2</v>
      </c>
      <c r="I551">
        <v>2.27</v>
      </c>
      <c r="J551" t="str">
        <f t="shared" si="42"/>
        <v>third class</v>
      </c>
      <c r="K551">
        <v>1.1000000000000001</v>
      </c>
      <c r="L551" t="s">
        <v>22</v>
      </c>
      <c r="M551">
        <v>3</v>
      </c>
      <c r="N551">
        <v>2</v>
      </c>
      <c r="O551">
        <v>4</v>
      </c>
      <c r="P551">
        <v>0</v>
      </c>
      <c r="Q551">
        <f t="shared" si="43"/>
        <v>9</v>
      </c>
      <c r="S551" t="str">
        <f t="shared" si="44"/>
        <v>Mentally Sound</v>
      </c>
    </row>
    <row r="552" spans="1:19" x14ac:dyDescent="0.25">
      <c r="A552">
        <v>15</v>
      </c>
      <c r="B552" t="str">
        <f t="shared" si="40"/>
        <v>Young Teenager</v>
      </c>
      <c r="C552" t="s">
        <v>19</v>
      </c>
      <c r="D552">
        <v>3.2</v>
      </c>
      <c r="E552" t="s">
        <v>17</v>
      </c>
      <c r="F552">
        <v>4</v>
      </c>
      <c r="G552">
        <v>2</v>
      </c>
      <c r="H552">
        <f t="shared" si="41"/>
        <v>5.2</v>
      </c>
      <c r="I552">
        <v>3.25</v>
      </c>
      <c r="J552" t="str">
        <f t="shared" si="42"/>
        <v>Second class upper</v>
      </c>
      <c r="K552">
        <v>0.7</v>
      </c>
      <c r="L552" t="s">
        <v>18</v>
      </c>
      <c r="M552">
        <v>8</v>
      </c>
      <c r="N552">
        <v>4</v>
      </c>
      <c r="O552">
        <v>8</v>
      </c>
      <c r="P552">
        <v>0</v>
      </c>
      <c r="Q552">
        <f t="shared" si="43"/>
        <v>20</v>
      </c>
      <c r="S552" t="str">
        <f t="shared" si="44"/>
        <v>Mentally Unstable</v>
      </c>
    </row>
    <row r="553" spans="1:19" x14ac:dyDescent="0.25">
      <c r="A553">
        <v>18</v>
      </c>
      <c r="B553" t="str">
        <f t="shared" si="40"/>
        <v>Old Teenager</v>
      </c>
      <c r="C553" t="s">
        <v>16</v>
      </c>
      <c r="D553">
        <v>1.9</v>
      </c>
      <c r="E553" t="s">
        <v>17</v>
      </c>
      <c r="F553">
        <v>5.6</v>
      </c>
      <c r="G553">
        <v>2.2999999999999998</v>
      </c>
      <c r="H553">
        <f t="shared" si="41"/>
        <v>4.1999999999999993</v>
      </c>
      <c r="I553">
        <v>2.8</v>
      </c>
      <c r="J553" t="str">
        <f t="shared" si="42"/>
        <v>Second class lower</v>
      </c>
      <c r="K553">
        <v>1.9</v>
      </c>
      <c r="L553" t="s">
        <v>22</v>
      </c>
      <c r="M553">
        <v>8</v>
      </c>
      <c r="N553">
        <v>1</v>
      </c>
      <c r="O553">
        <v>8</v>
      </c>
      <c r="P553">
        <v>0</v>
      </c>
      <c r="Q553">
        <f t="shared" si="43"/>
        <v>17</v>
      </c>
      <c r="S553" t="str">
        <f t="shared" si="44"/>
        <v>Mentally Strained</v>
      </c>
    </row>
    <row r="554" spans="1:19" x14ac:dyDescent="0.25">
      <c r="A554">
        <v>13</v>
      </c>
      <c r="B554" t="str">
        <f t="shared" si="40"/>
        <v>Young Teenager</v>
      </c>
      <c r="C554" t="s">
        <v>19</v>
      </c>
      <c r="D554">
        <v>3.5</v>
      </c>
      <c r="E554" t="s">
        <v>17</v>
      </c>
      <c r="F554">
        <v>6.8</v>
      </c>
      <c r="G554">
        <v>1.5</v>
      </c>
      <c r="H554">
        <f t="shared" si="41"/>
        <v>5</v>
      </c>
      <c r="I554">
        <v>2.35</v>
      </c>
      <c r="J554" t="str">
        <f t="shared" si="42"/>
        <v>third class</v>
      </c>
      <c r="K554">
        <v>1.8</v>
      </c>
      <c r="L554" t="s">
        <v>22</v>
      </c>
      <c r="M554">
        <v>7</v>
      </c>
      <c r="N554">
        <v>3</v>
      </c>
      <c r="O554">
        <v>2</v>
      </c>
      <c r="P554">
        <v>0</v>
      </c>
      <c r="Q554">
        <f t="shared" si="43"/>
        <v>12</v>
      </c>
      <c r="S554" t="str">
        <f t="shared" si="44"/>
        <v>Mentally Strained</v>
      </c>
    </row>
    <row r="555" spans="1:19" x14ac:dyDescent="0.25">
      <c r="A555">
        <v>15</v>
      </c>
      <c r="B555" t="str">
        <f t="shared" si="40"/>
        <v>Young Teenager</v>
      </c>
      <c r="C555" t="s">
        <v>19</v>
      </c>
      <c r="D555">
        <v>4.5</v>
      </c>
      <c r="E555" t="s">
        <v>17</v>
      </c>
      <c r="F555">
        <v>7.7</v>
      </c>
      <c r="G555">
        <v>0.9</v>
      </c>
      <c r="H555">
        <f t="shared" si="41"/>
        <v>5.4</v>
      </c>
      <c r="I555">
        <v>2.61</v>
      </c>
      <c r="J555" t="str">
        <f t="shared" si="42"/>
        <v>Second class lower</v>
      </c>
      <c r="K555">
        <v>1.1000000000000001</v>
      </c>
      <c r="L555" t="s">
        <v>22</v>
      </c>
      <c r="M555">
        <v>9</v>
      </c>
      <c r="N555">
        <v>10</v>
      </c>
      <c r="O555">
        <v>4</v>
      </c>
      <c r="P555">
        <v>0</v>
      </c>
      <c r="Q555">
        <f t="shared" si="43"/>
        <v>23</v>
      </c>
      <c r="S555" t="str">
        <f t="shared" si="44"/>
        <v>Mentally Unstable</v>
      </c>
    </row>
    <row r="556" spans="1:19" x14ac:dyDescent="0.25">
      <c r="A556">
        <v>13</v>
      </c>
      <c r="B556" t="str">
        <f t="shared" si="40"/>
        <v>Young Teenager</v>
      </c>
      <c r="C556" t="s">
        <v>19</v>
      </c>
      <c r="D556">
        <v>6</v>
      </c>
      <c r="E556" t="s">
        <v>20</v>
      </c>
      <c r="F556">
        <v>5</v>
      </c>
      <c r="G556">
        <v>2.5</v>
      </c>
      <c r="H556">
        <f t="shared" si="41"/>
        <v>8.5</v>
      </c>
      <c r="I556">
        <v>2.5499999999999998</v>
      </c>
      <c r="J556" t="str">
        <f t="shared" si="42"/>
        <v>Second class lower</v>
      </c>
      <c r="K556">
        <v>1.8</v>
      </c>
      <c r="L556" t="s">
        <v>21</v>
      </c>
      <c r="M556">
        <v>4</v>
      </c>
      <c r="N556">
        <v>9</v>
      </c>
      <c r="O556">
        <v>2</v>
      </c>
      <c r="P556">
        <v>0</v>
      </c>
      <c r="Q556">
        <f t="shared" si="43"/>
        <v>15</v>
      </c>
      <c r="S556" t="str">
        <f t="shared" si="44"/>
        <v>Mentally Strained</v>
      </c>
    </row>
    <row r="557" spans="1:19" x14ac:dyDescent="0.25">
      <c r="A557">
        <v>13</v>
      </c>
      <c r="B557" t="str">
        <f t="shared" si="40"/>
        <v>Young Teenager</v>
      </c>
      <c r="C557" t="s">
        <v>19</v>
      </c>
      <c r="D557">
        <v>3.6</v>
      </c>
      <c r="E557" t="s">
        <v>20</v>
      </c>
      <c r="F557">
        <v>4.8</v>
      </c>
      <c r="G557">
        <v>2.2000000000000002</v>
      </c>
      <c r="H557">
        <f t="shared" si="41"/>
        <v>5.8000000000000007</v>
      </c>
      <c r="I557">
        <v>3.58</v>
      </c>
      <c r="J557" t="str">
        <f t="shared" si="42"/>
        <v>Second class upper</v>
      </c>
      <c r="K557">
        <v>1.2</v>
      </c>
      <c r="L557" t="s">
        <v>22</v>
      </c>
      <c r="M557">
        <v>4</v>
      </c>
      <c r="N557">
        <v>4</v>
      </c>
      <c r="O557">
        <v>7</v>
      </c>
      <c r="P557">
        <v>0</v>
      </c>
      <c r="Q557">
        <f t="shared" si="43"/>
        <v>15</v>
      </c>
      <c r="S557" t="str">
        <f t="shared" si="44"/>
        <v>Mentally Strained</v>
      </c>
    </row>
    <row r="558" spans="1:19" x14ac:dyDescent="0.25">
      <c r="A558">
        <v>19</v>
      </c>
      <c r="B558" t="str">
        <f t="shared" si="40"/>
        <v>Old Teenager</v>
      </c>
      <c r="C558" t="s">
        <v>16</v>
      </c>
      <c r="D558">
        <v>5.2</v>
      </c>
      <c r="E558" t="s">
        <v>20</v>
      </c>
      <c r="F558">
        <v>6.9</v>
      </c>
      <c r="G558">
        <v>2.2999999999999998</v>
      </c>
      <c r="H558">
        <f t="shared" si="41"/>
        <v>7.5</v>
      </c>
      <c r="I558">
        <v>2.09</v>
      </c>
      <c r="J558" t="str">
        <f t="shared" si="42"/>
        <v>third class</v>
      </c>
      <c r="K558">
        <v>0.2</v>
      </c>
      <c r="L558" t="s">
        <v>21</v>
      </c>
      <c r="M558">
        <v>6</v>
      </c>
      <c r="N558">
        <v>4</v>
      </c>
      <c r="O558">
        <v>8</v>
      </c>
      <c r="P558">
        <v>0</v>
      </c>
      <c r="Q558">
        <f t="shared" si="43"/>
        <v>18</v>
      </c>
      <c r="S558" t="str">
        <f t="shared" si="44"/>
        <v>Mentally Strained</v>
      </c>
    </row>
    <row r="559" spans="1:19" x14ac:dyDescent="0.25">
      <c r="A559">
        <v>13</v>
      </c>
      <c r="B559" t="str">
        <f t="shared" si="40"/>
        <v>Young Teenager</v>
      </c>
      <c r="C559" t="s">
        <v>16</v>
      </c>
      <c r="D559">
        <v>2.7</v>
      </c>
      <c r="E559" t="s">
        <v>23</v>
      </c>
      <c r="F559">
        <v>6.9</v>
      </c>
      <c r="G559">
        <v>1.4</v>
      </c>
      <c r="H559">
        <f t="shared" si="41"/>
        <v>4.0999999999999996</v>
      </c>
      <c r="I559">
        <v>2.87</v>
      </c>
      <c r="J559" t="str">
        <f t="shared" si="42"/>
        <v>Second class lower</v>
      </c>
      <c r="K559">
        <v>1.5</v>
      </c>
      <c r="L559" t="s">
        <v>18</v>
      </c>
      <c r="M559">
        <v>2</v>
      </c>
      <c r="N559">
        <v>6</v>
      </c>
      <c r="O559">
        <v>3</v>
      </c>
      <c r="P559">
        <v>0</v>
      </c>
      <c r="Q559">
        <f t="shared" si="43"/>
        <v>11</v>
      </c>
      <c r="S559" t="str">
        <f t="shared" si="44"/>
        <v>Mentally Strained</v>
      </c>
    </row>
    <row r="560" spans="1:19" x14ac:dyDescent="0.25">
      <c r="A560">
        <v>16</v>
      </c>
      <c r="B560" t="str">
        <f t="shared" si="40"/>
        <v>Old Teenager</v>
      </c>
      <c r="C560" t="s">
        <v>19</v>
      </c>
      <c r="D560">
        <v>2.8</v>
      </c>
      <c r="E560" t="s">
        <v>20</v>
      </c>
      <c r="F560">
        <v>7.1</v>
      </c>
      <c r="G560">
        <v>1.4</v>
      </c>
      <c r="H560">
        <f t="shared" si="41"/>
        <v>4.1999999999999993</v>
      </c>
      <c r="I560">
        <v>3.85</v>
      </c>
      <c r="J560" t="str">
        <f t="shared" si="42"/>
        <v>first class</v>
      </c>
      <c r="K560">
        <v>0.4</v>
      </c>
      <c r="L560" t="s">
        <v>21</v>
      </c>
      <c r="M560">
        <v>7</v>
      </c>
      <c r="N560">
        <v>9</v>
      </c>
      <c r="O560">
        <v>8</v>
      </c>
      <c r="P560">
        <v>0</v>
      </c>
      <c r="Q560">
        <f t="shared" si="43"/>
        <v>24</v>
      </c>
      <c r="S560" t="str">
        <f t="shared" si="44"/>
        <v>Mentally Unstable</v>
      </c>
    </row>
    <row r="561" spans="1:19" x14ac:dyDescent="0.25">
      <c r="A561">
        <v>14</v>
      </c>
      <c r="B561" t="str">
        <f t="shared" si="40"/>
        <v>Young Teenager</v>
      </c>
      <c r="C561" t="s">
        <v>16</v>
      </c>
      <c r="D561">
        <v>5.6</v>
      </c>
      <c r="E561" t="s">
        <v>17</v>
      </c>
      <c r="F561">
        <v>7</v>
      </c>
      <c r="G561">
        <v>1.9</v>
      </c>
      <c r="H561">
        <f t="shared" si="41"/>
        <v>7.5</v>
      </c>
      <c r="I561">
        <v>2.58</v>
      </c>
      <c r="J561" t="str">
        <f t="shared" si="42"/>
        <v>Second class lower</v>
      </c>
      <c r="K561">
        <v>0.4</v>
      </c>
      <c r="L561" t="s">
        <v>18</v>
      </c>
      <c r="M561">
        <v>5</v>
      </c>
      <c r="N561">
        <v>7</v>
      </c>
      <c r="O561">
        <v>3</v>
      </c>
      <c r="P561">
        <v>0</v>
      </c>
      <c r="Q561">
        <f t="shared" si="43"/>
        <v>15</v>
      </c>
      <c r="S561" t="str">
        <f t="shared" si="44"/>
        <v>Mentally Strained</v>
      </c>
    </row>
    <row r="562" spans="1:19" x14ac:dyDescent="0.25">
      <c r="A562">
        <v>16</v>
      </c>
      <c r="B562" t="str">
        <f t="shared" si="40"/>
        <v>Old Teenager</v>
      </c>
      <c r="C562" t="s">
        <v>16</v>
      </c>
      <c r="D562">
        <v>2.7</v>
      </c>
      <c r="E562" t="s">
        <v>23</v>
      </c>
      <c r="F562">
        <v>7.2</v>
      </c>
      <c r="G562">
        <v>0.6</v>
      </c>
      <c r="H562">
        <f t="shared" si="41"/>
        <v>3.3000000000000003</v>
      </c>
      <c r="I562">
        <v>3.98</v>
      </c>
      <c r="J562" t="str">
        <f t="shared" si="42"/>
        <v>first class</v>
      </c>
      <c r="K562">
        <v>1.7</v>
      </c>
      <c r="L562" t="s">
        <v>18</v>
      </c>
      <c r="M562">
        <v>6</v>
      </c>
      <c r="N562">
        <v>1</v>
      </c>
      <c r="O562">
        <v>5</v>
      </c>
      <c r="P562">
        <v>0</v>
      </c>
      <c r="Q562">
        <f t="shared" si="43"/>
        <v>12</v>
      </c>
      <c r="S562" t="str">
        <f t="shared" si="44"/>
        <v>Mentally Strained</v>
      </c>
    </row>
    <row r="563" spans="1:19" x14ac:dyDescent="0.25">
      <c r="A563">
        <v>14</v>
      </c>
      <c r="B563" t="str">
        <f t="shared" si="40"/>
        <v>Young Teenager</v>
      </c>
      <c r="C563" t="s">
        <v>16</v>
      </c>
      <c r="D563">
        <v>4.2</v>
      </c>
      <c r="E563" t="s">
        <v>23</v>
      </c>
      <c r="F563">
        <v>7</v>
      </c>
      <c r="G563">
        <v>1.1000000000000001</v>
      </c>
      <c r="H563">
        <f t="shared" si="41"/>
        <v>5.3000000000000007</v>
      </c>
      <c r="I563">
        <v>2.12</v>
      </c>
      <c r="J563" t="str">
        <f t="shared" si="42"/>
        <v>third class</v>
      </c>
      <c r="K563">
        <v>0.9</v>
      </c>
      <c r="L563" t="s">
        <v>21</v>
      </c>
      <c r="M563">
        <v>4</v>
      </c>
      <c r="N563">
        <v>8</v>
      </c>
      <c r="O563">
        <v>1</v>
      </c>
      <c r="P563">
        <v>0</v>
      </c>
      <c r="Q563">
        <f t="shared" si="43"/>
        <v>13</v>
      </c>
      <c r="S563" t="str">
        <f t="shared" si="44"/>
        <v>Mentally Strained</v>
      </c>
    </row>
    <row r="564" spans="1:19" x14ac:dyDescent="0.25">
      <c r="A564">
        <v>18</v>
      </c>
      <c r="B564" t="str">
        <f t="shared" si="40"/>
        <v>Old Teenager</v>
      </c>
      <c r="C564" t="s">
        <v>19</v>
      </c>
      <c r="D564">
        <v>5.0999999999999996</v>
      </c>
      <c r="E564" t="s">
        <v>20</v>
      </c>
      <c r="F564">
        <v>8.1999999999999993</v>
      </c>
      <c r="G564">
        <v>2.8</v>
      </c>
      <c r="H564">
        <f t="shared" si="41"/>
        <v>7.8999999999999995</v>
      </c>
      <c r="I564">
        <v>2.1800000000000002</v>
      </c>
      <c r="J564" t="str">
        <f t="shared" si="42"/>
        <v>third class</v>
      </c>
      <c r="K564">
        <v>0.5</v>
      </c>
      <c r="L564" t="s">
        <v>21</v>
      </c>
      <c r="M564">
        <v>8</v>
      </c>
      <c r="N564">
        <v>8</v>
      </c>
      <c r="O564">
        <v>8</v>
      </c>
      <c r="P564">
        <v>0</v>
      </c>
      <c r="Q564">
        <f t="shared" si="43"/>
        <v>24</v>
      </c>
      <c r="S564" t="str">
        <f t="shared" si="44"/>
        <v>Mentally Unstable</v>
      </c>
    </row>
    <row r="565" spans="1:19" x14ac:dyDescent="0.25">
      <c r="A565">
        <v>15</v>
      </c>
      <c r="B565" t="str">
        <f t="shared" si="40"/>
        <v>Young Teenager</v>
      </c>
      <c r="C565" t="s">
        <v>19</v>
      </c>
      <c r="D565">
        <v>5.7</v>
      </c>
      <c r="E565" t="s">
        <v>17</v>
      </c>
      <c r="F565">
        <v>6.1</v>
      </c>
      <c r="G565">
        <v>0.7</v>
      </c>
      <c r="H565">
        <f t="shared" si="41"/>
        <v>6.4</v>
      </c>
      <c r="I565">
        <v>3.08</v>
      </c>
      <c r="J565" t="str">
        <f t="shared" si="42"/>
        <v>Second class upper</v>
      </c>
      <c r="K565">
        <v>0.6</v>
      </c>
      <c r="L565" t="s">
        <v>22</v>
      </c>
      <c r="M565">
        <v>5</v>
      </c>
      <c r="N565">
        <v>9</v>
      </c>
      <c r="O565">
        <v>7</v>
      </c>
      <c r="P565">
        <v>0</v>
      </c>
      <c r="Q565">
        <f t="shared" si="43"/>
        <v>21</v>
      </c>
      <c r="S565" t="str">
        <f t="shared" si="44"/>
        <v>Mentally Unstable</v>
      </c>
    </row>
    <row r="566" spans="1:19" x14ac:dyDescent="0.25">
      <c r="A566">
        <v>13</v>
      </c>
      <c r="B566" t="str">
        <f t="shared" si="40"/>
        <v>Young Teenager</v>
      </c>
      <c r="C566" t="s">
        <v>19</v>
      </c>
      <c r="D566">
        <v>1.5</v>
      </c>
      <c r="E566" t="s">
        <v>23</v>
      </c>
      <c r="F566">
        <v>7.9</v>
      </c>
      <c r="G566">
        <v>1.8</v>
      </c>
      <c r="H566">
        <f t="shared" si="41"/>
        <v>3.3</v>
      </c>
      <c r="I566">
        <v>2.85</v>
      </c>
      <c r="J566" t="str">
        <f t="shared" si="42"/>
        <v>Second class lower</v>
      </c>
      <c r="K566">
        <v>1.1000000000000001</v>
      </c>
      <c r="L566" t="s">
        <v>22</v>
      </c>
      <c r="M566">
        <v>5</v>
      </c>
      <c r="N566">
        <v>7</v>
      </c>
      <c r="O566">
        <v>1</v>
      </c>
      <c r="P566">
        <v>0</v>
      </c>
      <c r="Q566">
        <f t="shared" si="43"/>
        <v>13</v>
      </c>
      <c r="S566" t="str">
        <f t="shared" si="44"/>
        <v>Mentally Strained</v>
      </c>
    </row>
    <row r="567" spans="1:19" x14ac:dyDescent="0.25">
      <c r="A567">
        <v>15</v>
      </c>
      <c r="B567" t="str">
        <f t="shared" si="40"/>
        <v>Young Teenager</v>
      </c>
      <c r="C567" t="s">
        <v>19</v>
      </c>
      <c r="D567">
        <v>6.9</v>
      </c>
      <c r="E567" t="s">
        <v>20</v>
      </c>
      <c r="F567">
        <v>8.3000000000000007</v>
      </c>
      <c r="G567">
        <v>2.4</v>
      </c>
      <c r="H567">
        <f t="shared" si="41"/>
        <v>9.3000000000000007</v>
      </c>
      <c r="I567">
        <v>3.34</v>
      </c>
      <c r="J567" t="str">
        <f t="shared" si="42"/>
        <v>Second class upper</v>
      </c>
      <c r="K567">
        <v>1.2</v>
      </c>
      <c r="L567" t="s">
        <v>21</v>
      </c>
      <c r="M567">
        <v>2</v>
      </c>
      <c r="N567">
        <v>4</v>
      </c>
      <c r="O567">
        <v>9</v>
      </c>
      <c r="P567">
        <v>0</v>
      </c>
      <c r="Q567">
        <f t="shared" si="43"/>
        <v>15</v>
      </c>
      <c r="S567" t="str">
        <f t="shared" si="44"/>
        <v>Mentally Strained</v>
      </c>
    </row>
    <row r="568" spans="1:19" x14ac:dyDescent="0.25">
      <c r="A568">
        <v>14</v>
      </c>
      <c r="B568" t="str">
        <f t="shared" si="40"/>
        <v>Young Teenager</v>
      </c>
      <c r="C568" t="s">
        <v>16</v>
      </c>
      <c r="D568">
        <v>4.7</v>
      </c>
      <c r="E568" t="s">
        <v>20</v>
      </c>
      <c r="F568">
        <v>7.9</v>
      </c>
      <c r="G568">
        <v>2.9</v>
      </c>
      <c r="H568">
        <f t="shared" si="41"/>
        <v>7.6</v>
      </c>
      <c r="I568">
        <v>2.54</v>
      </c>
      <c r="J568" t="str">
        <f t="shared" si="42"/>
        <v>Second class lower</v>
      </c>
      <c r="K568">
        <v>0.7</v>
      </c>
      <c r="L568" t="s">
        <v>21</v>
      </c>
      <c r="M568">
        <v>5</v>
      </c>
      <c r="N568">
        <v>8</v>
      </c>
      <c r="O568">
        <v>7</v>
      </c>
      <c r="P568">
        <v>0</v>
      </c>
      <c r="Q568">
        <f t="shared" si="43"/>
        <v>20</v>
      </c>
      <c r="S568" t="str">
        <f t="shared" si="44"/>
        <v>Mentally Unstable</v>
      </c>
    </row>
    <row r="569" spans="1:19" x14ac:dyDescent="0.25">
      <c r="A569">
        <v>15</v>
      </c>
      <c r="B569" t="str">
        <f t="shared" si="40"/>
        <v>Young Teenager</v>
      </c>
      <c r="C569" t="s">
        <v>19</v>
      </c>
      <c r="D569">
        <v>2.7</v>
      </c>
      <c r="E569" t="s">
        <v>23</v>
      </c>
      <c r="F569">
        <v>8.5</v>
      </c>
      <c r="G569">
        <v>0.8</v>
      </c>
      <c r="H569">
        <f t="shared" si="41"/>
        <v>3.5</v>
      </c>
      <c r="I569">
        <v>2.91</v>
      </c>
      <c r="J569" t="str">
        <f t="shared" si="42"/>
        <v>Second class lower</v>
      </c>
      <c r="K569">
        <v>1.3</v>
      </c>
      <c r="L569" t="s">
        <v>18</v>
      </c>
      <c r="M569">
        <v>6</v>
      </c>
      <c r="N569">
        <v>3</v>
      </c>
      <c r="O569">
        <v>1</v>
      </c>
      <c r="P569">
        <v>0</v>
      </c>
      <c r="Q569">
        <f t="shared" si="43"/>
        <v>10</v>
      </c>
      <c r="S569" t="str">
        <f t="shared" si="44"/>
        <v>Mentally Strained</v>
      </c>
    </row>
    <row r="570" spans="1:19" x14ac:dyDescent="0.25">
      <c r="A570">
        <v>13</v>
      </c>
      <c r="B570" t="str">
        <f t="shared" si="40"/>
        <v>Young Teenager</v>
      </c>
      <c r="C570" t="s">
        <v>19</v>
      </c>
      <c r="D570">
        <v>6.1</v>
      </c>
      <c r="E570" t="s">
        <v>23</v>
      </c>
      <c r="F570">
        <v>6.4</v>
      </c>
      <c r="G570">
        <v>2.8</v>
      </c>
      <c r="H570">
        <f t="shared" si="41"/>
        <v>8.8999999999999986</v>
      </c>
      <c r="I570">
        <v>2.5099999999999998</v>
      </c>
      <c r="J570" t="str">
        <f t="shared" si="42"/>
        <v>Second class lower</v>
      </c>
      <c r="K570">
        <v>1.9</v>
      </c>
      <c r="L570" t="s">
        <v>18</v>
      </c>
      <c r="M570">
        <v>6</v>
      </c>
      <c r="N570">
        <v>1</v>
      </c>
      <c r="O570">
        <v>9</v>
      </c>
      <c r="P570">
        <v>0</v>
      </c>
      <c r="Q570">
        <f t="shared" si="43"/>
        <v>16</v>
      </c>
      <c r="S570" t="str">
        <f t="shared" si="44"/>
        <v>Mentally Strained</v>
      </c>
    </row>
    <row r="571" spans="1:19" x14ac:dyDescent="0.25">
      <c r="A571">
        <v>17</v>
      </c>
      <c r="B571" t="str">
        <f t="shared" si="40"/>
        <v>Old Teenager</v>
      </c>
      <c r="C571" t="s">
        <v>19</v>
      </c>
      <c r="D571">
        <v>5</v>
      </c>
      <c r="E571" t="s">
        <v>20</v>
      </c>
      <c r="F571">
        <v>7.3</v>
      </c>
      <c r="G571">
        <v>1.9</v>
      </c>
      <c r="H571">
        <f t="shared" si="41"/>
        <v>6.9</v>
      </c>
      <c r="I571">
        <v>3.83</v>
      </c>
      <c r="J571" t="str">
        <f t="shared" si="42"/>
        <v>first class</v>
      </c>
      <c r="K571">
        <v>0.4</v>
      </c>
      <c r="L571" t="s">
        <v>21</v>
      </c>
      <c r="M571">
        <v>8</v>
      </c>
      <c r="N571">
        <v>9</v>
      </c>
      <c r="O571">
        <v>9</v>
      </c>
      <c r="P571">
        <v>0</v>
      </c>
      <c r="Q571">
        <f t="shared" si="43"/>
        <v>26</v>
      </c>
      <c r="S571" t="str">
        <f t="shared" si="44"/>
        <v>Mentally Unstable</v>
      </c>
    </row>
    <row r="572" spans="1:19" x14ac:dyDescent="0.25">
      <c r="A572">
        <v>17</v>
      </c>
      <c r="B572" t="str">
        <f t="shared" si="40"/>
        <v>Old Teenager</v>
      </c>
      <c r="C572" t="s">
        <v>19</v>
      </c>
      <c r="D572">
        <v>5.3</v>
      </c>
      <c r="E572" t="s">
        <v>23</v>
      </c>
      <c r="F572">
        <v>6.8</v>
      </c>
      <c r="G572">
        <v>1.9</v>
      </c>
      <c r="H572">
        <f t="shared" si="41"/>
        <v>7.1999999999999993</v>
      </c>
      <c r="I572">
        <v>3.39</v>
      </c>
      <c r="J572" t="str">
        <f t="shared" si="42"/>
        <v>Second class upper</v>
      </c>
      <c r="K572">
        <v>1.6</v>
      </c>
      <c r="L572" t="s">
        <v>18</v>
      </c>
      <c r="M572">
        <v>10</v>
      </c>
      <c r="N572">
        <v>6</v>
      </c>
      <c r="O572">
        <v>8</v>
      </c>
      <c r="P572">
        <v>0</v>
      </c>
      <c r="Q572">
        <f t="shared" si="43"/>
        <v>24</v>
      </c>
      <c r="S572" t="str">
        <f t="shared" si="44"/>
        <v>Mentally Unstable</v>
      </c>
    </row>
    <row r="573" spans="1:19" x14ac:dyDescent="0.25">
      <c r="A573">
        <v>19</v>
      </c>
      <c r="B573" t="str">
        <f t="shared" si="40"/>
        <v>Old Teenager</v>
      </c>
      <c r="C573" t="s">
        <v>16</v>
      </c>
      <c r="D573">
        <v>7.2</v>
      </c>
      <c r="E573" t="s">
        <v>20</v>
      </c>
      <c r="F573">
        <v>6.6</v>
      </c>
      <c r="G573">
        <v>2.9</v>
      </c>
      <c r="H573">
        <f t="shared" si="41"/>
        <v>10.1</v>
      </c>
      <c r="I573">
        <v>2.74</v>
      </c>
      <c r="J573" t="str">
        <f t="shared" si="42"/>
        <v>Second class lower</v>
      </c>
      <c r="K573">
        <v>0.3</v>
      </c>
      <c r="L573" t="s">
        <v>22</v>
      </c>
      <c r="M573">
        <v>1</v>
      </c>
      <c r="N573">
        <v>10</v>
      </c>
      <c r="O573">
        <v>9</v>
      </c>
      <c r="P573">
        <v>0</v>
      </c>
      <c r="Q573">
        <f t="shared" si="43"/>
        <v>20</v>
      </c>
      <c r="S573" t="str">
        <f t="shared" si="44"/>
        <v>Mentally Unstable</v>
      </c>
    </row>
    <row r="574" spans="1:19" x14ac:dyDescent="0.25">
      <c r="A574">
        <v>15</v>
      </c>
      <c r="B574" t="str">
        <f t="shared" si="40"/>
        <v>Young Teenager</v>
      </c>
      <c r="C574" t="s">
        <v>16</v>
      </c>
      <c r="D574">
        <v>2.2999999999999998</v>
      </c>
      <c r="E574" t="s">
        <v>23</v>
      </c>
      <c r="F574">
        <v>5.7</v>
      </c>
      <c r="G574">
        <v>2.8</v>
      </c>
      <c r="H574">
        <f t="shared" si="41"/>
        <v>5.0999999999999996</v>
      </c>
      <c r="I574">
        <v>2.79</v>
      </c>
      <c r="J574" t="str">
        <f t="shared" si="42"/>
        <v>Second class lower</v>
      </c>
      <c r="K574">
        <v>1.9</v>
      </c>
      <c r="L574" t="s">
        <v>22</v>
      </c>
      <c r="M574">
        <v>4</v>
      </c>
      <c r="N574">
        <v>1</v>
      </c>
      <c r="O574">
        <v>4</v>
      </c>
      <c r="P574">
        <v>0</v>
      </c>
      <c r="Q574">
        <f t="shared" si="43"/>
        <v>9</v>
      </c>
      <c r="S574" t="str">
        <f t="shared" si="44"/>
        <v>Mentally Sound</v>
      </c>
    </row>
    <row r="575" spans="1:19" x14ac:dyDescent="0.25">
      <c r="A575">
        <v>17</v>
      </c>
      <c r="B575" t="str">
        <f t="shared" si="40"/>
        <v>Old Teenager</v>
      </c>
      <c r="C575" t="s">
        <v>19</v>
      </c>
      <c r="D575">
        <v>7.3</v>
      </c>
      <c r="E575" t="s">
        <v>23</v>
      </c>
      <c r="F575">
        <v>7.8</v>
      </c>
      <c r="G575">
        <v>1.1000000000000001</v>
      </c>
      <c r="H575">
        <f t="shared" si="41"/>
        <v>8.4</v>
      </c>
      <c r="I575">
        <v>2.0299999999999998</v>
      </c>
      <c r="J575" t="str">
        <f t="shared" si="42"/>
        <v>third class</v>
      </c>
      <c r="K575">
        <v>1.1000000000000001</v>
      </c>
      <c r="L575" t="s">
        <v>18</v>
      </c>
      <c r="M575">
        <v>3</v>
      </c>
      <c r="N575">
        <v>10</v>
      </c>
      <c r="O575">
        <v>6</v>
      </c>
      <c r="P575">
        <v>0</v>
      </c>
      <c r="Q575">
        <f t="shared" si="43"/>
        <v>19</v>
      </c>
      <c r="S575" t="str">
        <f t="shared" si="44"/>
        <v>Mentally Strained</v>
      </c>
    </row>
    <row r="576" spans="1:19" x14ac:dyDescent="0.25">
      <c r="A576">
        <v>16</v>
      </c>
      <c r="B576" t="str">
        <f t="shared" si="40"/>
        <v>Old Teenager</v>
      </c>
      <c r="C576" t="s">
        <v>19</v>
      </c>
      <c r="D576">
        <v>1.5</v>
      </c>
      <c r="E576" t="s">
        <v>17</v>
      </c>
      <c r="F576">
        <v>8</v>
      </c>
      <c r="G576">
        <v>0.7</v>
      </c>
      <c r="H576">
        <f t="shared" si="41"/>
        <v>2.2000000000000002</v>
      </c>
      <c r="I576">
        <v>2.1800000000000002</v>
      </c>
      <c r="J576" t="str">
        <f t="shared" si="42"/>
        <v>third class</v>
      </c>
      <c r="K576">
        <v>0.6</v>
      </c>
      <c r="L576" t="s">
        <v>22</v>
      </c>
      <c r="M576">
        <v>4</v>
      </c>
      <c r="N576">
        <v>7</v>
      </c>
      <c r="O576">
        <v>5</v>
      </c>
      <c r="P576">
        <v>0</v>
      </c>
      <c r="Q576">
        <f t="shared" si="43"/>
        <v>16</v>
      </c>
      <c r="S576" t="str">
        <f t="shared" si="44"/>
        <v>Mentally Strained</v>
      </c>
    </row>
    <row r="577" spans="1:19" x14ac:dyDescent="0.25">
      <c r="A577">
        <v>18</v>
      </c>
      <c r="B577" t="str">
        <f t="shared" si="40"/>
        <v>Old Teenager</v>
      </c>
      <c r="C577" t="s">
        <v>19</v>
      </c>
      <c r="D577">
        <v>2.2000000000000002</v>
      </c>
      <c r="E577" t="s">
        <v>17</v>
      </c>
      <c r="F577">
        <v>6.5</v>
      </c>
      <c r="G577">
        <v>1.9</v>
      </c>
      <c r="H577">
        <f t="shared" si="41"/>
        <v>4.0999999999999996</v>
      </c>
      <c r="I577">
        <v>3.79</v>
      </c>
      <c r="J577" t="str">
        <f t="shared" si="42"/>
        <v>first class</v>
      </c>
      <c r="K577">
        <v>0.2</v>
      </c>
      <c r="L577" t="s">
        <v>18</v>
      </c>
      <c r="M577">
        <v>1</v>
      </c>
      <c r="N577">
        <v>6</v>
      </c>
      <c r="O577">
        <v>2</v>
      </c>
      <c r="P577">
        <v>0</v>
      </c>
      <c r="Q577">
        <f t="shared" si="43"/>
        <v>9</v>
      </c>
      <c r="S577" t="str">
        <f t="shared" si="44"/>
        <v>Mentally Sound</v>
      </c>
    </row>
    <row r="578" spans="1:19" x14ac:dyDescent="0.25">
      <c r="A578">
        <v>13</v>
      </c>
      <c r="B578" t="str">
        <f t="shared" si="40"/>
        <v>Young Teenager</v>
      </c>
      <c r="C578" t="s">
        <v>19</v>
      </c>
      <c r="D578">
        <v>5.5</v>
      </c>
      <c r="E578" t="s">
        <v>23</v>
      </c>
      <c r="F578">
        <v>6.7</v>
      </c>
      <c r="G578">
        <v>1.6</v>
      </c>
      <c r="H578">
        <f t="shared" si="41"/>
        <v>7.1</v>
      </c>
      <c r="I578">
        <v>3.09</v>
      </c>
      <c r="J578" t="str">
        <f t="shared" si="42"/>
        <v>Second class upper</v>
      </c>
      <c r="K578">
        <v>1.7</v>
      </c>
      <c r="L578" t="s">
        <v>21</v>
      </c>
      <c r="M578">
        <v>10</v>
      </c>
      <c r="N578">
        <v>1</v>
      </c>
      <c r="O578">
        <v>6</v>
      </c>
      <c r="P578">
        <v>0</v>
      </c>
      <c r="Q578">
        <f t="shared" si="43"/>
        <v>17</v>
      </c>
      <c r="S578" t="str">
        <f t="shared" si="44"/>
        <v>Mentally Strained</v>
      </c>
    </row>
    <row r="579" spans="1:19" x14ac:dyDescent="0.25">
      <c r="A579">
        <v>19</v>
      </c>
      <c r="B579" t="str">
        <f t="shared" ref="B579:B642" si="45">IF(A579&lt;=15,"Young Teenager","Old Teenager")</f>
        <v>Old Teenager</v>
      </c>
      <c r="C579" t="s">
        <v>16</v>
      </c>
      <c r="D579">
        <v>2.1</v>
      </c>
      <c r="E579" t="s">
        <v>20</v>
      </c>
      <c r="F579">
        <v>5.2</v>
      </c>
      <c r="G579">
        <v>2.5</v>
      </c>
      <c r="H579">
        <f t="shared" ref="H579:H642" si="46">SUM(D579,G579)</f>
        <v>4.5999999999999996</v>
      </c>
      <c r="I579">
        <v>3.1</v>
      </c>
      <c r="J579" t="str">
        <f t="shared" ref="J579:J642" si="47">IF(I579&lt;=2.49,"third class",IF(I579&lt;3,"Second class lower",IF(I579&lt;3.6,"Second class upper","first class")))</f>
        <v>Second class upper</v>
      </c>
      <c r="K579">
        <v>0.3</v>
      </c>
      <c r="L579" t="s">
        <v>18</v>
      </c>
      <c r="M579">
        <v>9</v>
      </c>
      <c r="N579">
        <v>9</v>
      </c>
      <c r="O579">
        <v>3</v>
      </c>
      <c r="P579">
        <v>0</v>
      </c>
      <c r="Q579">
        <f t="shared" ref="Q579:Q642" si="48">SUM(M579:P579)</f>
        <v>21</v>
      </c>
      <c r="S579" t="str">
        <f t="shared" ref="S579:S642" si="49">IF(Q579&lt;10,"Mentally Sound",IF(Q579&gt;=20,"Mentally Unstable","Mentally Strained"))</f>
        <v>Mentally Unstable</v>
      </c>
    </row>
    <row r="580" spans="1:19" x14ac:dyDescent="0.25">
      <c r="A580">
        <v>15</v>
      </c>
      <c r="B580" t="str">
        <f t="shared" si="45"/>
        <v>Young Teenager</v>
      </c>
      <c r="C580" t="s">
        <v>19</v>
      </c>
      <c r="D580">
        <v>4.5</v>
      </c>
      <c r="E580" t="s">
        <v>23</v>
      </c>
      <c r="F580">
        <v>5.4</v>
      </c>
      <c r="G580">
        <v>1.2</v>
      </c>
      <c r="H580">
        <f t="shared" si="46"/>
        <v>5.7</v>
      </c>
      <c r="I580">
        <v>3.76</v>
      </c>
      <c r="J580" t="str">
        <f t="shared" si="47"/>
        <v>first class</v>
      </c>
      <c r="K580">
        <v>1.7</v>
      </c>
      <c r="L580" t="s">
        <v>21</v>
      </c>
      <c r="M580">
        <v>1</v>
      </c>
      <c r="N580">
        <v>8</v>
      </c>
      <c r="O580">
        <v>7</v>
      </c>
      <c r="P580">
        <v>0</v>
      </c>
      <c r="Q580">
        <f t="shared" si="48"/>
        <v>16</v>
      </c>
      <c r="S580" t="str">
        <f t="shared" si="49"/>
        <v>Mentally Strained</v>
      </c>
    </row>
    <row r="581" spans="1:19" x14ac:dyDescent="0.25">
      <c r="A581">
        <v>13</v>
      </c>
      <c r="B581" t="str">
        <f t="shared" si="45"/>
        <v>Young Teenager</v>
      </c>
      <c r="C581" t="s">
        <v>16</v>
      </c>
      <c r="D581">
        <v>3.9</v>
      </c>
      <c r="E581" t="s">
        <v>23</v>
      </c>
      <c r="F581">
        <v>5.8</v>
      </c>
      <c r="G581">
        <v>0.7</v>
      </c>
      <c r="H581">
        <f t="shared" si="46"/>
        <v>4.5999999999999996</v>
      </c>
      <c r="I581">
        <v>2.77</v>
      </c>
      <c r="J581" t="str">
        <f t="shared" si="47"/>
        <v>Second class lower</v>
      </c>
      <c r="K581">
        <v>1.3</v>
      </c>
      <c r="L581" t="s">
        <v>22</v>
      </c>
      <c r="M581">
        <v>10</v>
      </c>
      <c r="N581">
        <v>3</v>
      </c>
      <c r="O581">
        <v>1</v>
      </c>
      <c r="P581">
        <v>0</v>
      </c>
      <c r="Q581">
        <f t="shared" si="48"/>
        <v>14</v>
      </c>
      <c r="S581" t="str">
        <f t="shared" si="49"/>
        <v>Mentally Strained</v>
      </c>
    </row>
    <row r="582" spans="1:19" x14ac:dyDescent="0.25">
      <c r="A582">
        <v>14</v>
      </c>
      <c r="B582" t="str">
        <f t="shared" si="45"/>
        <v>Young Teenager</v>
      </c>
      <c r="C582" t="s">
        <v>16</v>
      </c>
      <c r="D582">
        <v>5.8</v>
      </c>
      <c r="E582" t="s">
        <v>17</v>
      </c>
      <c r="F582">
        <v>5.0999999999999996</v>
      </c>
      <c r="G582">
        <v>2.6</v>
      </c>
      <c r="H582">
        <f t="shared" si="46"/>
        <v>8.4</v>
      </c>
      <c r="I582">
        <v>2.06</v>
      </c>
      <c r="J582" t="str">
        <f t="shared" si="47"/>
        <v>third class</v>
      </c>
      <c r="K582">
        <v>1.5</v>
      </c>
      <c r="L582" t="s">
        <v>22</v>
      </c>
      <c r="M582">
        <v>7</v>
      </c>
      <c r="N582">
        <v>5</v>
      </c>
      <c r="O582">
        <v>2</v>
      </c>
      <c r="P582">
        <v>0</v>
      </c>
      <c r="Q582">
        <f t="shared" si="48"/>
        <v>14</v>
      </c>
      <c r="S582" t="str">
        <f t="shared" si="49"/>
        <v>Mentally Strained</v>
      </c>
    </row>
    <row r="583" spans="1:19" x14ac:dyDescent="0.25">
      <c r="A583">
        <v>13</v>
      </c>
      <c r="B583" t="str">
        <f t="shared" si="45"/>
        <v>Young Teenager</v>
      </c>
      <c r="C583" t="s">
        <v>19</v>
      </c>
      <c r="D583">
        <v>7.2</v>
      </c>
      <c r="E583" t="s">
        <v>23</v>
      </c>
      <c r="F583">
        <v>4.2</v>
      </c>
      <c r="G583">
        <v>2.5</v>
      </c>
      <c r="H583">
        <f t="shared" si="46"/>
        <v>9.6999999999999993</v>
      </c>
      <c r="I583">
        <v>2.65</v>
      </c>
      <c r="J583" t="str">
        <f t="shared" si="47"/>
        <v>Second class lower</v>
      </c>
      <c r="K583">
        <v>1.6</v>
      </c>
      <c r="L583" t="s">
        <v>18</v>
      </c>
      <c r="M583">
        <v>10</v>
      </c>
      <c r="N583">
        <v>9</v>
      </c>
      <c r="O583">
        <v>3</v>
      </c>
      <c r="P583">
        <v>1</v>
      </c>
      <c r="Q583">
        <f t="shared" si="48"/>
        <v>23</v>
      </c>
      <c r="S583" t="str">
        <f t="shared" si="49"/>
        <v>Mentally Unstable</v>
      </c>
    </row>
    <row r="584" spans="1:19" x14ac:dyDescent="0.25">
      <c r="A584">
        <v>17</v>
      </c>
      <c r="B584" t="str">
        <f t="shared" si="45"/>
        <v>Old Teenager</v>
      </c>
      <c r="C584" t="s">
        <v>19</v>
      </c>
      <c r="D584">
        <v>2.9</v>
      </c>
      <c r="E584" t="s">
        <v>23</v>
      </c>
      <c r="F584">
        <v>7.5</v>
      </c>
      <c r="G584">
        <v>1.4</v>
      </c>
      <c r="H584">
        <f t="shared" si="46"/>
        <v>4.3</v>
      </c>
      <c r="I584">
        <v>3.42</v>
      </c>
      <c r="J584" t="str">
        <f t="shared" si="47"/>
        <v>Second class upper</v>
      </c>
      <c r="K584">
        <v>1.7</v>
      </c>
      <c r="L584" t="s">
        <v>18</v>
      </c>
      <c r="M584">
        <v>5</v>
      </c>
      <c r="N584">
        <v>6</v>
      </c>
      <c r="O584">
        <v>3</v>
      </c>
      <c r="P584">
        <v>0</v>
      </c>
      <c r="Q584">
        <f t="shared" si="48"/>
        <v>14</v>
      </c>
      <c r="S584" t="str">
        <f t="shared" si="49"/>
        <v>Mentally Strained</v>
      </c>
    </row>
    <row r="585" spans="1:19" x14ac:dyDescent="0.25">
      <c r="A585">
        <v>17</v>
      </c>
      <c r="B585" t="str">
        <f t="shared" si="45"/>
        <v>Old Teenager</v>
      </c>
      <c r="C585" t="s">
        <v>16</v>
      </c>
      <c r="D585">
        <v>6.2</v>
      </c>
      <c r="E585" t="s">
        <v>17</v>
      </c>
      <c r="F585">
        <v>7.4</v>
      </c>
      <c r="G585">
        <v>0.6</v>
      </c>
      <c r="H585">
        <f t="shared" si="46"/>
        <v>6.8</v>
      </c>
      <c r="I585">
        <v>3.38</v>
      </c>
      <c r="J585" t="str">
        <f t="shared" si="47"/>
        <v>Second class upper</v>
      </c>
      <c r="K585">
        <v>1.5</v>
      </c>
      <c r="L585" t="s">
        <v>18</v>
      </c>
      <c r="M585">
        <v>4</v>
      </c>
      <c r="N585">
        <v>7</v>
      </c>
      <c r="O585">
        <v>9</v>
      </c>
      <c r="P585">
        <v>0</v>
      </c>
      <c r="Q585">
        <f t="shared" si="48"/>
        <v>20</v>
      </c>
      <c r="S585" t="str">
        <f t="shared" si="49"/>
        <v>Mentally Unstable</v>
      </c>
    </row>
    <row r="586" spans="1:19" x14ac:dyDescent="0.25">
      <c r="A586">
        <v>18</v>
      </c>
      <c r="B586" t="str">
        <f t="shared" si="45"/>
        <v>Old Teenager</v>
      </c>
      <c r="C586" t="s">
        <v>19</v>
      </c>
      <c r="D586">
        <v>1.1000000000000001</v>
      </c>
      <c r="E586" t="s">
        <v>23</v>
      </c>
      <c r="F586">
        <v>4.9000000000000004</v>
      </c>
      <c r="G586">
        <v>2.6</v>
      </c>
      <c r="H586">
        <f t="shared" si="46"/>
        <v>3.7</v>
      </c>
      <c r="I586">
        <v>2.4300000000000002</v>
      </c>
      <c r="J586" t="str">
        <f t="shared" si="47"/>
        <v>third class</v>
      </c>
      <c r="K586">
        <v>1.3</v>
      </c>
      <c r="L586" t="s">
        <v>21</v>
      </c>
      <c r="M586">
        <v>9</v>
      </c>
      <c r="N586">
        <v>7</v>
      </c>
      <c r="O586">
        <v>6</v>
      </c>
      <c r="P586">
        <v>0</v>
      </c>
      <c r="Q586">
        <f t="shared" si="48"/>
        <v>22</v>
      </c>
      <c r="S586" t="str">
        <f t="shared" si="49"/>
        <v>Mentally Unstable</v>
      </c>
    </row>
    <row r="587" spans="1:19" x14ac:dyDescent="0.25">
      <c r="A587">
        <v>19</v>
      </c>
      <c r="B587" t="str">
        <f t="shared" si="45"/>
        <v>Old Teenager</v>
      </c>
      <c r="C587" t="s">
        <v>16</v>
      </c>
      <c r="D587">
        <v>5.2</v>
      </c>
      <c r="E587" t="s">
        <v>17</v>
      </c>
      <c r="F587">
        <v>4.3</v>
      </c>
      <c r="G587">
        <v>1.3</v>
      </c>
      <c r="H587">
        <f t="shared" si="46"/>
        <v>6.5</v>
      </c>
      <c r="I587">
        <v>2.29</v>
      </c>
      <c r="J587" t="str">
        <f t="shared" si="47"/>
        <v>third class</v>
      </c>
      <c r="K587">
        <v>1.3</v>
      </c>
      <c r="L587" t="s">
        <v>22</v>
      </c>
      <c r="M587">
        <v>10</v>
      </c>
      <c r="N587">
        <v>8</v>
      </c>
      <c r="O587">
        <v>10</v>
      </c>
      <c r="P587">
        <v>1</v>
      </c>
      <c r="Q587">
        <f t="shared" si="48"/>
        <v>29</v>
      </c>
      <c r="S587" t="str">
        <f t="shared" si="49"/>
        <v>Mentally Unstable</v>
      </c>
    </row>
    <row r="588" spans="1:19" x14ac:dyDescent="0.25">
      <c r="A588">
        <v>15</v>
      </c>
      <c r="B588" t="str">
        <f t="shared" si="45"/>
        <v>Young Teenager</v>
      </c>
      <c r="C588" t="s">
        <v>19</v>
      </c>
      <c r="D588">
        <v>5</v>
      </c>
      <c r="E588" t="s">
        <v>17</v>
      </c>
      <c r="F588">
        <v>7.6</v>
      </c>
      <c r="G588">
        <v>1.8</v>
      </c>
      <c r="H588">
        <f t="shared" si="46"/>
        <v>6.8</v>
      </c>
      <c r="I588">
        <v>2.52</v>
      </c>
      <c r="J588" t="str">
        <f t="shared" si="47"/>
        <v>Second class lower</v>
      </c>
      <c r="K588">
        <v>1.4</v>
      </c>
      <c r="L588" t="s">
        <v>21</v>
      </c>
      <c r="M588">
        <v>1</v>
      </c>
      <c r="N588">
        <v>4</v>
      </c>
      <c r="O588">
        <v>3</v>
      </c>
      <c r="P588">
        <v>0</v>
      </c>
      <c r="Q588">
        <f t="shared" si="48"/>
        <v>8</v>
      </c>
      <c r="S588" t="str">
        <f t="shared" si="49"/>
        <v>Mentally Sound</v>
      </c>
    </row>
    <row r="589" spans="1:19" x14ac:dyDescent="0.25">
      <c r="A589">
        <v>13</v>
      </c>
      <c r="B589" t="str">
        <f t="shared" si="45"/>
        <v>Young Teenager</v>
      </c>
      <c r="C589" t="s">
        <v>19</v>
      </c>
      <c r="D589">
        <v>2.2999999999999998</v>
      </c>
      <c r="E589" t="s">
        <v>20</v>
      </c>
      <c r="F589">
        <v>8.6999999999999993</v>
      </c>
      <c r="G589">
        <v>1.2</v>
      </c>
      <c r="H589">
        <f t="shared" si="46"/>
        <v>3.5</v>
      </c>
      <c r="I589">
        <v>3.25</v>
      </c>
      <c r="J589" t="str">
        <f t="shared" si="47"/>
        <v>Second class upper</v>
      </c>
      <c r="K589">
        <v>1.5</v>
      </c>
      <c r="L589" t="s">
        <v>21</v>
      </c>
      <c r="M589">
        <v>9</v>
      </c>
      <c r="N589">
        <v>9</v>
      </c>
      <c r="O589">
        <v>1</v>
      </c>
      <c r="P589">
        <v>0</v>
      </c>
      <c r="Q589">
        <f t="shared" si="48"/>
        <v>19</v>
      </c>
      <c r="S589" t="str">
        <f t="shared" si="49"/>
        <v>Mentally Strained</v>
      </c>
    </row>
    <row r="590" spans="1:19" x14ac:dyDescent="0.25">
      <c r="A590">
        <v>15</v>
      </c>
      <c r="B590" t="str">
        <f t="shared" si="45"/>
        <v>Young Teenager</v>
      </c>
      <c r="C590" t="s">
        <v>19</v>
      </c>
      <c r="D590">
        <v>5.2</v>
      </c>
      <c r="E590" t="s">
        <v>20</v>
      </c>
      <c r="F590">
        <v>5.6</v>
      </c>
      <c r="G590">
        <v>1.5</v>
      </c>
      <c r="H590">
        <f t="shared" si="46"/>
        <v>6.7</v>
      </c>
      <c r="I590">
        <v>3.13</v>
      </c>
      <c r="J590" t="str">
        <f t="shared" si="47"/>
        <v>Second class upper</v>
      </c>
      <c r="K590">
        <v>0.1</v>
      </c>
      <c r="L590" t="s">
        <v>18</v>
      </c>
      <c r="M590">
        <v>7</v>
      </c>
      <c r="N590">
        <v>9</v>
      </c>
      <c r="O590">
        <v>4</v>
      </c>
      <c r="P590">
        <v>1</v>
      </c>
      <c r="Q590">
        <f t="shared" si="48"/>
        <v>21</v>
      </c>
      <c r="S590" t="str">
        <f t="shared" si="49"/>
        <v>Mentally Unstable</v>
      </c>
    </row>
    <row r="591" spans="1:19" x14ac:dyDescent="0.25">
      <c r="A591">
        <v>13</v>
      </c>
      <c r="B591" t="str">
        <f t="shared" si="45"/>
        <v>Young Teenager</v>
      </c>
      <c r="C591" t="s">
        <v>19</v>
      </c>
      <c r="D591">
        <v>3.5</v>
      </c>
      <c r="E591" t="s">
        <v>23</v>
      </c>
      <c r="F591">
        <v>8.6999999999999993</v>
      </c>
      <c r="G591">
        <v>1.4</v>
      </c>
      <c r="H591">
        <f t="shared" si="46"/>
        <v>4.9000000000000004</v>
      </c>
      <c r="I591">
        <v>3.5</v>
      </c>
      <c r="J591" t="str">
        <f t="shared" si="47"/>
        <v>Second class upper</v>
      </c>
      <c r="K591">
        <v>1.3</v>
      </c>
      <c r="L591" t="s">
        <v>21</v>
      </c>
      <c r="M591">
        <v>9</v>
      </c>
      <c r="N591">
        <v>4</v>
      </c>
      <c r="O591">
        <v>5</v>
      </c>
      <c r="P591">
        <v>0</v>
      </c>
      <c r="Q591">
        <f t="shared" si="48"/>
        <v>18</v>
      </c>
      <c r="S591" t="str">
        <f t="shared" si="49"/>
        <v>Mentally Strained</v>
      </c>
    </row>
    <row r="592" spans="1:19" x14ac:dyDescent="0.25">
      <c r="A592">
        <v>16</v>
      </c>
      <c r="B592" t="str">
        <f t="shared" si="45"/>
        <v>Old Teenager</v>
      </c>
      <c r="C592" t="s">
        <v>19</v>
      </c>
      <c r="D592">
        <v>3.5</v>
      </c>
      <c r="E592" t="s">
        <v>23</v>
      </c>
      <c r="F592">
        <v>4.2</v>
      </c>
      <c r="G592">
        <v>1.5</v>
      </c>
      <c r="H592">
        <f t="shared" si="46"/>
        <v>5</v>
      </c>
      <c r="I592">
        <v>3.98</v>
      </c>
      <c r="J592" t="str">
        <f t="shared" si="47"/>
        <v>first class</v>
      </c>
      <c r="K592">
        <v>0.4</v>
      </c>
      <c r="L592" t="s">
        <v>22</v>
      </c>
      <c r="M592">
        <v>1</v>
      </c>
      <c r="N592">
        <v>7</v>
      </c>
      <c r="O592">
        <v>2</v>
      </c>
      <c r="P592">
        <v>0</v>
      </c>
      <c r="Q592">
        <f t="shared" si="48"/>
        <v>10</v>
      </c>
      <c r="S592" t="str">
        <f t="shared" si="49"/>
        <v>Mentally Strained</v>
      </c>
    </row>
    <row r="593" spans="1:19" x14ac:dyDescent="0.25">
      <c r="A593">
        <v>19</v>
      </c>
      <c r="B593" t="str">
        <f t="shared" si="45"/>
        <v>Old Teenager</v>
      </c>
      <c r="C593" t="s">
        <v>16</v>
      </c>
      <c r="D593">
        <v>7.7</v>
      </c>
      <c r="E593" t="s">
        <v>17</v>
      </c>
      <c r="F593">
        <v>4.2</v>
      </c>
      <c r="G593">
        <v>2.6</v>
      </c>
      <c r="H593">
        <f t="shared" si="46"/>
        <v>10.3</v>
      </c>
      <c r="I593">
        <v>2.2000000000000002</v>
      </c>
      <c r="J593" t="str">
        <f t="shared" si="47"/>
        <v>third class</v>
      </c>
      <c r="K593">
        <v>1.8</v>
      </c>
      <c r="L593" t="s">
        <v>18</v>
      </c>
      <c r="M593">
        <v>8</v>
      </c>
      <c r="N593">
        <v>9</v>
      </c>
      <c r="O593">
        <v>4</v>
      </c>
      <c r="P593">
        <v>1</v>
      </c>
      <c r="Q593">
        <f t="shared" si="48"/>
        <v>22</v>
      </c>
      <c r="S593" t="str">
        <f t="shared" si="49"/>
        <v>Mentally Unstable</v>
      </c>
    </row>
    <row r="594" spans="1:19" x14ac:dyDescent="0.25">
      <c r="A594">
        <v>18</v>
      </c>
      <c r="B594" t="str">
        <f t="shared" si="45"/>
        <v>Old Teenager</v>
      </c>
      <c r="C594" t="s">
        <v>19</v>
      </c>
      <c r="D594">
        <v>2</v>
      </c>
      <c r="E594" t="s">
        <v>23</v>
      </c>
      <c r="F594">
        <v>8.6</v>
      </c>
      <c r="G594">
        <v>2.2000000000000002</v>
      </c>
      <c r="H594">
        <f t="shared" si="46"/>
        <v>4.2</v>
      </c>
      <c r="I594">
        <v>3.53</v>
      </c>
      <c r="J594" t="str">
        <f t="shared" si="47"/>
        <v>Second class upper</v>
      </c>
      <c r="K594">
        <v>1.9</v>
      </c>
      <c r="L594" t="s">
        <v>18</v>
      </c>
      <c r="M594">
        <v>2</v>
      </c>
      <c r="N594">
        <v>5</v>
      </c>
      <c r="O594">
        <v>8</v>
      </c>
      <c r="P594">
        <v>0</v>
      </c>
      <c r="Q594">
        <f t="shared" si="48"/>
        <v>15</v>
      </c>
      <c r="S594" t="str">
        <f t="shared" si="49"/>
        <v>Mentally Strained</v>
      </c>
    </row>
    <row r="595" spans="1:19" x14ac:dyDescent="0.25">
      <c r="A595">
        <v>13</v>
      </c>
      <c r="B595" t="str">
        <f t="shared" si="45"/>
        <v>Young Teenager</v>
      </c>
      <c r="C595" t="s">
        <v>19</v>
      </c>
      <c r="D595">
        <v>5.0999999999999996</v>
      </c>
      <c r="E595" t="s">
        <v>20</v>
      </c>
      <c r="F595">
        <v>4.5</v>
      </c>
      <c r="G595">
        <v>2.7</v>
      </c>
      <c r="H595">
        <f t="shared" si="46"/>
        <v>7.8</v>
      </c>
      <c r="I595">
        <v>2.54</v>
      </c>
      <c r="J595" t="str">
        <f t="shared" si="47"/>
        <v>Second class lower</v>
      </c>
      <c r="K595">
        <v>1.4</v>
      </c>
      <c r="L595" t="s">
        <v>21</v>
      </c>
      <c r="M595">
        <v>2</v>
      </c>
      <c r="N595">
        <v>3</v>
      </c>
      <c r="O595">
        <v>10</v>
      </c>
      <c r="P595">
        <v>0</v>
      </c>
      <c r="Q595">
        <f t="shared" si="48"/>
        <v>15</v>
      </c>
      <c r="S595" t="str">
        <f t="shared" si="49"/>
        <v>Mentally Strained</v>
      </c>
    </row>
    <row r="596" spans="1:19" x14ac:dyDescent="0.25">
      <c r="A596">
        <v>16</v>
      </c>
      <c r="B596" t="str">
        <f t="shared" si="45"/>
        <v>Old Teenager</v>
      </c>
      <c r="C596" t="s">
        <v>16</v>
      </c>
      <c r="D596">
        <v>2</v>
      </c>
      <c r="E596" t="s">
        <v>17</v>
      </c>
      <c r="F596">
        <v>7.9</v>
      </c>
      <c r="G596">
        <v>2.4</v>
      </c>
      <c r="H596">
        <f t="shared" si="46"/>
        <v>4.4000000000000004</v>
      </c>
      <c r="I596">
        <v>2.81</v>
      </c>
      <c r="J596" t="str">
        <f t="shared" si="47"/>
        <v>Second class lower</v>
      </c>
      <c r="K596">
        <v>1.9</v>
      </c>
      <c r="L596" t="s">
        <v>18</v>
      </c>
      <c r="M596">
        <v>10</v>
      </c>
      <c r="N596">
        <v>6</v>
      </c>
      <c r="O596">
        <v>6</v>
      </c>
      <c r="P596">
        <v>0</v>
      </c>
      <c r="Q596">
        <f t="shared" si="48"/>
        <v>22</v>
      </c>
      <c r="S596" t="str">
        <f t="shared" si="49"/>
        <v>Mentally Unstable</v>
      </c>
    </row>
    <row r="597" spans="1:19" x14ac:dyDescent="0.25">
      <c r="A597">
        <v>15</v>
      </c>
      <c r="B597" t="str">
        <f t="shared" si="45"/>
        <v>Young Teenager</v>
      </c>
      <c r="C597" t="s">
        <v>16</v>
      </c>
      <c r="D597">
        <v>4.7</v>
      </c>
      <c r="E597" t="s">
        <v>17</v>
      </c>
      <c r="F597">
        <v>8.4</v>
      </c>
      <c r="G597">
        <v>1.9</v>
      </c>
      <c r="H597">
        <f t="shared" si="46"/>
        <v>6.6</v>
      </c>
      <c r="I597">
        <v>3.9</v>
      </c>
      <c r="J597" t="str">
        <f t="shared" si="47"/>
        <v>first class</v>
      </c>
      <c r="K597">
        <v>1</v>
      </c>
      <c r="L597" t="s">
        <v>21</v>
      </c>
      <c r="M597">
        <v>4</v>
      </c>
      <c r="N597">
        <v>10</v>
      </c>
      <c r="O597">
        <v>6</v>
      </c>
      <c r="P597">
        <v>0</v>
      </c>
      <c r="Q597">
        <f t="shared" si="48"/>
        <v>20</v>
      </c>
      <c r="S597" t="str">
        <f t="shared" si="49"/>
        <v>Mentally Unstable</v>
      </c>
    </row>
    <row r="598" spans="1:19" x14ac:dyDescent="0.25">
      <c r="A598">
        <v>17</v>
      </c>
      <c r="B598" t="str">
        <f t="shared" si="45"/>
        <v>Old Teenager</v>
      </c>
      <c r="C598" t="s">
        <v>19</v>
      </c>
      <c r="D598">
        <v>6.9</v>
      </c>
      <c r="E598" t="s">
        <v>20</v>
      </c>
      <c r="F598">
        <v>6.1</v>
      </c>
      <c r="G598">
        <v>2.4</v>
      </c>
      <c r="H598">
        <f t="shared" si="46"/>
        <v>9.3000000000000007</v>
      </c>
      <c r="I598">
        <v>3.77</v>
      </c>
      <c r="J598" t="str">
        <f t="shared" si="47"/>
        <v>first class</v>
      </c>
      <c r="K598">
        <v>1.1000000000000001</v>
      </c>
      <c r="L598" t="s">
        <v>22</v>
      </c>
      <c r="M598">
        <v>9</v>
      </c>
      <c r="N598">
        <v>4</v>
      </c>
      <c r="O598">
        <v>9</v>
      </c>
      <c r="P598">
        <v>0</v>
      </c>
      <c r="Q598">
        <f t="shared" si="48"/>
        <v>22</v>
      </c>
      <c r="S598" t="str">
        <f t="shared" si="49"/>
        <v>Mentally Unstable</v>
      </c>
    </row>
    <row r="599" spans="1:19" x14ac:dyDescent="0.25">
      <c r="A599">
        <v>18</v>
      </c>
      <c r="B599" t="str">
        <f t="shared" si="45"/>
        <v>Old Teenager</v>
      </c>
      <c r="C599" t="s">
        <v>16</v>
      </c>
      <c r="D599">
        <v>5.9</v>
      </c>
      <c r="E599" t="s">
        <v>17</v>
      </c>
      <c r="F599">
        <v>4.4000000000000004</v>
      </c>
      <c r="G599">
        <v>2.7</v>
      </c>
      <c r="H599">
        <f t="shared" si="46"/>
        <v>8.6000000000000014</v>
      </c>
      <c r="I599">
        <v>2.09</v>
      </c>
      <c r="J599" t="str">
        <f t="shared" si="47"/>
        <v>third class</v>
      </c>
      <c r="K599">
        <v>1.8</v>
      </c>
      <c r="L599" t="s">
        <v>21</v>
      </c>
      <c r="M599">
        <v>1</v>
      </c>
      <c r="N599">
        <v>6</v>
      </c>
      <c r="O599">
        <v>6</v>
      </c>
      <c r="P599">
        <v>0</v>
      </c>
      <c r="Q599">
        <f t="shared" si="48"/>
        <v>13</v>
      </c>
      <c r="S599" t="str">
        <f t="shared" si="49"/>
        <v>Mentally Strained</v>
      </c>
    </row>
    <row r="600" spans="1:19" x14ac:dyDescent="0.25">
      <c r="A600">
        <v>19</v>
      </c>
      <c r="B600" t="str">
        <f t="shared" si="45"/>
        <v>Old Teenager</v>
      </c>
      <c r="C600" t="s">
        <v>16</v>
      </c>
      <c r="D600">
        <v>2.7</v>
      </c>
      <c r="E600" t="s">
        <v>17</v>
      </c>
      <c r="F600">
        <v>6.3</v>
      </c>
      <c r="G600">
        <v>1.3</v>
      </c>
      <c r="H600">
        <f t="shared" si="46"/>
        <v>4</v>
      </c>
      <c r="I600">
        <v>3.91</v>
      </c>
      <c r="J600" t="str">
        <f t="shared" si="47"/>
        <v>first class</v>
      </c>
      <c r="K600">
        <v>1.2</v>
      </c>
      <c r="L600" t="s">
        <v>21</v>
      </c>
      <c r="M600">
        <v>7</v>
      </c>
      <c r="N600">
        <v>5</v>
      </c>
      <c r="O600">
        <v>7</v>
      </c>
      <c r="P600">
        <v>0</v>
      </c>
      <c r="Q600">
        <f t="shared" si="48"/>
        <v>19</v>
      </c>
      <c r="S600" t="str">
        <f t="shared" si="49"/>
        <v>Mentally Strained</v>
      </c>
    </row>
    <row r="601" spans="1:19" x14ac:dyDescent="0.25">
      <c r="A601">
        <v>16</v>
      </c>
      <c r="B601" t="str">
        <f t="shared" si="45"/>
        <v>Old Teenager</v>
      </c>
      <c r="C601" t="s">
        <v>16</v>
      </c>
      <c r="D601">
        <v>7.9</v>
      </c>
      <c r="E601" t="s">
        <v>20</v>
      </c>
      <c r="F601">
        <v>8</v>
      </c>
      <c r="G601">
        <v>1.6</v>
      </c>
      <c r="H601">
        <f t="shared" si="46"/>
        <v>9.5</v>
      </c>
      <c r="I601">
        <v>3.47</v>
      </c>
      <c r="J601" t="str">
        <f t="shared" si="47"/>
        <v>Second class upper</v>
      </c>
      <c r="K601">
        <v>1.5</v>
      </c>
      <c r="L601" t="s">
        <v>21</v>
      </c>
      <c r="M601">
        <v>3</v>
      </c>
      <c r="N601">
        <v>5</v>
      </c>
      <c r="O601">
        <v>6</v>
      </c>
      <c r="P601">
        <v>0</v>
      </c>
      <c r="Q601">
        <f t="shared" si="48"/>
        <v>14</v>
      </c>
      <c r="S601" t="str">
        <f t="shared" si="49"/>
        <v>Mentally Strained</v>
      </c>
    </row>
    <row r="602" spans="1:19" x14ac:dyDescent="0.25">
      <c r="A602">
        <v>16</v>
      </c>
      <c r="B602" t="str">
        <f t="shared" si="45"/>
        <v>Old Teenager</v>
      </c>
      <c r="C602" t="s">
        <v>19</v>
      </c>
      <c r="D602">
        <v>7.4</v>
      </c>
      <c r="E602" t="s">
        <v>20</v>
      </c>
      <c r="F602">
        <v>5.5</v>
      </c>
      <c r="G602">
        <v>1.8</v>
      </c>
      <c r="H602">
        <f t="shared" si="46"/>
        <v>9.2000000000000011</v>
      </c>
      <c r="I602">
        <v>2.13</v>
      </c>
      <c r="J602" t="str">
        <f t="shared" si="47"/>
        <v>third class</v>
      </c>
      <c r="K602">
        <v>0.3</v>
      </c>
      <c r="L602" t="s">
        <v>21</v>
      </c>
      <c r="M602">
        <v>7</v>
      </c>
      <c r="N602">
        <v>9</v>
      </c>
      <c r="O602">
        <v>9</v>
      </c>
      <c r="P602">
        <v>1</v>
      </c>
      <c r="Q602">
        <f t="shared" si="48"/>
        <v>26</v>
      </c>
      <c r="S602" t="str">
        <f t="shared" si="49"/>
        <v>Mentally Unstable</v>
      </c>
    </row>
    <row r="603" spans="1:19" x14ac:dyDescent="0.25">
      <c r="A603">
        <v>17</v>
      </c>
      <c r="B603" t="str">
        <f t="shared" si="45"/>
        <v>Old Teenager</v>
      </c>
      <c r="C603" t="s">
        <v>19</v>
      </c>
      <c r="D603">
        <v>2.2999999999999998</v>
      </c>
      <c r="E603" t="s">
        <v>17</v>
      </c>
      <c r="F603">
        <v>4.9000000000000004</v>
      </c>
      <c r="G603">
        <v>1.7</v>
      </c>
      <c r="H603">
        <f t="shared" si="46"/>
        <v>4</v>
      </c>
      <c r="I603">
        <v>2.0699999999999998</v>
      </c>
      <c r="J603" t="str">
        <f t="shared" si="47"/>
        <v>third class</v>
      </c>
      <c r="K603">
        <v>0.3</v>
      </c>
      <c r="L603" t="s">
        <v>22</v>
      </c>
      <c r="M603">
        <v>3</v>
      </c>
      <c r="N603">
        <v>7</v>
      </c>
      <c r="O603">
        <v>7</v>
      </c>
      <c r="P603">
        <v>0</v>
      </c>
      <c r="Q603">
        <f t="shared" si="48"/>
        <v>17</v>
      </c>
      <c r="S603" t="str">
        <f t="shared" si="49"/>
        <v>Mentally Strained</v>
      </c>
    </row>
    <row r="604" spans="1:19" x14ac:dyDescent="0.25">
      <c r="A604">
        <v>13</v>
      </c>
      <c r="B604" t="str">
        <f t="shared" si="45"/>
        <v>Young Teenager</v>
      </c>
      <c r="C604" t="s">
        <v>16</v>
      </c>
      <c r="D604">
        <v>7.1</v>
      </c>
      <c r="E604" t="s">
        <v>23</v>
      </c>
      <c r="F604">
        <v>5.7</v>
      </c>
      <c r="G604">
        <v>2.1</v>
      </c>
      <c r="H604">
        <f t="shared" si="46"/>
        <v>9.1999999999999993</v>
      </c>
      <c r="I604">
        <v>3.52</v>
      </c>
      <c r="J604" t="str">
        <f t="shared" si="47"/>
        <v>Second class upper</v>
      </c>
      <c r="K604">
        <v>1.7</v>
      </c>
      <c r="L604" t="s">
        <v>18</v>
      </c>
      <c r="M604">
        <v>1</v>
      </c>
      <c r="N604">
        <v>1</v>
      </c>
      <c r="O604">
        <v>3</v>
      </c>
      <c r="P604">
        <v>0</v>
      </c>
      <c r="Q604">
        <f t="shared" si="48"/>
        <v>5</v>
      </c>
      <c r="S604" t="str">
        <f t="shared" si="49"/>
        <v>Mentally Sound</v>
      </c>
    </row>
    <row r="605" spans="1:19" x14ac:dyDescent="0.25">
      <c r="A605">
        <v>16</v>
      </c>
      <c r="B605" t="str">
        <f t="shared" si="45"/>
        <v>Old Teenager</v>
      </c>
      <c r="C605" t="s">
        <v>16</v>
      </c>
      <c r="D605">
        <v>6.9</v>
      </c>
      <c r="E605" t="s">
        <v>17</v>
      </c>
      <c r="F605">
        <v>6.8</v>
      </c>
      <c r="G605">
        <v>1.1000000000000001</v>
      </c>
      <c r="H605">
        <f t="shared" si="46"/>
        <v>8</v>
      </c>
      <c r="I605">
        <v>3.33</v>
      </c>
      <c r="J605" t="str">
        <f t="shared" si="47"/>
        <v>Second class upper</v>
      </c>
      <c r="K605">
        <v>1</v>
      </c>
      <c r="L605" t="s">
        <v>22</v>
      </c>
      <c r="M605">
        <v>7</v>
      </c>
      <c r="N605">
        <v>9</v>
      </c>
      <c r="O605">
        <v>4</v>
      </c>
      <c r="P605">
        <v>0</v>
      </c>
      <c r="Q605">
        <f t="shared" si="48"/>
        <v>20</v>
      </c>
      <c r="S605" t="str">
        <f t="shared" si="49"/>
        <v>Mentally Unstable</v>
      </c>
    </row>
    <row r="606" spans="1:19" x14ac:dyDescent="0.25">
      <c r="A606">
        <v>16</v>
      </c>
      <c r="B606" t="str">
        <f t="shared" si="45"/>
        <v>Old Teenager</v>
      </c>
      <c r="C606" t="s">
        <v>19</v>
      </c>
      <c r="D606">
        <v>5.6</v>
      </c>
      <c r="E606" t="s">
        <v>20</v>
      </c>
      <c r="F606">
        <v>7.9</v>
      </c>
      <c r="G606">
        <v>2</v>
      </c>
      <c r="H606">
        <f t="shared" si="46"/>
        <v>7.6</v>
      </c>
      <c r="I606">
        <v>3.91</v>
      </c>
      <c r="J606" t="str">
        <f t="shared" si="47"/>
        <v>first class</v>
      </c>
      <c r="K606">
        <v>0.6</v>
      </c>
      <c r="L606" t="s">
        <v>22</v>
      </c>
      <c r="M606">
        <v>7</v>
      </c>
      <c r="N606">
        <v>3</v>
      </c>
      <c r="O606">
        <v>10</v>
      </c>
      <c r="P606">
        <v>0</v>
      </c>
      <c r="Q606">
        <f t="shared" si="48"/>
        <v>20</v>
      </c>
      <c r="S606" t="str">
        <f t="shared" si="49"/>
        <v>Mentally Unstable</v>
      </c>
    </row>
    <row r="607" spans="1:19" x14ac:dyDescent="0.25">
      <c r="A607">
        <v>16</v>
      </c>
      <c r="B607" t="str">
        <f t="shared" si="45"/>
        <v>Old Teenager</v>
      </c>
      <c r="C607" t="s">
        <v>19</v>
      </c>
      <c r="D607">
        <v>5.2</v>
      </c>
      <c r="E607" t="s">
        <v>20</v>
      </c>
      <c r="F607">
        <v>8.1</v>
      </c>
      <c r="G607">
        <v>2.1</v>
      </c>
      <c r="H607">
        <f t="shared" si="46"/>
        <v>7.3000000000000007</v>
      </c>
      <c r="I607">
        <v>2.67</v>
      </c>
      <c r="J607" t="str">
        <f t="shared" si="47"/>
        <v>Second class lower</v>
      </c>
      <c r="K607">
        <v>1.7</v>
      </c>
      <c r="L607" t="s">
        <v>22</v>
      </c>
      <c r="M607">
        <v>9</v>
      </c>
      <c r="N607">
        <v>10</v>
      </c>
      <c r="O607">
        <v>10</v>
      </c>
      <c r="P607">
        <v>0</v>
      </c>
      <c r="Q607">
        <f t="shared" si="48"/>
        <v>29</v>
      </c>
      <c r="S607" t="str">
        <f t="shared" si="49"/>
        <v>Mentally Unstable</v>
      </c>
    </row>
    <row r="608" spans="1:19" x14ac:dyDescent="0.25">
      <c r="A608">
        <v>17</v>
      </c>
      <c r="B608" t="str">
        <f t="shared" si="45"/>
        <v>Old Teenager</v>
      </c>
      <c r="C608" t="s">
        <v>16</v>
      </c>
      <c r="D608">
        <v>4.5</v>
      </c>
      <c r="E608" t="s">
        <v>23</v>
      </c>
      <c r="F608">
        <v>4.9000000000000004</v>
      </c>
      <c r="G608">
        <v>0.5</v>
      </c>
      <c r="H608">
        <f t="shared" si="46"/>
        <v>5</v>
      </c>
      <c r="I608">
        <v>3.44</v>
      </c>
      <c r="J608" t="str">
        <f t="shared" si="47"/>
        <v>Second class upper</v>
      </c>
      <c r="K608">
        <v>1.2</v>
      </c>
      <c r="L608" t="s">
        <v>22</v>
      </c>
      <c r="M608">
        <v>5</v>
      </c>
      <c r="N608">
        <v>3</v>
      </c>
      <c r="O608">
        <v>1</v>
      </c>
      <c r="P608">
        <v>0</v>
      </c>
      <c r="Q608">
        <f t="shared" si="48"/>
        <v>9</v>
      </c>
      <c r="S608" t="str">
        <f t="shared" si="49"/>
        <v>Mentally Sound</v>
      </c>
    </row>
    <row r="609" spans="1:19" x14ac:dyDescent="0.25">
      <c r="A609">
        <v>14</v>
      </c>
      <c r="B609" t="str">
        <f t="shared" si="45"/>
        <v>Young Teenager</v>
      </c>
      <c r="C609" t="s">
        <v>16</v>
      </c>
      <c r="D609">
        <v>3.6</v>
      </c>
      <c r="E609" t="s">
        <v>20</v>
      </c>
      <c r="F609">
        <v>4</v>
      </c>
      <c r="G609">
        <v>1.4</v>
      </c>
      <c r="H609">
        <f t="shared" si="46"/>
        <v>5</v>
      </c>
      <c r="I609">
        <v>3.83</v>
      </c>
      <c r="J609" t="str">
        <f t="shared" si="47"/>
        <v>first class</v>
      </c>
      <c r="K609">
        <v>0.5</v>
      </c>
      <c r="L609" t="s">
        <v>22</v>
      </c>
      <c r="M609">
        <v>1</v>
      </c>
      <c r="N609">
        <v>5</v>
      </c>
      <c r="O609">
        <v>2</v>
      </c>
      <c r="P609">
        <v>0</v>
      </c>
      <c r="Q609">
        <f t="shared" si="48"/>
        <v>8</v>
      </c>
      <c r="S609" t="str">
        <f t="shared" si="49"/>
        <v>Mentally Sound</v>
      </c>
    </row>
    <row r="610" spans="1:19" x14ac:dyDescent="0.25">
      <c r="A610">
        <v>19</v>
      </c>
      <c r="B610" t="str">
        <f t="shared" si="45"/>
        <v>Old Teenager</v>
      </c>
      <c r="C610" t="s">
        <v>16</v>
      </c>
      <c r="D610">
        <v>7.2</v>
      </c>
      <c r="E610" t="s">
        <v>17</v>
      </c>
      <c r="F610">
        <v>5</v>
      </c>
      <c r="G610">
        <v>2.2000000000000002</v>
      </c>
      <c r="H610">
        <f t="shared" si="46"/>
        <v>9.4</v>
      </c>
      <c r="I610">
        <v>2.5</v>
      </c>
      <c r="J610" t="str">
        <f t="shared" si="47"/>
        <v>Second class lower</v>
      </c>
      <c r="K610">
        <v>0.7</v>
      </c>
      <c r="L610" t="s">
        <v>21</v>
      </c>
      <c r="M610">
        <v>6</v>
      </c>
      <c r="N610">
        <v>9</v>
      </c>
      <c r="O610">
        <v>2</v>
      </c>
      <c r="P610">
        <v>0</v>
      </c>
      <c r="Q610">
        <f t="shared" si="48"/>
        <v>17</v>
      </c>
      <c r="S610" t="str">
        <f t="shared" si="49"/>
        <v>Mentally Strained</v>
      </c>
    </row>
    <row r="611" spans="1:19" x14ac:dyDescent="0.25">
      <c r="A611">
        <v>17</v>
      </c>
      <c r="B611" t="str">
        <f t="shared" si="45"/>
        <v>Old Teenager</v>
      </c>
      <c r="C611" t="s">
        <v>16</v>
      </c>
      <c r="D611">
        <v>6.4</v>
      </c>
      <c r="E611" t="s">
        <v>20</v>
      </c>
      <c r="F611">
        <v>8.6</v>
      </c>
      <c r="G611">
        <v>2.2999999999999998</v>
      </c>
      <c r="H611">
        <f t="shared" si="46"/>
        <v>8.6999999999999993</v>
      </c>
      <c r="I611">
        <v>2.57</v>
      </c>
      <c r="J611" t="str">
        <f t="shared" si="47"/>
        <v>Second class lower</v>
      </c>
      <c r="K611">
        <v>1.3</v>
      </c>
      <c r="L611" t="s">
        <v>18</v>
      </c>
      <c r="M611">
        <v>9</v>
      </c>
      <c r="N611">
        <v>10</v>
      </c>
      <c r="O611">
        <v>5</v>
      </c>
      <c r="P611">
        <v>0</v>
      </c>
      <c r="Q611">
        <f t="shared" si="48"/>
        <v>24</v>
      </c>
      <c r="S611" t="str">
        <f t="shared" si="49"/>
        <v>Mentally Unstable</v>
      </c>
    </row>
    <row r="612" spans="1:19" x14ac:dyDescent="0.25">
      <c r="A612">
        <v>15</v>
      </c>
      <c r="B612" t="str">
        <f t="shared" si="45"/>
        <v>Young Teenager</v>
      </c>
      <c r="C612" t="s">
        <v>16</v>
      </c>
      <c r="D612">
        <v>7.1</v>
      </c>
      <c r="E612" t="s">
        <v>23</v>
      </c>
      <c r="F612">
        <v>6.5</v>
      </c>
      <c r="G612">
        <v>0.7</v>
      </c>
      <c r="H612">
        <f t="shared" si="46"/>
        <v>7.8</v>
      </c>
      <c r="I612">
        <v>3.94</v>
      </c>
      <c r="J612" t="str">
        <f t="shared" si="47"/>
        <v>first class</v>
      </c>
      <c r="K612">
        <v>0.2</v>
      </c>
      <c r="L612" t="s">
        <v>22</v>
      </c>
      <c r="M612">
        <v>4</v>
      </c>
      <c r="N612">
        <v>7</v>
      </c>
      <c r="O612">
        <v>1</v>
      </c>
      <c r="P612">
        <v>0</v>
      </c>
      <c r="Q612">
        <f t="shared" si="48"/>
        <v>12</v>
      </c>
      <c r="S612" t="str">
        <f t="shared" si="49"/>
        <v>Mentally Strained</v>
      </c>
    </row>
    <row r="613" spans="1:19" x14ac:dyDescent="0.25">
      <c r="A613">
        <v>18</v>
      </c>
      <c r="B613" t="str">
        <f t="shared" si="45"/>
        <v>Old Teenager</v>
      </c>
      <c r="C613" t="s">
        <v>16</v>
      </c>
      <c r="D613">
        <v>1.2</v>
      </c>
      <c r="E613" t="s">
        <v>23</v>
      </c>
      <c r="F613">
        <v>4.0999999999999996</v>
      </c>
      <c r="G613">
        <v>1.1000000000000001</v>
      </c>
      <c r="H613">
        <f t="shared" si="46"/>
        <v>2.2999999999999998</v>
      </c>
      <c r="I613">
        <v>3.04</v>
      </c>
      <c r="J613" t="str">
        <f t="shared" si="47"/>
        <v>Second class upper</v>
      </c>
      <c r="K613">
        <v>1.6</v>
      </c>
      <c r="L613" t="s">
        <v>18</v>
      </c>
      <c r="M613">
        <v>1</v>
      </c>
      <c r="N613">
        <v>3</v>
      </c>
      <c r="O613">
        <v>6</v>
      </c>
      <c r="P613">
        <v>0</v>
      </c>
      <c r="Q613">
        <f t="shared" si="48"/>
        <v>10</v>
      </c>
      <c r="S613" t="str">
        <f t="shared" si="49"/>
        <v>Mentally Strained</v>
      </c>
    </row>
    <row r="614" spans="1:19" x14ac:dyDescent="0.25">
      <c r="A614">
        <v>19</v>
      </c>
      <c r="B614" t="str">
        <f t="shared" si="45"/>
        <v>Old Teenager</v>
      </c>
      <c r="C614" t="s">
        <v>16</v>
      </c>
      <c r="D614">
        <v>6.6</v>
      </c>
      <c r="E614" t="s">
        <v>20</v>
      </c>
      <c r="F614">
        <v>8.8000000000000007</v>
      </c>
      <c r="G614">
        <v>0.9</v>
      </c>
      <c r="H614">
        <f t="shared" si="46"/>
        <v>7.5</v>
      </c>
      <c r="I614">
        <v>3.84</v>
      </c>
      <c r="J614" t="str">
        <f t="shared" si="47"/>
        <v>first class</v>
      </c>
      <c r="K614">
        <v>0.3</v>
      </c>
      <c r="L614" t="s">
        <v>21</v>
      </c>
      <c r="M614">
        <v>10</v>
      </c>
      <c r="N614">
        <v>10</v>
      </c>
      <c r="O614">
        <v>6</v>
      </c>
      <c r="P614">
        <v>0</v>
      </c>
      <c r="Q614">
        <f t="shared" si="48"/>
        <v>26</v>
      </c>
      <c r="S614" t="str">
        <f t="shared" si="49"/>
        <v>Mentally Unstable</v>
      </c>
    </row>
    <row r="615" spans="1:19" x14ac:dyDescent="0.25">
      <c r="A615">
        <v>19</v>
      </c>
      <c r="B615" t="str">
        <f t="shared" si="45"/>
        <v>Old Teenager</v>
      </c>
      <c r="C615" t="s">
        <v>19</v>
      </c>
      <c r="D615">
        <v>6.5</v>
      </c>
      <c r="E615" t="s">
        <v>20</v>
      </c>
      <c r="F615">
        <v>6.4</v>
      </c>
      <c r="G615">
        <v>1.1000000000000001</v>
      </c>
      <c r="H615">
        <f t="shared" si="46"/>
        <v>7.6</v>
      </c>
      <c r="I615">
        <v>3.71</v>
      </c>
      <c r="J615" t="str">
        <f t="shared" si="47"/>
        <v>first class</v>
      </c>
      <c r="K615">
        <v>1.2</v>
      </c>
      <c r="L615" t="s">
        <v>18</v>
      </c>
      <c r="M615">
        <v>8</v>
      </c>
      <c r="N615">
        <v>9</v>
      </c>
      <c r="O615">
        <v>8</v>
      </c>
      <c r="P615">
        <v>0</v>
      </c>
      <c r="Q615">
        <f t="shared" si="48"/>
        <v>25</v>
      </c>
      <c r="S615" t="str">
        <f t="shared" si="49"/>
        <v>Mentally Unstable</v>
      </c>
    </row>
    <row r="616" spans="1:19" x14ac:dyDescent="0.25">
      <c r="A616">
        <v>16</v>
      </c>
      <c r="B616" t="str">
        <f t="shared" si="45"/>
        <v>Old Teenager</v>
      </c>
      <c r="C616" t="s">
        <v>16</v>
      </c>
      <c r="D616">
        <v>2</v>
      </c>
      <c r="E616" t="s">
        <v>20</v>
      </c>
      <c r="F616">
        <v>4.4000000000000004</v>
      </c>
      <c r="G616">
        <v>0.7</v>
      </c>
      <c r="H616">
        <f t="shared" si="46"/>
        <v>2.7</v>
      </c>
      <c r="I616">
        <v>2.68</v>
      </c>
      <c r="J616" t="str">
        <f t="shared" si="47"/>
        <v>Second class lower</v>
      </c>
      <c r="K616">
        <v>0.8</v>
      </c>
      <c r="L616" t="s">
        <v>22</v>
      </c>
      <c r="M616">
        <v>1</v>
      </c>
      <c r="N616">
        <v>4</v>
      </c>
      <c r="O616">
        <v>10</v>
      </c>
      <c r="P616">
        <v>0</v>
      </c>
      <c r="Q616">
        <f t="shared" si="48"/>
        <v>15</v>
      </c>
      <c r="S616" t="str">
        <f t="shared" si="49"/>
        <v>Mentally Strained</v>
      </c>
    </row>
    <row r="617" spans="1:19" x14ac:dyDescent="0.25">
      <c r="A617">
        <v>13</v>
      </c>
      <c r="B617" t="str">
        <f t="shared" si="45"/>
        <v>Young Teenager</v>
      </c>
      <c r="C617" t="s">
        <v>16</v>
      </c>
      <c r="D617">
        <v>2.5</v>
      </c>
      <c r="E617" t="s">
        <v>17</v>
      </c>
      <c r="F617">
        <v>5.3</v>
      </c>
      <c r="G617">
        <v>0.8</v>
      </c>
      <c r="H617">
        <f t="shared" si="46"/>
        <v>3.3</v>
      </c>
      <c r="I617">
        <v>3.12</v>
      </c>
      <c r="J617" t="str">
        <f t="shared" si="47"/>
        <v>Second class upper</v>
      </c>
      <c r="K617">
        <v>0.4</v>
      </c>
      <c r="L617" t="s">
        <v>21</v>
      </c>
      <c r="M617">
        <v>3</v>
      </c>
      <c r="N617">
        <v>5</v>
      </c>
      <c r="O617">
        <v>3</v>
      </c>
      <c r="P617">
        <v>0</v>
      </c>
      <c r="Q617">
        <f t="shared" si="48"/>
        <v>11</v>
      </c>
      <c r="S617" t="str">
        <f t="shared" si="49"/>
        <v>Mentally Strained</v>
      </c>
    </row>
    <row r="618" spans="1:19" x14ac:dyDescent="0.25">
      <c r="A618">
        <v>19</v>
      </c>
      <c r="B618" t="str">
        <f t="shared" si="45"/>
        <v>Old Teenager</v>
      </c>
      <c r="C618" t="s">
        <v>16</v>
      </c>
      <c r="D618">
        <v>2.1</v>
      </c>
      <c r="E618" t="s">
        <v>17</v>
      </c>
      <c r="F618">
        <v>8.8000000000000007</v>
      </c>
      <c r="G618">
        <v>2.2999999999999998</v>
      </c>
      <c r="H618">
        <f t="shared" si="46"/>
        <v>4.4000000000000004</v>
      </c>
      <c r="I618">
        <v>2.2200000000000002</v>
      </c>
      <c r="J618" t="str">
        <f t="shared" si="47"/>
        <v>third class</v>
      </c>
      <c r="K618">
        <v>1.2</v>
      </c>
      <c r="L618" t="s">
        <v>21</v>
      </c>
      <c r="M618">
        <v>5</v>
      </c>
      <c r="N618">
        <v>5</v>
      </c>
      <c r="O618">
        <v>3</v>
      </c>
      <c r="P618">
        <v>0</v>
      </c>
      <c r="Q618">
        <f t="shared" si="48"/>
        <v>13</v>
      </c>
      <c r="S618" t="str">
        <f t="shared" si="49"/>
        <v>Mentally Strained</v>
      </c>
    </row>
    <row r="619" spans="1:19" x14ac:dyDescent="0.25">
      <c r="A619">
        <v>16</v>
      </c>
      <c r="B619" t="str">
        <f t="shared" si="45"/>
        <v>Old Teenager</v>
      </c>
      <c r="C619" t="s">
        <v>19</v>
      </c>
      <c r="D619">
        <v>7.1</v>
      </c>
      <c r="E619" t="s">
        <v>20</v>
      </c>
      <c r="F619">
        <v>8.8000000000000007</v>
      </c>
      <c r="G619">
        <v>1.8</v>
      </c>
      <c r="H619">
        <f t="shared" si="46"/>
        <v>8.9</v>
      </c>
      <c r="I619">
        <v>3.99</v>
      </c>
      <c r="J619" t="str">
        <f t="shared" si="47"/>
        <v>first class</v>
      </c>
      <c r="K619">
        <v>0.8</v>
      </c>
      <c r="L619" t="s">
        <v>18</v>
      </c>
      <c r="M619">
        <v>6</v>
      </c>
      <c r="N619">
        <v>10</v>
      </c>
      <c r="O619">
        <v>8</v>
      </c>
      <c r="P619">
        <v>0</v>
      </c>
      <c r="Q619">
        <f t="shared" si="48"/>
        <v>24</v>
      </c>
      <c r="S619" t="str">
        <f t="shared" si="49"/>
        <v>Mentally Unstable</v>
      </c>
    </row>
    <row r="620" spans="1:19" x14ac:dyDescent="0.25">
      <c r="A620">
        <v>19</v>
      </c>
      <c r="B620" t="str">
        <f t="shared" si="45"/>
        <v>Old Teenager</v>
      </c>
      <c r="C620" t="s">
        <v>19</v>
      </c>
      <c r="D620">
        <v>6.8</v>
      </c>
      <c r="E620" t="s">
        <v>23</v>
      </c>
      <c r="F620">
        <v>4.4000000000000004</v>
      </c>
      <c r="G620">
        <v>2.1</v>
      </c>
      <c r="H620">
        <f t="shared" si="46"/>
        <v>8.9</v>
      </c>
      <c r="I620">
        <v>3.69</v>
      </c>
      <c r="J620" t="str">
        <f t="shared" si="47"/>
        <v>first class</v>
      </c>
      <c r="K620">
        <v>0.4</v>
      </c>
      <c r="L620" t="s">
        <v>21</v>
      </c>
      <c r="M620">
        <v>3</v>
      </c>
      <c r="N620">
        <v>2</v>
      </c>
      <c r="O620">
        <v>8</v>
      </c>
      <c r="P620">
        <v>0</v>
      </c>
      <c r="Q620">
        <f t="shared" si="48"/>
        <v>13</v>
      </c>
      <c r="S620" t="str">
        <f t="shared" si="49"/>
        <v>Mentally Strained</v>
      </c>
    </row>
    <row r="621" spans="1:19" x14ac:dyDescent="0.25">
      <c r="A621">
        <v>13</v>
      </c>
      <c r="B621" t="str">
        <f t="shared" si="45"/>
        <v>Young Teenager</v>
      </c>
      <c r="C621" t="s">
        <v>16</v>
      </c>
      <c r="D621">
        <v>5.2</v>
      </c>
      <c r="E621" t="s">
        <v>23</v>
      </c>
      <c r="F621">
        <v>5.4</v>
      </c>
      <c r="G621">
        <v>0.8</v>
      </c>
      <c r="H621">
        <f t="shared" si="46"/>
        <v>6</v>
      </c>
      <c r="I621">
        <v>2.39</v>
      </c>
      <c r="J621" t="str">
        <f t="shared" si="47"/>
        <v>third class</v>
      </c>
      <c r="K621">
        <v>2</v>
      </c>
      <c r="L621" t="s">
        <v>18</v>
      </c>
      <c r="M621">
        <v>8</v>
      </c>
      <c r="N621">
        <v>3</v>
      </c>
      <c r="O621">
        <v>10</v>
      </c>
      <c r="P621">
        <v>0</v>
      </c>
      <c r="Q621">
        <f t="shared" si="48"/>
        <v>21</v>
      </c>
      <c r="S621" t="str">
        <f t="shared" si="49"/>
        <v>Mentally Unstable</v>
      </c>
    </row>
    <row r="622" spans="1:19" x14ac:dyDescent="0.25">
      <c r="A622">
        <v>19</v>
      </c>
      <c r="B622" t="str">
        <f t="shared" si="45"/>
        <v>Old Teenager</v>
      </c>
      <c r="C622" t="s">
        <v>16</v>
      </c>
      <c r="D622">
        <v>7</v>
      </c>
      <c r="E622" t="s">
        <v>20</v>
      </c>
      <c r="F622">
        <v>4.5</v>
      </c>
      <c r="G622">
        <v>2.2999999999999998</v>
      </c>
      <c r="H622">
        <f t="shared" si="46"/>
        <v>9.3000000000000007</v>
      </c>
      <c r="I622">
        <v>3.26</v>
      </c>
      <c r="J622" t="str">
        <f t="shared" si="47"/>
        <v>Second class upper</v>
      </c>
      <c r="K622">
        <v>1.7</v>
      </c>
      <c r="L622" t="s">
        <v>21</v>
      </c>
      <c r="M622">
        <v>9</v>
      </c>
      <c r="N622">
        <v>10</v>
      </c>
      <c r="O622">
        <v>3</v>
      </c>
      <c r="P622">
        <v>1</v>
      </c>
      <c r="Q622">
        <f t="shared" si="48"/>
        <v>23</v>
      </c>
      <c r="S622" t="str">
        <f t="shared" si="49"/>
        <v>Mentally Unstable</v>
      </c>
    </row>
    <row r="623" spans="1:19" x14ac:dyDescent="0.25">
      <c r="A623">
        <v>19</v>
      </c>
      <c r="B623" t="str">
        <f t="shared" si="45"/>
        <v>Old Teenager</v>
      </c>
      <c r="C623" t="s">
        <v>16</v>
      </c>
      <c r="D623">
        <v>6.8</v>
      </c>
      <c r="E623" t="s">
        <v>20</v>
      </c>
      <c r="F623">
        <v>8.4</v>
      </c>
      <c r="G623">
        <v>2</v>
      </c>
      <c r="H623">
        <f t="shared" si="46"/>
        <v>8.8000000000000007</v>
      </c>
      <c r="I623">
        <v>2.6</v>
      </c>
      <c r="J623" t="str">
        <f t="shared" si="47"/>
        <v>Second class lower</v>
      </c>
      <c r="K623">
        <v>1.5</v>
      </c>
      <c r="L623" t="s">
        <v>18</v>
      </c>
      <c r="M623">
        <v>7</v>
      </c>
      <c r="N623">
        <v>2</v>
      </c>
      <c r="O623">
        <v>2</v>
      </c>
      <c r="P623">
        <v>0</v>
      </c>
      <c r="Q623">
        <f t="shared" si="48"/>
        <v>11</v>
      </c>
      <c r="S623" t="str">
        <f t="shared" si="49"/>
        <v>Mentally Strained</v>
      </c>
    </row>
    <row r="624" spans="1:19" x14ac:dyDescent="0.25">
      <c r="A624">
        <v>16</v>
      </c>
      <c r="B624" t="str">
        <f t="shared" si="45"/>
        <v>Old Teenager</v>
      </c>
      <c r="C624" t="s">
        <v>19</v>
      </c>
      <c r="D624">
        <v>3.8</v>
      </c>
      <c r="E624" t="s">
        <v>20</v>
      </c>
      <c r="F624">
        <v>5.3</v>
      </c>
      <c r="G624">
        <v>1.5</v>
      </c>
      <c r="H624">
        <f t="shared" si="46"/>
        <v>5.3</v>
      </c>
      <c r="I624">
        <v>2.04</v>
      </c>
      <c r="J624" t="str">
        <f t="shared" si="47"/>
        <v>third class</v>
      </c>
      <c r="K624">
        <v>1.5</v>
      </c>
      <c r="L624" t="s">
        <v>21</v>
      </c>
      <c r="M624">
        <v>5</v>
      </c>
      <c r="N624">
        <v>10</v>
      </c>
      <c r="O624">
        <v>5</v>
      </c>
      <c r="P624">
        <v>0</v>
      </c>
      <c r="Q624">
        <f t="shared" si="48"/>
        <v>20</v>
      </c>
      <c r="S624" t="str">
        <f t="shared" si="49"/>
        <v>Mentally Unstable</v>
      </c>
    </row>
    <row r="625" spans="1:19" x14ac:dyDescent="0.25">
      <c r="A625">
        <v>14</v>
      </c>
      <c r="B625" t="str">
        <f t="shared" si="45"/>
        <v>Young Teenager</v>
      </c>
      <c r="C625" t="s">
        <v>16</v>
      </c>
      <c r="D625">
        <v>2.9</v>
      </c>
      <c r="E625" t="s">
        <v>17</v>
      </c>
      <c r="F625">
        <v>7.2</v>
      </c>
      <c r="G625">
        <v>2</v>
      </c>
      <c r="H625">
        <f t="shared" si="46"/>
        <v>4.9000000000000004</v>
      </c>
      <c r="I625">
        <v>3.96</v>
      </c>
      <c r="J625" t="str">
        <f t="shared" si="47"/>
        <v>first class</v>
      </c>
      <c r="K625">
        <v>1.5</v>
      </c>
      <c r="L625" t="s">
        <v>22</v>
      </c>
      <c r="M625">
        <v>9</v>
      </c>
      <c r="N625">
        <v>10</v>
      </c>
      <c r="O625">
        <v>4</v>
      </c>
      <c r="P625">
        <v>0</v>
      </c>
      <c r="Q625">
        <f t="shared" si="48"/>
        <v>23</v>
      </c>
      <c r="S625" t="str">
        <f t="shared" si="49"/>
        <v>Mentally Unstable</v>
      </c>
    </row>
    <row r="626" spans="1:19" x14ac:dyDescent="0.25">
      <c r="A626">
        <v>16</v>
      </c>
      <c r="B626" t="str">
        <f t="shared" si="45"/>
        <v>Old Teenager</v>
      </c>
      <c r="C626" t="s">
        <v>16</v>
      </c>
      <c r="D626">
        <v>3.6</v>
      </c>
      <c r="E626" t="s">
        <v>17</v>
      </c>
      <c r="F626">
        <v>6.6</v>
      </c>
      <c r="G626">
        <v>0.7</v>
      </c>
      <c r="H626">
        <f t="shared" si="46"/>
        <v>4.3</v>
      </c>
      <c r="I626">
        <v>2.25</v>
      </c>
      <c r="J626" t="str">
        <f t="shared" si="47"/>
        <v>third class</v>
      </c>
      <c r="K626">
        <v>1.9</v>
      </c>
      <c r="L626" t="s">
        <v>18</v>
      </c>
      <c r="M626">
        <v>4</v>
      </c>
      <c r="N626">
        <v>1</v>
      </c>
      <c r="O626">
        <v>8</v>
      </c>
      <c r="P626">
        <v>0</v>
      </c>
      <c r="Q626">
        <f t="shared" si="48"/>
        <v>13</v>
      </c>
      <c r="S626" t="str">
        <f t="shared" si="49"/>
        <v>Mentally Strained</v>
      </c>
    </row>
    <row r="627" spans="1:19" x14ac:dyDescent="0.25">
      <c r="A627">
        <v>13</v>
      </c>
      <c r="B627" t="str">
        <f t="shared" si="45"/>
        <v>Young Teenager</v>
      </c>
      <c r="C627" t="s">
        <v>16</v>
      </c>
      <c r="D627">
        <v>4</v>
      </c>
      <c r="E627" t="s">
        <v>23</v>
      </c>
      <c r="F627">
        <v>8.3000000000000007</v>
      </c>
      <c r="G627">
        <v>0.6</v>
      </c>
      <c r="H627">
        <f t="shared" si="46"/>
        <v>4.5999999999999996</v>
      </c>
      <c r="I627">
        <v>3.71</v>
      </c>
      <c r="J627" t="str">
        <f t="shared" si="47"/>
        <v>first class</v>
      </c>
      <c r="K627">
        <v>0.1</v>
      </c>
      <c r="L627" t="s">
        <v>18</v>
      </c>
      <c r="M627">
        <v>2</v>
      </c>
      <c r="N627">
        <v>6</v>
      </c>
      <c r="O627">
        <v>1</v>
      </c>
      <c r="P627">
        <v>0</v>
      </c>
      <c r="Q627">
        <f t="shared" si="48"/>
        <v>9</v>
      </c>
      <c r="S627" t="str">
        <f t="shared" si="49"/>
        <v>Mentally Sound</v>
      </c>
    </row>
    <row r="628" spans="1:19" x14ac:dyDescent="0.25">
      <c r="A628">
        <v>17</v>
      </c>
      <c r="B628" t="str">
        <f t="shared" si="45"/>
        <v>Old Teenager</v>
      </c>
      <c r="C628" t="s">
        <v>19</v>
      </c>
      <c r="D628">
        <v>7.5</v>
      </c>
      <c r="E628" t="s">
        <v>23</v>
      </c>
      <c r="F628">
        <v>4.7</v>
      </c>
      <c r="G628">
        <v>2.1</v>
      </c>
      <c r="H628">
        <f t="shared" si="46"/>
        <v>9.6</v>
      </c>
      <c r="I628">
        <v>2.5499999999999998</v>
      </c>
      <c r="J628" t="str">
        <f t="shared" si="47"/>
        <v>Second class lower</v>
      </c>
      <c r="K628">
        <v>0.1</v>
      </c>
      <c r="L628" t="s">
        <v>21</v>
      </c>
      <c r="M628">
        <v>3</v>
      </c>
      <c r="N628">
        <v>9</v>
      </c>
      <c r="O628">
        <v>1</v>
      </c>
      <c r="P628">
        <v>0</v>
      </c>
      <c r="Q628">
        <f t="shared" si="48"/>
        <v>13</v>
      </c>
      <c r="S628" t="str">
        <f t="shared" si="49"/>
        <v>Mentally Strained</v>
      </c>
    </row>
    <row r="629" spans="1:19" x14ac:dyDescent="0.25">
      <c r="A629">
        <v>16</v>
      </c>
      <c r="B629" t="str">
        <f t="shared" si="45"/>
        <v>Old Teenager</v>
      </c>
      <c r="C629" t="s">
        <v>19</v>
      </c>
      <c r="D629">
        <v>6</v>
      </c>
      <c r="E629" t="s">
        <v>23</v>
      </c>
      <c r="F629">
        <v>8.6999999999999993</v>
      </c>
      <c r="G629">
        <v>1.5</v>
      </c>
      <c r="H629">
        <f t="shared" si="46"/>
        <v>7.5</v>
      </c>
      <c r="I629">
        <v>3.76</v>
      </c>
      <c r="J629" t="str">
        <f t="shared" si="47"/>
        <v>first class</v>
      </c>
      <c r="K629">
        <v>0.1</v>
      </c>
      <c r="L629" t="s">
        <v>22</v>
      </c>
      <c r="M629">
        <v>2</v>
      </c>
      <c r="N629">
        <v>5</v>
      </c>
      <c r="O629">
        <v>4</v>
      </c>
      <c r="P629">
        <v>0</v>
      </c>
      <c r="Q629">
        <f t="shared" si="48"/>
        <v>11</v>
      </c>
      <c r="S629" t="str">
        <f t="shared" si="49"/>
        <v>Mentally Strained</v>
      </c>
    </row>
    <row r="630" spans="1:19" x14ac:dyDescent="0.25">
      <c r="A630">
        <v>16</v>
      </c>
      <c r="B630" t="str">
        <f t="shared" si="45"/>
        <v>Old Teenager</v>
      </c>
      <c r="C630" t="s">
        <v>19</v>
      </c>
      <c r="D630">
        <v>3.6</v>
      </c>
      <c r="E630" t="s">
        <v>17</v>
      </c>
      <c r="F630">
        <v>6.1</v>
      </c>
      <c r="G630">
        <v>2.8</v>
      </c>
      <c r="H630">
        <f t="shared" si="46"/>
        <v>6.4</v>
      </c>
      <c r="I630">
        <v>3.8</v>
      </c>
      <c r="J630" t="str">
        <f t="shared" si="47"/>
        <v>first class</v>
      </c>
      <c r="K630">
        <v>0.1</v>
      </c>
      <c r="L630" t="s">
        <v>21</v>
      </c>
      <c r="M630">
        <v>2</v>
      </c>
      <c r="N630">
        <v>1</v>
      </c>
      <c r="O630">
        <v>7</v>
      </c>
      <c r="P630">
        <v>0</v>
      </c>
      <c r="Q630">
        <f t="shared" si="48"/>
        <v>10</v>
      </c>
      <c r="S630" t="str">
        <f t="shared" si="49"/>
        <v>Mentally Strained</v>
      </c>
    </row>
    <row r="631" spans="1:19" x14ac:dyDescent="0.25">
      <c r="A631">
        <v>19</v>
      </c>
      <c r="B631" t="str">
        <f t="shared" si="45"/>
        <v>Old Teenager</v>
      </c>
      <c r="C631" t="s">
        <v>16</v>
      </c>
      <c r="D631">
        <v>4.7</v>
      </c>
      <c r="E631" t="s">
        <v>23</v>
      </c>
      <c r="F631">
        <v>8.1999999999999993</v>
      </c>
      <c r="G631">
        <v>1.2</v>
      </c>
      <c r="H631">
        <f t="shared" si="46"/>
        <v>5.9</v>
      </c>
      <c r="I631">
        <v>2.83</v>
      </c>
      <c r="J631" t="str">
        <f t="shared" si="47"/>
        <v>Second class lower</v>
      </c>
      <c r="K631">
        <v>1.2</v>
      </c>
      <c r="L631" t="s">
        <v>21</v>
      </c>
      <c r="M631">
        <v>5</v>
      </c>
      <c r="N631">
        <v>9</v>
      </c>
      <c r="O631">
        <v>9</v>
      </c>
      <c r="P631">
        <v>0</v>
      </c>
      <c r="Q631">
        <f t="shared" si="48"/>
        <v>23</v>
      </c>
      <c r="S631" t="str">
        <f t="shared" si="49"/>
        <v>Mentally Unstable</v>
      </c>
    </row>
    <row r="632" spans="1:19" x14ac:dyDescent="0.25">
      <c r="A632">
        <v>13</v>
      </c>
      <c r="B632" t="str">
        <f t="shared" si="45"/>
        <v>Young Teenager</v>
      </c>
      <c r="C632" t="s">
        <v>16</v>
      </c>
      <c r="D632">
        <v>2</v>
      </c>
      <c r="E632" t="s">
        <v>17</v>
      </c>
      <c r="F632">
        <v>6.6</v>
      </c>
      <c r="G632">
        <v>0.9</v>
      </c>
      <c r="H632">
        <f t="shared" si="46"/>
        <v>2.9</v>
      </c>
      <c r="I632">
        <v>3.34</v>
      </c>
      <c r="J632" t="str">
        <f t="shared" si="47"/>
        <v>Second class upper</v>
      </c>
      <c r="K632">
        <v>1.5</v>
      </c>
      <c r="L632" t="s">
        <v>21</v>
      </c>
      <c r="M632">
        <v>5</v>
      </c>
      <c r="N632">
        <v>9</v>
      </c>
      <c r="O632">
        <v>4</v>
      </c>
      <c r="P632">
        <v>0</v>
      </c>
      <c r="Q632">
        <f t="shared" si="48"/>
        <v>18</v>
      </c>
      <c r="S632" t="str">
        <f t="shared" si="49"/>
        <v>Mentally Strained</v>
      </c>
    </row>
    <row r="633" spans="1:19" x14ac:dyDescent="0.25">
      <c r="A633">
        <v>13</v>
      </c>
      <c r="B633" t="str">
        <f t="shared" si="45"/>
        <v>Young Teenager</v>
      </c>
      <c r="C633" t="s">
        <v>16</v>
      </c>
      <c r="D633">
        <v>7.8</v>
      </c>
      <c r="E633" t="s">
        <v>20</v>
      </c>
      <c r="F633">
        <v>7.2</v>
      </c>
      <c r="G633">
        <v>1.3</v>
      </c>
      <c r="H633">
        <f t="shared" si="46"/>
        <v>9.1</v>
      </c>
      <c r="I633">
        <v>3.31</v>
      </c>
      <c r="J633" t="str">
        <f t="shared" si="47"/>
        <v>Second class upper</v>
      </c>
      <c r="K633">
        <v>0.8</v>
      </c>
      <c r="L633" t="s">
        <v>21</v>
      </c>
      <c r="M633">
        <v>9</v>
      </c>
      <c r="N633">
        <v>2</v>
      </c>
      <c r="O633">
        <v>4</v>
      </c>
      <c r="P633">
        <v>0</v>
      </c>
      <c r="Q633">
        <f t="shared" si="48"/>
        <v>15</v>
      </c>
      <c r="S633" t="str">
        <f t="shared" si="49"/>
        <v>Mentally Strained</v>
      </c>
    </row>
    <row r="634" spans="1:19" x14ac:dyDescent="0.25">
      <c r="A634">
        <v>19</v>
      </c>
      <c r="B634" t="str">
        <f t="shared" si="45"/>
        <v>Old Teenager</v>
      </c>
      <c r="C634" t="s">
        <v>16</v>
      </c>
      <c r="D634">
        <v>5.9</v>
      </c>
      <c r="E634" t="s">
        <v>20</v>
      </c>
      <c r="F634">
        <v>7.4</v>
      </c>
      <c r="G634">
        <v>0.7</v>
      </c>
      <c r="H634">
        <f t="shared" si="46"/>
        <v>6.6000000000000005</v>
      </c>
      <c r="I634">
        <v>3.27</v>
      </c>
      <c r="J634" t="str">
        <f t="shared" si="47"/>
        <v>Second class upper</v>
      </c>
      <c r="K634">
        <v>1.7</v>
      </c>
      <c r="L634" t="s">
        <v>21</v>
      </c>
      <c r="M634">
        <v>1</v>
      </c>
      <c r="N634">
        <v>9</v>
      </c>
      <c r="O634">
        <v>9</v>
      </c>
      <c r="P634">
        <v>0</v>
      </c>
      <c r="Q634">
        <f t="shared" si="48"/>
        <v>19</v>
      </c>
      <c r="S634" t="str">
        <f t="shared" si="49"/>
        <v>Mentally Strained</v>
      </c>
    </row>
    <row r="635" spans="1:19" x14ac:dyDescent="0.25">
      <c r="A635">
        <v>19</v>
      </c>
      <c r="B635" t="str">
        <f t="shared" si="45"/>
        <v>Old Teenager</v>
      </c>
      <c r="C635" t="s">
        <v>16</v>
      </c>
      <c r="D635">
        <v>7.7</v>
      </c>
      <c r="E635" t="s">
        <v>20</v>
      </c>
      <c r="F635">
        <v>8.4</v>
      </c>
      <c r="G635">
        <v>2.8</v>
      </c>
      <c r="H635">
        <f t="shared" si="46"/>
        <v>10.5</v>
      </c>
      <c r="I635">
        <v>3.43</v>
      </c>
      <c r="J635" t="str">
        <f t="shared" si="47"/>
        <v>Second class upper</v>
      </c>
      <c r="K635">
        <v>0.2</v>
      </c>
      <c r="L635" t="s">
        <v>22</v>
      </c>
      <c r="M635">
        <v>7</v>
      </c>
      <c r="N635">
        <v>6</v>
      </c>
      <c r="O635">
        <v>6</v>
      </c>
      <c r="P635">
        <v>0</v>
      </c>
      <c r="Q635">
        <f t="shared" si="48"/>
        <v>19</v>
      </c>
      <c r="S635" t="str">
        <f t="shared" si="49"/>
        <v>Mentally Strained</v>
      </c>
    </row>
    <row r="636" spans="1:19" x14ac:dyDescent="0.25">
      <c r="A636">
        <v>13</v>
      </c>
      <c r="B636" t="str">
        <f t="shared" si="45"/>
        <v>Young Teenager</v>
      </c>
      <c r="C636" t="s">
        <v>16</v>
      </c>
      <c r="D636">
        <v>2.2000000000000002</v>
      </c>
      <c r="E636" t="s">
        <v>20</v>
      </c>
      <c r="F636">
        <v>5.4</v>
      </c>
      <c r="G636">
        <v>1.2</v>
      </c>
      <c r="H636">
        <f t="shared" si="46"/>
        <v>3.4000000000000004</v>
      </c>
      <c r="I636">
        <v>2.33</v>
      </c>
      <c r="J636" t="str">
        <f t="shared" si="47"/>
        <v>third class</v>
      </c>
      <c r="K636">
        <v>0.8</v>
      </c>
      <c r="L636" t="s">
        <v>22</v>
      </c>
      <c r="M636">
        <v>10</v>
      </c>
      <c r="N636">
        <v>3</v>
      </c>
      <c r="O636">
        <v>4</v>
      </c>
      <c r="P636">
        <v>0</v>
      </c>
      <c r="Q636">
        <f t="shared" si="48"/>
        <v>17</v>
      </c>
      <c r="S636" t="str">
        <f t="shared" si="49"/>
        <v>Mentally Strained</v>
      </c>
    </row>
    <row r="637" spans="1:19" x14ac:dyDescent="0.25">
      <c r="A637">
        <v>18</v>
      </c>
      <c r="B637" t="str">
        <f t="shared" si="45"/>
        <v>Old Teenager</v>
      </c>
      <c r="C637" t="s">
        <v>19</v>
      </c>
      <c r="D637">
        <v>7.7</v>
      </c>
      <c r="E637" t="s">
        <v>20</v>
      </c>
      <c r="F637">
        <v>7.6</v>
      </c>
      <c r="G637">
        <v>2.9</v>
      </c>
      <c r="H637">
        <f t="shared" si="46"/>
        <v>10.6</v>
      </c>
      <c r="I637">
        <v>3.81</v>
      </c>
      <c r="J637" t="str">
        <f t="shared" si="47"/>
        <v>first class</v>
      </c>
      <c r="K637">
        <v>0.5</v>
      </c>
      <c r="L637" t="s">
        <v>21</v>
      </c>
      <c r="M637">
        <v>10</v>
      </c>
      <c r="N637">
        <v>3</v>
      </c>
      <c r="O637">
        <v>6</v>
      </c>
      <c r="P637">
        <v>0</v>
      </c>
      <c r="Q637">
        <f t="shared" si="48"/>
        <v>19</v>
      </c>
      <c r="S637" t="str">
        <f t="shared" si="49"/>
        <v>Mentally Strained</v>
      </c>
    </row>
    <row r="638" spans="1:19" x14ac:dyDescent="0.25">
      <c r="A638">
        <v>18</v>
      </c>
      <c r="B638" t="str">
        <f t="shared" si="45"/>
        <v>Old Teenager</v>
      </c>
      <c r="C638" t="s">
        <v>16</v>
      </c>
      <c r="D638">
        <v>3.2</v>
      </c>
      <c r="E638" t="s">
        <v>17</v>
      </c>
      <c r="F638">
        <v>6</v>
      </c>
      <c r="G638">
        <v>1.5</v>
      </c>
      <c r="H638">
        <f t="shared" si="46"/>
        <v>4.7</v>
      </c>
      <c r="I638">
        <v>3.36</v>
      </c>
      <c r="J638" t="str">
        <f t="shared" si="47"/>
        <v>Second class upper</v>
      </c>
      <c r="K638">
        <v>1.5</v>
      </c>
      <c r="L638" t="s">
        <v>21</v>
      </c>
      <c r="M638">
        <v>9</v>
      </c>
      <c r="N638">
        <v>7</v>
      </c>
      <c r="O638">
        <v>10</v>
      </c>
      <c r="P638">
        <v>0</v>
      </c>
      <c r="Q638">
        <f t="shared" si="48"/>
        <v>26</v>
      </c>
      <c r="S638" t="str">
        <f t="shared" si="49"/>
        <v>Mentally Unstable</v>
      </c>
    </row>
    <row r="639" spans="1:19" x14ac:dyDescent="0.25">
      <c r="A639">
        <v>16</v>
      </c>
      <c r="B639" t="str">
        <f t="shared" si="45"/>
        <v>Old Teenager</v>
      </c>
      <c r="C639" t="s">
        <v>16</v>
      </c>
      <c r="D639">
        <v>2</v>
      </c>
      <c r="E639" t="s">
        <v>20</v>
      </c>
      <c r="F639">
        <v>7.8</v>
      </c>
      <c r="G639">
        <v>0.5</v>
      </c>
      <c r="H639">
        <f t="shared" si="46"/>
        <v>2.5</v>
      </c>
      <c r="I639">
        <v>2.81</v>
      </c>
      <c r="J639" t="str">
        <f t="shared" si="47"/>
        <v>Second class lower</v>
      </c>
      <c r="K639">
        <v>1.4</v>
      </c>
      <c r="L639" t="s">
        <v>21</v>
      </c>
      <c r="M639">
        <v>10</v>
      </c>
      <c r="N639">
        <v>2</v>
      </c>
      <c r="O639">
        <v>4</v>
      </c>
      <c r="P639">
        <v>0</v>
      </c>
      <c r="Q639">
        <f t="shared" si="48"/>
        <v>16</v>
      </c>
      <c r="S639" t="str">
        <f t="shared" si="49"/>
        <v>Mentally Strained</v>
      </c>
    </row>
    <row r="640" spans="1:19" x14ac:dyDescent="0.25">
      <c r="A640">
        <v>15</v>
      </c>
      <c r="B640" t="str">
        <f t="shared" si="45"/>
        <v>Young Teenager</v>
      </c>
      <c r="C640" t="s">
        <v>19</v>
      </c>
      <c r="D640">
        <v>6.2</v>
      </c>
      <c r="E640" t="s">
        <v>23</v>
      </c>
      <c r="F640">
        <v>5.2</v>
      </c>
      <c r="G640">
        <v>1</v>
      </c>
      <c r="H640">
        <f t="shared" si="46"/>
        <v>7.2</v>
      </c>
      <c r="I640">
        <v>3.94</v>
      </c>
      <c r="J640" t="str">
        <f t="shared" si="47"/>
        <v>first class</v>
      </c>
      <c r="K640">
        <v>1.4</v>
      </c>
      <c r="L640" t="s">
        <v>18</v>
      </c>
      <c r="M640">
        <v>5</v>
      </c>
      <c r="N640">
        <v>2</v>
      </c>
      <c r="O640">
        <v>7</v>
      </c>
      <c r="P640">
        <v>0</v>
      </c>
      <c r="Q640">
        <f t="shared" si="48"/>
        <v>14</v>
      </c>
      <c r="S640" t="str">
        <f t="shared" si="49"/>
        <v>Mentally Strained</v>
      </c>
    </row>
    <row r="641" spans="1:19" x14ac:dyDescent="0.25">
      <c r="A641">
        <v>19</v>
      </c>
      <c r="B641" t="str">
        <f t="shared" si="45"/>
        <v>Old Teenager</v>
      </c>
      <c r="C641" t="s">
        <v>19</v>
      </c>
      <c r="D641">
        <v>2.4</v>
      </c>
      <c r="E641" t="s">
        <v>17</v>
      </c>
      <c r="F641">
        <v>8.6999999999999993</v>
      </c>
      <c r="G641">
        <v>1.6</v>
      </c>
      <c r="H641">
        <f t="shared" si="46"/>
        <v>4</v>
      </c>
      <c r="I641">
        <v>2.4</v>
      </c>
      <c r="J641" t="str">
        <f t="shared" si="47"/>
        <v>third class</v>
      </c>
      <c r="K641">
        <v>0.1</v>
      </c>
      <c r="L641" t="s">
        <v>22</v>
      </c>
      <c r="M641">
        <v>2</v>
      </c>
      <c r="N641">
        <v>9</v>
      </c>
      <c r="O641">
        <v>7</v>
      </c>
      <c r="P641">
        <v>0</v>
      </c>
      <c r="Q641">
        <f t="shared" si="48"/>
        <v>18</v>
      </c>
      <c r="S641" t="str">
        <f t="shared" si="49"/>
        <v>Mentally Strained</v>
      </c>
    </row>
    <row r="642" spans="1:19" x14ac:dyDescent="0.25">
      <c r="A642">
        <v>15</v>
      </c>
      <c r="B642" t="str">
        <f t="shared" si="45"/>
        <v>Young Teenager</v>
      </c>
      <c r="C642" t="s">
        <v>16</v>
      </c>
      <c r="D642">
        <v>3.4</v>
      </c>
      <c r="E642" t="s">
        <v>23</v>
      </c>
      <c r="F642">
        <v>8</v>
      </c>
      <c r="G642">
        <v>1</v>
      </c>
      <c r="H642">
        <f t="shared" si="46"/>
        <v>4.4000000000000004</v>
      </c>
      <c r="I642">
        <v>2.31</v>
      </c>
      <c r="J642" t="str">
        <f t="shared" si="47"/>
        <v>third class</v>
      </c>
      <c r="K642">
        <v>1</v>
      </c>
      <c r="L642" t="s">
        <v>21</v>
      </c>
      <c r="M642">
        <v>4</v>
      </c>
      <c r="N642">
        <v>7</v>
      </c>
      <c r="O642">
        <v>6</v>
      </c>
      <c r="P642">
        <v>0</v>
      </c>
      <c r="Q642">
        <f t="shared" si="48"/>
        <v>17</v>
      </c>
      <c r="S642" t="str">
        <f t="shared" si="49"/>
        <v>Mentally Strained</v>
      </c>
    </row>
    <row r="643" spans="1:19" x14ac:dyDescent="0.25">
      <c r="A643">
        <v>19</v>
      </c>
      <c r="B643" t="str">
        <f t="shared" ref="B643:B706" si="50">IF(A643&lt;=15,"Young Teenager","Old Teenager")</f>
        <v>Old Teenager</v>
      </c>
      <c r="C643" t="s">
        <v>16</v>
      </c>
      <c r="D643">
        <v>6</v>
      </c>
      <c r="E643" t="s">
        <v>17</v>
      </c>
      <c r="F643">
        <v>4.2</v>
      </c>
      <c r="G643">
        <v>0.9</v>
      </c>
      <c r="H643">
        <f t="shared" ref="H643:H706" si="51">SUM(D643,G643)</f>
        <v>6.9</v>
      </c>
      <c r="I643">
        <v>2.41</v>
      </c>
      <c r="J643" t="str">
        <f t="shared" ref="J643:J706" si="52">IF(I643&lt;=2.49,"third class",IF(I643&lt;3,"Second class lower",IF(I643&lt;3.6,"Second class upper","first class")))</f>
        <v>third class</v>
      </c>
      <c r="K643">
        <v>0.8</v>
      </c>
      <c r="L643" t="s">
        <v>22</v>
      </c>
      <c r="M643">
        <v>7</v>
      </c>
      <c r="N643">
        <v>9</v>
      </c>
      <c r="O643">
        <v>9</v>
      </c>
      <c r="P643">
        <v>1</v>
      </c>
      <c r="Q643">
        <f t="shared" ref="Q643:Q706" si="53">SUM(M643:P643)</f>
        <v>26</v>
      </c>
      <c r="S643" t="str">
        <f t="shared" ref="S643:S706" si="54">IF(Q643&lt;10,"Mentally Sound",IF(Q643&gt;=20,"Mentally Unstable","Mentally Strained"))</f>
        <v>Mentally Unstable</v>
      </c>
    </row>
    <row r="644" spans="1:19" x14ac:dyDescent="0.25">
      <c r="A644">
        <v>16</v>
      </c>
      <c r="B644" t="str">
        <f t="shared" si="50"/>
        <v>Old Teenager</v>
      </c>
      <c r="C644" t="s">
        <v>19</v>
      </c>
      <c r="D644">
        <v>5.3</v>
      </c>
      <c r="E644" t="s">
        <v>23</v>
      </c>
      <c r="F644">
        <v>5.6</v>
      </c>
      <c r="G644">
        <v>2.5</v>
      </c>
      <c r="H644">
        <f t="shared" si="51"/>
        <v>7.8</v>
      </c>
      <c r="I644">
        <v>2.73</v>
      </c>
      <c r="J644" t="str">
        <f t="shared" si="52"/>
        <v>Second class lower</v>
      </c>
      <c r="K644">
        <v>1.3</v>
      </c>
      <c r="L644" t="s">
        <v>22</v>
      </c>
      <c r="M644">
        <v>7</v>
      </c>
      <c r="N644">
        <v>10</v>
      </c>
      <c r="O644">
        <v>4</v>
      </c>
      <c r="P644">
        <v>1</v>
      </c>
      <c r="Q644">
        <f t="shared" si="53"/>
        <v>22</v>
      </c>
      <c r="S644" t="str">
        <f t="shared" si="54"/>
        <v>Mentally Unstable</v>
      </c>
    </row>
    <row r="645" spans="1:19" x14ac:dyDescent="0.25">
      <c r="A645">
        <v>17</v>
      </c>
      <c r="B645" t="str">
        <f t="shared" si="50"/>
        <v>Old Teenager</v>
      </c>
      <c r="C645" t="s">
        <v>19</v>
      </c>
      <c r="D645">
        <v>5.5</v>
      </c>
      <c r="E645" t="s">
        <v>17</v>
      </c>
      <c r="F645">
        <v>6.3</v>
      </c>
      <c r="G645">
        <v>0.8</v>
      </c>
      <c r="H645">
        <f t="shared" si="51"/>
        <v>6.3</v>
      </c>
      <c r="I645">
        <v>2.59</v>
      </c>
      <c r="J645" t="str">
        <f t="shared" si="52"/>
        <v>Second class lower</v>
      </c>
      <c r="K645">
        <v>1.6</v>
      </c>
      <c r="L645" t="s">
        <v>21</v>
      </c>
      <c r="M645">
        <v>6</v>
      </c>
      <c r="N645">
        <v>8</v>
      </c>
      <c r="O645">
        <v>7</v>
      </c>
      <c r="P645">
        <v>0</v>
      </c>
      <c r="Q645">
        <f t="shared" si="53"/>
        <v>21</v>
      </c>
      <c r="S645" t="str">
        <f t="shared" si="54"/>
        <v>Mentally Unstable</v>
      </c>
    </row>
    <row r="646" spans="1:19" x14ac:dyDescent="0.25">
      <c r="A646">
        <v>17</v>
      </c>
      <c r="B646" t="str">
        <f t="shared" si="50"/>
        <v>Old Teenager</v>
      </c>
      <c r="C646" t="s">
        <v>16</v>
      </c>
      <c r="D646">
        <v>3.6</v>
      </c>
      <c r="E646" t="s">
        <v>23</v>
      </c>
      <c r="F646">
        <v>6.1</v>
      </c>
      <c r="G646">
        <v>2.8</v>
      </c>
      <c r="H646">
        <f t="shared" si="51"/>
        <v>6.4</v>
      </c>
      <c r="I646">
        <v>2.39</v>
      </c>
      <c r="J646" t="str">
        <f t="shared" si="52"/>
        <v>third class</v>
      </c>
      <c r="K646">
        <v>0.6</v>
      </c>
      <c r="L646" t="s">
        <v>18</v>
      </c>
      <c r="M646">
        <v>6</v>
      </c>
      <c r="N646">
        <v>8</v>
      </c>
      <c r="O646">
        <v>5</v>
      </c>
      <c r="P646">
        <v>0</v>
      </c>
      <c r="Q646">
        <f t="shared" si="53"/>
        <v>19</v>
      </c>
      <c r="S646" t="str">
        <f t="shared" si="54"/>
        <v>Mentally Strained</v>
      </c>
    </row>
    <row r="647" spans="1:19" x14ac:dyDescent="0.25">
      <c r="A647">
        <v>17</v>
      </c>
      <c r="B647" t="str">
        <f t="shared" si="50"/>
        <v>Old Teenager</v>
      </c>
      <c r="C647" t="s">
        <v>19</v>
      </c>
      <c r="D647">
        <v>3.7</v>
      </c>
      <c r="E647" t="s">
        <v>17</v>
      </c>
      <c r="F647">
        <v>6.3</v>
      </c>
      <c r="G647">
        <v>1.3</v>
      </c>
      <c r="H647">
        <f t="shared" si="51"/>
        <v>5</v>
      </c>
      <c r="I647">
        <v>2.7</v>
      </c>
      <c r="J647" t="str">
        <f t="shared" si="52"/>
        <v>Second class lower</v>
      </c>
      <c r="K647">
        <v>1.1000000000000001</v>
      </c>
      <c r="L647" t="s">
        <v>22</v>
      </c>
      <c r="M647">
        <v>2</v>
      </c>
      <c r="N647">
        <v>6</v>
      </c>
      <c r="O647">
        <v>9</v>
      </c>
      <c r="P647">
        <v>0</v>
      </c>
      <c r="Q647">
        <f t="shared" si="53"/>
        <v>17</v>
      </c>
      <c r="S647" t="str">
        <f t="shared" si="54"/>
        <v>Mentally Strained</v>
      </c>
    </row>
    <row r="648" spans="1:19" x14ac:dyDescent="0.25">
      <c r="A648">
        <v>16</v>
      </c>
      <c r="B648" t="str">
        <f t="shared" si="50"/>
        <v>Old Teenager</v>
      </c>
      <c r="C648" t="s">
        <v>19</v>
      </c>
      <c r="D648">
        <v>7.4</v>
      </c>
      <c r="E648" t="s">
        <v>17</v>
      </c>
      <c r="F648">
        <v>7.4</v>
      </c>
      <c r="G648">
        <v>0.9</v>
      </c>
      <c r="H648">
        <f t="shared" si="51"/>
        <v>8.3000000000000007</v>
      </c>
      <c r="I648">
        <v>3.7</v>
      </c>
      <c r="J648" t="str">
        <f t="shared" si="52"/>
        <v>first class</v>
      </c>
      <c r="K648">
        <v>1.3</v>
      </c>
      <c r="L648" t="s">
        <v>22</v>
      </c>
      <c r="M648">
        <v>10</v>
      </c>
      <c r="N648">
        <v>6</v>
      </c>
      <c r="O648">
        <v>2</v>
      </c>
      <c r="P648">
        <v>0</v>
      </c>
      <c r="Q648">
        <f t="shared" si="53"/>
        <v>18</v>
      </c>
      <c r="S648" t="str">
        <f t="shared" si="54"/>
        <v>Mentally Strained</v>
      </c>
    </row>
    <row r="649" spans="1:19" x14ac:dyDescent="0.25">
      <c r="A649">
        <v>13</v>
      </c>
      <c r="B649" t="str">
        <f t="shared" si="50"/>
        <v>Young Teenager</v>
      </c>
      <c r="C649" t="s">
        <v>16</v>
      </c>
      <c r="D649">
        <v>5.3</v>
      </c>
      <c r="E649" t="s">
        <v>17</v>
      </c>
      <c r="F649">
        <v>6</v>
      </c>
      <c r="G649">
        <v>1</v>
      </c>
      <c r="H649">
        <f t="shared" si="51"/>
        <v>6.3</v>
      </c>
      <c r="I649">
        <v>2.92</v>
      </c>
      <c r="J649" t="str">
        <f t="shared" si="52"/>
        <v>Second class lower</v>
      </c>
      <c r="K649">
        <v>0.7</v>
      </c>
      <c r="L649" t="s">
        <v>21</v>
      </c>
      <c r="M649">
        <v>3</v>
      </c>
      <c r="N649">
        <v>8</v>
      </c>
      <c r="O649">
        <v>5</v>
      </c>
      <c r="P649">
        <v>0</v>
      </c>
      <c r="Q649">
        <f t="shared" si="53"/>
        <v>16</v>
      </c>
      <c r="S649" t="str">
        <f t="shared" si="54"/>
        <v>Mentally Strained</v>
      </c>
    </row>
    <row r="650" spans="1:19" x14ac:dyDescent="0.25">
      <c r="A650">
        <v>18</v>
      </c>
      <c r="B650" t="str">
        <f t="shared" si="50"/>
        <v>Old Teenager</v>
      </c>
      <c r="C650" t="s">
        <v>19</v>
      </c>
      <c r="D650">
        <v>4.8</v>
      </c>
      <c r="E650" t="s">
        <v>17</v>
      </c>
      <c r="F650">
        <v>5.5</v>
      </c>
      <c r="G650">
        <v>1.8</v>
      </c>
      <c r="H650">
        <f t="shared" si="51"/>
        <v>6.6</v>
      </c>
      <c r="I650">
        <v>2.9</v>
      </c>
      <c r="J650" t="str">
        <f t="shared" si="52"/>
        <v>Second class lower</v>
      </c>
      <c r="K650">
        <v>0.6</v>
      </c>
      <c r="L650" t="s">
        <v>18</v>
      </c>
      <c r="M650">
        <v>6</v>
      </c>
      <c r="N650">
        <v>2</v>
      </c>
      <c r="O650">
        <v>5</v>
      </c>
      <c r="P650">
        <v>0</v>
      </c>
      <c r="Q650">
        <f t="shared" si="53"/>
        <v>13</v>
      </c>
      <c r="S650" t="str">
        <f t="shared" si="54"/>
        <v>Mentally Strained</v>
      </c>
    </row>
    <row r="651" spans="1:19" x14ac:dyDescent="0.25">
      <c r="A651">
        <v>13</v>
      </c>
      <c r="B651" t="str">
        <f t="shared" si="50"/>
        <v>Young Teenager</v>
      </c>
      <c r="C651" t="s">
        <v>16</v>
      </c>
      <c r="D651">
        <v>3.4</v>
      </c>
      <c r="E651" t="s">
        <v>20</v>
      </c>
      <c r="F651">
        <v>4.5</v>
      </c>
      <c r="G651">
        <v>0.5</v>
      </c>
      <c r="H651">
        <f t="shared" si="51"/>
        <v>3.9</v>
      </c>
      <c r="I651">
        <v>3.71</v>
      </c>
      <c r="J651" t="str">
        <f t="shared" si="52"/>
        <v>first class</v>
      </c>
      <c r="K651">
        <v>1</v>
      </c>
      <c r="L651" t="s">
        <v>22</v>
      </c>
      <c r="M651">
        <v>1</v>
      </c>
      <c r="N651">
        <v>10</v>
      </c>
      <c r="O651">
        <v>1</v>
      </c>
      <c r="P651">
        <v>0</v>
      </c>
      <c r="Q651">
        <f t="shared" si="53"/>
        <v>12</v>
      </c>
      <c r="S651" t="str">
        <f t="shared" si="54"/>
        <v>Mentally Strained</v>
      </c>
    </row>
    <row r="652" spans="1:19" x14ac:dyDescent="0.25">
      <c r="A652">
        <v>17</v>
      </c>
      <c r="B652" t="str">
        <f t="shared" si="50"/>
        <v>Old Teenager</v>
      </c>
      <c r="C652" t="s">
        <v>19</v>
      </c>
      <c r="D652">
        <v>7</v>
      </c>
      <c r="E652" t="s">
        <v>20</v>
      </c>
      <c r="F652">
        <v>8.9</v>
      </c>
      <c r="G652">
        <v>0.6</v>
      </c>
      <c r="H652">
        <f t="shared" si="51"/>
        <v>7.6</v>
      </c>
      <c r="I652">
        <v>3.67</v>
      </c>
      <c r="J652" t="str">
        <f t="shared" si="52"/>
        <v>first class</v>
      </c>
      <c r="K652">
        <v>0.2</v>
      </c>
      <c r="L652" t="s">
        <v>22</v>
      </c>
      <c r="M652">
        <v>9</v>
      </c>
      <c r="N652">
        <v>2</v>
      </c>
      <c r="O652">
        <v>4</v>
      </c>
      <c r="P652">
        <v>0</v>
      </c>
      <c r="Q652">
        <f t="shared" si="53"/>
        <v>15</v>
      </c>
      <c r="S652" t="str">
        <f t="shared" si="54"/>
        <v>Mentally Strained</v>
      </c>
    </row>
    <row r="653" spans="1:19" x14ac:dyDescent="0.25">
      <c r="A653">
        <v>15</v>
      </c>
      <c r="B653" t="str">
        <f t="shared" si="50"/>
        <v>Young Teenager</v>
      </c>
      <c r="C653" t="s">
        <v>16</v>
      </c>
      <c r="D653">
        <v>5.4</v>
      </c>
      <c r="E653" t="s">
        <v>17</v>
      </c>
      <c r="F653">
        <v>7.2</v>
      </c>
      <c r="G653">
        <v>1.2</v>
      </c>
      <c r="H653">
        <f t="shared" si="51"/>
        <v>6.6000000000000005</v>
      </c>
      <c r="I653">
        <v>3.32</v>
      </c>
      <c r="J653" t="str">
        <f t="shared" si="52"/>
        <v>Second class upper</v>
      </c>
      <c r="K653">
        <v>1.3</v>
      </c>
      <c r="L653" t="s">
        <v>21</v>
      </c>
      <c r="M653">
        <v>7</v>
      </c>
      <c r="N653">
        <v>8</v>
      </c>
      <c r="O653">
        <v>1</v>
      </c>
      <c r="P653">
        <v>0</v>
      </c>
      <c r="Q653">
        <f t="shared" si="53"/>
        <v>16</v>
      </c>
      <c r="S653" t="str">
        <f t="shared" si="54"/>
        <v>Mentally Strained</v>
      </c>
    </row>
    <row r="654" spans="1:19" x14ac:dyDescent="0.25">
      <c r="A654">
        <v>17</v>
      </c>
      <c r="B654" t="str">
        <f t="shared" si="50"/>
        <v>Old Teenager</v>
      </c>
      <c r="C654" t="s">
        <v>16</v>
      </c>
      <c r="D654">
        <v>5.3</v>
      </c>
      <c r="E654" t="s">
        <v>17</v>
      </c>
      <c r="F654">
        <v>6.4</v>
      </c>
      <c r="G654">
        <v>2.9</v>
      </c>
      <c r="H654">
        <f t="shared" si="51"/>
        <v>8.1999999999999993</v>
      </c>
      <c r="I654">
        <v>2.42</v>
      </c>
      <c r="J654" t="str">
        <f t="shared" si="52"/>
        <v>third class</v>
      </c>
      <c r="K654">
        <v>1.1000000000000001</v>
      </c>
      <c r="L654" t="s">
        <v>18</v>
      </c>
      <c r="M654">
        <v>3</v>
      </c>
      <c r="N654">
        <v>8</v>
      </c>
      <c r="O654">
        <v>3</v>
      </c>
      <c r="P654">
        <v>0</v>
      </c>
      <c r="Q654">
        <f t="shared" si="53"/>
        <v>14</v>
      </c>
      <c r="S654" t="str">
        <f t="shared" si="54"/>
        <v>Mentally Strained</v>
      </c>
    </row>
    <row r="655" spans="1:19" x14ac:dyDescent="0.25">
      <c r="A655">
        <v>14</v>
      </c>
      <c r="B655" t="str">
        <f t="shared" si="50"/>
        <v>Young Teenager</v>
      </c>
      <c r="C655" t="s">
        <v>16</v>
      </c>
      <c r="D655">
        <v>1.8</v>
      </c>
      <c r="E655" t="s">
        <v>23</v>
      </c>
      <c r="F655">
        <v>5.0999999999999996</v>
      </c>
      <c r="G655">
        <v>2.7</v>
      </c>
      <c r="H655">
        <f t="shared" si="51"/>
        <v>4.5</v>
      </c>
      <c r="I655">
        <v>3.47</v>
      </c>
      <c r="J655" t="str">
        <f t="shared" si="52"/>
        <v>Second class upper</v>
      </c>
      <c r="K655">
        <v>0.2</v>
      </c>
      <c r="L655" t="s">
        <v>18</v>
      </c>
      <c r="M655">
        <v>8</v>
      </c>
      <c r="N655">
        <v>4</v>
      </c>
      <c r="O655">
        <v>6</v>
      </c>
      <c r="P655">
        <v>0</v>
      </c>
      <c r="Q655">
        <f t="shared" si="53"/>
        <v>18</v>
      </c>
      <c r="S655" t="str">
        <f t="shared" si="54"/>
        <v>Mentally Strained</v>
      </c>
    </row>
    <row r="656" spans="1:19" x14ac:dyDescent="0.25">
      <c r="A656">
        <v>15</v>
      </c>
      <c r="B656" t="str">
        <f t="shared" si="50"/>
        <v>Young Teenager</v>
      </c>
      <c r="C656" t="s">
        <v>16</v>
      </c>
      <c r="D656">
        <v>4.5</v>
      </c>
      <c r="E656" t="s">
        <v>20</v>
      </c>
      <c r="F656">
        <v>6.2</v>
      </c>
      <c r="G656">
        <v>2.8</v>
      </c>
      <c r="H656">
        <f t="shared" si="51"/>
        <v>7.3</v>
      </c>
      <c r="I656">
        <v>2.74</v>
      </c>
      <c r="J656" t="str">
        <f t="shared" si="52"/>
        <v>Second class lower</v>
      </c>
      <c r="K656">
        <v>0.1</v>
      </c>
      <c r="L656" t="s">
        <v>21</v>
      </c>
      <c r="M656">
        <v>2</v>
      </c>
      <c r="N656">
        <v>3</v>
      </c>
      <c r="O656">
        <v>5</v>
      </c>
      <c r="P656">
        <v>0</v>
      </c>
      <c r="Q656">
        <f t="shared" si="53"/>
        <v>10</v>
      </c>
      <c r="S656" t="str">
        <f t="shared" si="54"/>
        <v>Mentally Strained</v>
      </c>
    </row>
    <row r="657" spans="1:19" x14ac:dyDescent="0.25">
      <c r="A657">
        <v>17</v>
      </c>
      <c r="B657" t="str">
        <f t="shared" si="50"/>
        <v>Old Teenager</v>
      </c>
      <c r="C657" t="s">
        <v>19</v>
      </c>
      <c r="D657">
        <v>5.4</v>
      </c>
      <c r="E657" t="s">
        <v>20</v>
      </c>
      <c r="F657">
        <v>7.1</v>
      </c>
      <c r="G657">
        <v>2.5</v>
      </c>
      <c r="H657">
        <f t="shared" si="51"/>
        <v>7.9</v>
      </c>
      <c r="I657">
        <v>2.68</v>
      </c>
      <c r="J657" t="str">
        <f t="shared" si="52"/>
        <v>Second class lower</v>
      </c>
      <c r="K657">
        <v>1.6</v>
      </c>
      <c r="L657" t="s">
        <v>18</v>
      </c>
      <c r="M657">
        <v>3</v>
      </c>
      <c r="N657">
        <v>5</v>
      </c>
      <c r="O657">
        <v>7</v>
      </c>
      <c r="P657">
        <v>0</v>
      </c>
      <c r="Q657">
        <f t="shared" si="53"/>
        <v>15</v>
      </c>
      <c r="S657" t="str">
        <f t="shared" si="54"/>
        <v>Mentally Strained</v>
      </c>
    </row>
    <row r="658" spans="1:19" x14ac:dyDescent="0.25">
      <c r="A658">
        <v>13</v>
      </c>
      <c r="B658" t="str">
        <f t="shared" si="50"/>
        <v>Young Teenager</v>
      </c>
      <c r="C658" t="s">
        <v>16</v>
      </c>
      <c r="D658">
        <v>3.6</v>
      </c>
      <c r="E658" t="s">
        <v>17</v>
      </c>
      <c r="F658">
        <v>8.6</v>
      </c>
      <c r="G658">
        <v>0.7</v>
      </c>
      <c r="H658">
        <f t="shared" si="51"/>
        <v>4.3</v>
      </c>
      <c r="I658">
        <v>2.42</v>
      </c>
      <c r="J658" t="str">
        <f t="shared" si="52"/>
        <v>third class</v>
      </c>
      <c r="K658">
        <v>0.2</v>
      </c>
      <c r="L658" t="s">
        <v>22</v>
      </c>
      <c r="M658">
        <v>2</v>
      </c>
      <c r="N658">
        <v>6</v>
      </c>
      <c r="O658">
        <v>8</v>
      </c>
      <c r="P658">
        <v>0</v>
      </c>
      <c r="Q658">
        <f t="shared" si="53"/>
        <v>16</v>
      </c>
      <c r="S658" t="str">
        <f t="shared" si="54"/>
        <v>Mentally Strained</v>
      </c>
    </row>
    <row r="659" spans="1:19" x14ac:dyDescent="0.25">
      <c r="A659">
        <v>14</v>
      </c>
      <c r="B659" t="str">
        <f t="shared" si="50"/>
        <v>Young Teenager</v>
      </c>
      <c r="C659" t="s">
        <v>19</v>
      </c>
      <c r="D659">
        <v>5.7</v>
      </c>
      <c r="E659" t="s">
        <v>17</v>
      </c>
      <c r="F659">
        <v>8.9</v>
      </c>
      <c r="G659">
        <v>0.7</v>
      </c>
      <c r="H659">
        <f t="shared" si="51"/>
        <v>6.4</v>
      </c>
      <c r="I659">
        <v>2.17</v>
      </c>
      <c r="J659" t="str">
        <f t="shared" si="52"/>
        <v>third class</v>
      </c>
      <c r="K659">
        <v>1.3</v>
      </c>
      <c r="L659" t="s">
        <v>21</v>
      </c>
      <c r="M659">
        <v>10</v>
      </c>
      <c r="N659">
        <v>4</v>
      </c>
      <c r="O659">
        <v>3</v>
      </c>
      <c r="P659">
        <v>0</v>
      </c>
      <c r="Q659">
        <f t="shared" si="53"/>
        <v>17</v>
      </c>
      <c r="S659" t="str">
        <f t="shared" si="54"/>
        <v>Mentally Strained</v>
      </c>
    </row>
    <row r="660" spans="1:19" x14ac:dyDescent="0.25">
      <c r="A660">
        <v>15</v>
      </c>
      <c r="B660" t="str">
        <f t="shared" si="50"/>
        <v>Young Teenager</v>
      </c>
      <c r="C660" t="s">
        <v>19</v>
      </c>
      <c r="D660">
        <v>5.5</v>
      </c>
      <c r="E660" t="s">
        <v>23</v>
      </c>
      <c r="F660">
        <v>7.3</v>
      </c>
      <c r="G660">
        <v>2.5</v>
      </c>
      <c r="H660">
        <f t="shared" si="51"/>
        <v>8</v>
      </c>
      <c r="I660">
        <v>3.67</v>
      </c>
      <c r="J660" t="str">
        <f t="shared" si="52"/>
        <v>first class</v>
      </c>
      <c r="K660">
        <v>0.5</v>
      </c>
      <c r="L660" t="s">
        <v>18</v>
      </c>
      <c r="M660">
        <v>4</v>
      </c>
      <c r="N660">
        <v>3</v>
      </c>
      <c r="O660">
        <v>6</v>
      </c>
      <c r="P660">
        <v>0</v>
      </c>
      <c r="Q660">
        <f t="shared" si="53"/>
        <v>13</v>
      </c>
      <c r="S660" t="str">
        <f t="shared" si="54"/>
        <v>Mentally Strained</v>
      </c>
    </row>
    <row r="661" spans="1:19" x14ac:dyDescent="0.25">
      <c r="A661">
        <v>14</v>
      </c>
      <c r="B661" t="str">
        <f t="shared" si="50"/>
        <v>Young Teenager</v>
      </c>
      <c r="C661" t="s">
        <v>19</v>
      </c>
      <c r="D661">
        <v>5.3</v>
      </c>
      <c r="E661" t="s">
        <v>23</v>
      </c>
      <c r="F661">
        <v>4.7</v>
      </c>
      <c r="G661">
        <v>1.1000000000000001</v>
      </c>
      <c r="H661">
        <f t="shared" si="51"/>
        <v>6.4</v>
      </c>
      <c r="I661">
        <v>3.68</v>
      </c>
      <c r="J661" t="str">
        <f t="shared" si="52"/>
        <v>first class</v>
      </c>
      <c r="K661">
        <v>1.8</v>
      </c>
      <c r="L661" t="s">
        <v>21</v>
      </c>
      <c r="M661">
        <v>10</v>
      </c>
      <c r="N661">
        <v>8</v>
      </c>
      <c r="O661">
        <v>10</v>
      </c>
      <c r="P661">
        <v>1</v>
      </c>
      <c r="Q661">
        <f t="shared" si="53"/>
        <v>29</v>
      </c>
      <c r="S661" t="str">
        <f t="shared" si="54"/>
        <v>Mentally Unstable</v>
      </c>
    </row>
    <row r="662" spans="1:19" x14ac:dyDescent="0.25">
      <c r="A662">
        <v>15</v>
      </c>
      <c r="B662" t="str">
        <f t="shared" si="50"/>
        <v>Young Teenager</v>
      </c>
      <c r="C662" t="s">
        <v>16</v>
      </c>
      <c r="D662">
        <v>2.7</v>
      </c>
      <c r="E662" t="s">
        <v>17</v>
      </c>
      <c r="F662">
        <v>5.4</v>
      </c>
      <c r="G662">
        <v>1.6</v>
      </c>
      <c r="H662">
        <f t="shared" si="51"/>
        <v>4.3000000000000007</v>
      </c>
      <c r="I662">
        <v>2.34</v>
      </c>
      <c r="J662" t="str">
        <f t="shared" si="52"/>
        <v>third class</v>
      </c>
      <c r="K662">
        <v>0.3</v>
      </c>
      <c r="L662" t="s">
        <v>21</v>
      </c>
      <c r="M662">
        <v>2</v>
      </c>
      <c r="N662">
        <v>6</v>
      </c>
      <c r="O662">
        <v>8</v>
      </c>
      <c r="P662">
        <v>0</v>
      </c>
      <c r="Q662">
        <f t="shared" si="53"/>
        <v>16</v>
      </c>
      <c r="S662" t="str">
        <f t="shared" si="54"/>
        <v>Mentally Strained</v>
      </c>
    </row>
    <row r="663" spans="1:19" x14ac:dyDescent="0.25">
      <c r="A663">
        <v>14</v>
      </c>
      <c r="B663" t="str">
        <f t="shared" si="50"/>
        <v>Young Teenager</v>
      </c>
      <c r="C663" t="s">
        <v>16</v>
      </c>
      <c r="D663">
        <v>6.4</v>
      </c>
      <c r="E663" t="s">
        <v>17</v>
      </c>
      <c r="F663">
        <v>5.6</v>
      </c>
      <c r="G663">
        <v>0.8</v>
      </c>
      <c r="H663">
        <f t="shared" si="51"/>
        <v>7.2</v>
      </c>
      <c r="I663">
        <v>4</v>
      </c>
      <c r="J663" t="str">
        <f t="shared" si="52"/>
        <v>first class</v>
      </c>
      <c r="K663">
        <v>1.9</v>
      </c>
      <c r="L663" t="s">
        <v>22</v>
      </c>
      <c r="M663">
        <v>5</v>
      </c>
      <c r="N663">
        <v>1</v>
      </c>
      <c r="O663">
        <v>3</v>
      </c>
      <c r="P663">
        <v>0</v>
      </c>
      <c r="Q663">
        <f t="shared" si="53"/>
        <v>9</v>
      </c>
      <c r="S663" t="str">
        <f t="shared" si="54"/>
        <v>Mentally Sound</v>
      </c>
    </row>
    <row r="664" spans="1:19" x14ac:dyDescent="0.25">
      <c r="A664">
        <v>16</v>
      </c>
      <c r="B664" t="str">
        <f t="shared" si="50"/>
        <v>Old Teenager</v>
      </c>
      <c r="C664" t="s">
        <v>16</v>
      </c>
      <c r="D664">
        <v>5</v>
      </c>
      <c r="E664" t="s">
        <v>20</v>
      </c>
      <c r="F664">
        <v>6.3</v>
      </c>
      <c r="G664">
        <v>3</v>
      </c>
      <c r="H664">
        <f t="shared" si="51"/>
        <v>8</v>
      </c>
      <c r="I664">
        <v>3.72</v>
      </c>
      <c r="J664" t="str">
        <f t="shared" si="52"/>
        <v>first class</v>
      </c>
      <c r="K664">
        <v>1.6</v>
      </c>
      <c r="L664" t="s">
        <v>22</v>
      </c>
      <c r="M664">
        <v>5</v>
      </c>
      <c r="N664">
        <v>10</v>
      </c>
      <c r="O664">
        <v>3</v>
      </c>
      <c r="P664">
        <v>0</v>
      </c>
      <c r="Q664">
        <f t="shared" si="53"/>
        <v>18</v>
      </c>
      <c r="S664" t="str">
        <f t="shared" si="54"/>
        <v>Mentally Strained</v>
      </c>
    </row>
    <row r="665" spans="1:19" x14ac:dyDescent="0.25">
      <c r="A665">
        <v>13</v>
      </c>
      <c r="B665" t="str">
        <f t="shared" si="50"/>
        <v>Young Teenager</v>
      </c>
      <c r="C665" t="s">
        <v>19</v>
      </c>
      <c r="D665">
        <v>2.5</v>
      </c>
      <c r="E665" t="s">
        <v>17</v>
      </c>
      <c r="F665">
        <v>4.5999999999999996</v>
      </c>
      <c r="G665">
        <v>1.6</v>
      </c>
      <c r="H665">
        <f t="shared" si="51"/>
        <v>4.0999999999999996</v>
      </c>
      <c r="I665">
        <v>3.22</v>
      </c>
      <c r="J665" t="str">
        <f t="shared" si="52"/>
        <v>Second class upper</v>
      </c>
      <c r="K665">
        <v>0.9</v>
      </c>
      <c r="L665" t="s">
        <v>22</v>
      </c>
      <c r="M665">
        <v>6</v>
      </c>
      <c r="N665">
        <v>4</v>
      </c>
      <c r="O665">
        <v>3</v>
      </c>
      <c r="P665">
        <v>0</v>
      </c>
      <c r="Q665">
        <f t="shared" si="53"/>
        <v>13</v>
      </c>
      <c r="S665" t="str">
        <f t="shared" si="54"/>
        <v>Mentally Strained</v>
      </c>
    </row>
    <row r="666" spans="1:19" x14ac:dyDescent="0.25">
      <c r="A666">
        <v>18</v>
      </c>
      <c r="B666" t="str">
        <f t="shared" si="50"/>
        <v>Old Teenager</v>
      </c>
      <c r="C666" t="s">
        <v>16</v>
      </c>
      <c r="D666">
        <v>2.2000000000000002</v>
      </c>
      <c r="E666" t="s">
        <v>23</v>
      </c>
      <c r="F666">
        <v>4.5</v>
      </c>
      <c r="G666">
        <v>2</v>
      </c>
      <c r="H666">
        <f t="shared" si="51"/>
        <v>4.2</v>
      </c>
      <c r="I666">
        <v>2.4900000000000002</v>
      </c>
      <c r="J666" t="str">
        <f t="shared" si="52"/>
        <v>third class</v>
      </c>
      <c r="K666">
        <v>0.8</v>
      </c>
      <c r="L666" t="s">
        <v>21</v>
      </c>
      <c r="M666">
        <v>1</v>
      </c>
      <c r="N666">
        <v>7</v>
      </c>
      <c r="O666">
        <v>6</v>
      </c>
      <c r="P666">
        <v>0</v>
      </c>
      <c r="Q666">
        <f t="shared" si="53"/>
        <v>14</v>
      </c>
      <c r="S666" t="str">
        <f t="shared" si="54"/>
        <v>Mentally Strained</v>
      </c>
    </row>
    <row r="667" spans="1:19" x14ac:dyDescent="0.25">
      <c r="A667">
        <v>16</v>
      </c>
      <c r="B667" t="str">
        <f t="shared" si="50"/>
        <v>Old Teenager</v>
      </c>
      <c r="C667" t="s">
        <v>16</v>
      </c>
      <c r="D667">
        <v>4.0999999999999996</v>
      </c>
      <c r="E667" t="s">
        <v>23</v>
      </c>
      <c r="F667">
        <v>5.5</v>
      </c>
      <c r="G667">
        <v>1.9</v>
      </c>
      <c r="H667">
        <f t="shared" si="51"/>
        <v>6</v>
      </c>
      <c r="I667">
        <v>2.65</v>
      </c>
      <c r="J667" t="str">
        <f t="shared" si="52"/>
        <v>Second class lower</v>
      </c>
      <c r="K667">
        <v>1.5</v>
      </c>
      <c r="L667" t="s">
        <v>18</v>
      </c>
      <c r="M667">
        <v>5</v>
      </c>
      <c r="N667">
        <v>7</v>
      </c>
      <c r="O667">
        <v>9</v>
      </c>
      <c r="P667">
        <v>0</v>
      </c>
      <c r="Q667">
        <f t="shared" si="53"/>
        <v>21</v>
      </c>
      <c r="S667" t="str">
        <f t="shared" si="54"/>
        <v>Mentally Unstable</v>
      </c>
    </row>
    <row r="668" spans="1:19" x14ac:dyDescent="0.25">
      <c r="A668">
        <v>16</v>
      </c>
      <c r="B668" t="str">
        <f t="shared" si="50"/>
        <v>Old Teenager</v>
      </c>
      <c r="C668" t="s">
        <v>19</v>
      </c>
      <c r="D668">
        <v>2.8</v>
      </c>
      <c r="E668" t="s">
        <v>20</v>
      </c>
      <c r="F668">
        <v>7.4</v>
      </c>
      <c r="G668">
        <v>2</v>
      </c>
      <c r="H668">
        <f t="shared" si="51"/>
        <v>4.8</v>
      </c>
      <c r="I668">
        <v>3.4</v>
      </c>
      <c r="J668" t="str">
        <f t="shared" si="52"/>
        <v>Second class upper</v>
      </c>
      <c r="K668">
        <v>1.6</v>
      </c>
      <c r="L668" t="s">
        <v>18</v>
      </c>
      <c r="M668">
        <v>4</v>
      </c>
      <c r="N668">
        <v>1</v>
      </c>
      <c r="O668">
        <v>1</v>
      </c>
      <c r="P668">
        <v>0</v>
      </c>
      <c r="Q668">
        <f t="shared" si="53"/>
        <v>6</v>
      </c>
      <c r="S668" t="str">
        <f t="shared" si="54"/>
        <v>Mentally Sound</v>
      </c>
    </row>
    <row r="669" spans="1:19" x14ac:dyDescent="0.25">
      <c r="A669">
        <v>17</v>
      </c>
      <c r="B669" t="str">
        <f t="shared" si="50"/>
        <v>Old Teenager</v>
      </c>
      <c r="C669" t="s">
        <v>19</v>
      </c>
      <c r="D669">
        <v>1.1000000000000001</v>
      </c>
      <c r="E669" t="s">
        <v>20</v>
      </c>
      <c r="F669">
        <v>8.1999999999999993</v>
      </c>
      <c r="G669">
        <v>2.7</v>
      </c>
      <c r="H669">
        <f t="shared" si="51"/>
        <v>3.8000000000000003</v>
      </c>
      <c r="I669">
        <v>2.84</v>
      </c>
      <c r="J669" t="str">
        <f t="shared" si="52"/>
        <v>Second class lower</v>
      </c>
      <c r="K669">
        <v>0.2</v>
      </c>
      <c r="L669" t="s">
        <v>21</v>
      </c>
      <c r="M669">
        <v>2</v>
      </c>
      <c r="N669">
        <v>4</v>
      </c>
      <c r="O669">
        <v>1</v>
      </c>
      <c r="P669">
        <v>0</v>
      </c>
      <c r="Q669">
        <f t="shared" si="53"/>
        <v>7</v>
      </c>
      <c r="S669" t="str">
        <f t="shared" si="54"/>
        <v>Mentally Sound</v>
      </c>
    </row>
    <row r="670" spans="1:19" x14ac:dyDescent="0.25">
      <c r="A670">
        <v>13</v>
      </c>
      <c r="B670" t="str">
        <f t="shared" si="50"/>
        <v>Young Teenager</v>
      </c>
      <c r="C670" t="s">
        <v>16</v>
      </c>
      <c r="D670">
        <v>7</v>
      </c>
      <c r="E670" t="s">
        <v>23</v>
      </c>
      <c r="F670">
        <v>5.7</v>
      </c>
      <c r="G670">
        <v>1.6</v>
      </c>
      <c r="H670">
        <f t="shared" si="51"/>
        <v>8.6</v>
      </c>
      <c r="I670">
        <v>3.45</v>
      </c>
      <c r="J670" t="str">
        <f t="shared" si="52"/>
        <v>Second class upper</v>
      </c>
      <c r="K670">
        <v>1.2</v>
      </c>
      <c r="L670" t="s">
        <v>22</v>
      </c>
      <c r="M670">
        <v>7</v>
      </c>
      <c r="N670">
        <v>1</v>
      </c>
      <c r="O670">
        <v>10</v>
      </c>
      <c r="P670">
        <v>0</v>
      </c>
      <c r="Q670">
        <f t="shared" si="53"/>
        <v>18</v>
      </c>
      <c r="S670" t="str">
        <f t="shared" si="54"/>
        <v>Mentally Strained</v>
      </c>
    </row>
    <row r="671" spans="1:19" x14ac:dyDescent="0.25">
      <c r="A671">
        <v>18</v>
      </c>
      <c r="B671" t="str">
        <f t="shared" si="50"/>
        <v>Old Teenager</v>
      </c>
      <c r="C671" t="s">
        <v>16</v>
      </c>
      <c r="D671">
        <v>2.6</v>
      </c>
      <c r="E671" t="s">
        <v>20</v>
      </c>
      <c r="F671">
        <v>7.9</v>
      </c>
      <c r="G671">
        <v>2.2999999999999998</v>
      </c>
      <c r="H671">
        <f t="shared" si="51"/>
        <v>4.9000000000000004</v>
      </c>
      <c r="I671">
        <v>2.4300000000000002</v>
      </c>
      <c r="J671" t="str">
        <f t="shared" si="52"/>
        <v>third class</v>
      </c>
      <c r="K671">
        <v>0.1</v>
      </c>
      <c r="L671" t="s">
        <v>21</v>
      </c>
      <c r="M671">
        <v>5</v>
      </c>
      <c r="N671">
        <v>1</v>
      </c>
      <c r="O671">
        <v>6</v>
      </c>
      <c r="P671">
        <v>0</v>
      </c>
      <c r="Q671">
        <f t="shared" si="53"/>
        <v>12</v>
      </c>
      <c r="S671" t="str">
        <f t="shared" si="54"/>
        <v>Mentally Strained</v>
      </c>
    </row>
    <row r="672" spans="1:19" x14ac:dyDescent="0.25">
      <c r="A672">
        <v>13</v>
      </c>
      <c r="B672" t="str">
        <f t="shared" si="50"/>
        <v>Young Teenager</v>
      </c>
      <c r="C672" t="s">
        <v>19</v>
      </c>
      <c r="D672">
        <v>2.6</v>
      </c>
      <c r="E672" t="s">
        <v>20</v>
      </c>
      <c r="F672">
        <v>6.1</v>
      </c>
      <c r="G672">
        <v>1.4</v>
      </c>
      <c r="H672">
        <f t="shared" si="51"/>
        <v>4</v>
      </c>
      <c r="I672">
        <v>2.11</v>
      </c>
      <c r="J672" t="str">
        <f t="shared" si="52"/>
        <v>third class</v>
      </c>
      <c r="K672">
        <v>0.4</v>
      </c>
      <c r="L672" t="s">
        <v>21</v>
      </c>
      <c r="M672">
        <v>7</v>
      </c>
      <c r="N672">
        <v>5</v>
      </c>
      <c r="O672">
        <v>10</v>
      </c>
      <c r="P672">
        <v>0</v>
      </c>
      <c r="Q672">
        <f t="shared" si="53"/>
        <v>22</v>
      </c>
      <c r="S672" t="str">
        <f t="shared" si="54"/>
        <v>Mentally Unstable</v>
      </c>
    </row>
    <row r="673" spans="1:19" x14ac:dyDescent="0.25">
      <c r="A673">
        <v>14</v>
      </c>
      <c r="B673" t="str">
        <f t="shared" si="50"/>
        <v>Young Teenager</v>
      </c>
      <c r="C673" t="s">
        <v>16</v>
      </c>
      <c r="D673">
        <v>3.4</v>
      </c>
      <c r="E673" t="s">
        <v>17</v>
      </c>
      <c r="F673">
        <v>4.5999999999999996</v>
      </c>
      <c r="G673">
        <v>2</v>
      </c>
      <c r="H673">
        <f t="shared" si="51"/>
        <v>5.4</v>
      </c>
      <c r="I673">
        <v>2.27</v>
      </c>
      <c r="J673" t="str">
        <f t="shared" si="52"/>
        <v>third class</v>
      </c>
      <c r="K673">
        <v>1.9</v>
      </c>
      <c r="L673" t="s">
        <v>21</v>
      </c>
      <c r="M673">
        <v>7</v>
      </c>
      <c r="N673">
        <v>10</v>
      </c>
      <c r="O673">
        <v>6</v>
      </c>
      <c r="P673">
        <v>0</v>
      </c>
      <c r="Q673">
        <f t="shared" si="53"/>
        <v>23</v>
      </c>
      <c r="S673" t="str">
        <f t="shared" si="54"/>
        <v>Mentally Unstable</v>
      </c>
    </row>
    <row r="674" spans="1:19" x14ac:dyDescent="0.25">
      <c r="A674">
        <v>14</v>
      </c>
      <c r="B674" t="str">
        <f t="shared" si="50"/>
        <v>Young Teenager</v>
      </c>
      <c r="C674" t="s">
        <v>16</v>
      </c>
      <c r="D674">
        <v>7.9</v>
      </c>
      <c r="E674" t="s">
        <v>17</v>
      </c>
      <c r="F674">
        <v>5.7</v>
      </c>
      <c r="G674">
        <v>1.6</v>
      </c>
      <c r="H674">
        <f t="shared" si="51"/>
        <v>9.5</v>
      </c>
      <c r="I674">
        <v>3.67</v>
      </c>
      <c r="J674" t="str">
        <f t="shared" si="52"/>
        <v>first class</v>
      </c>
      <c r="K674">
        <v>0.6</v>
      </c>
      <c r="L674" t="s">
        <v>22</v>
      </c>
      <c r="M674">
        <v>4</v>
      </c>
      <c r="N674">
        <v>3</v>
      </c>
      <c r="O674">
        <v>4</v>
      </c>
      <c r="P674">
        <v>0</v>
      </c>
      <c r="Q674">
        <f t="shared" si="53"/>
        <v>11</v>
      </c>
      <c r="S674" t="str">
        <f t="shared" si="54"/>
        <v>Mentally Strained</v>
      </c>
    </row>
    <row r="675" spans="1:19" x14ac:dyDescent="0.25">
      <c r="A675">
        <v>13</v>
      </c>
      <c r="B675" t="str">
        <f t="shared" si="50"/>
        <v>Young Teenager</v>
      </c>
      <c r="C675" t="s">
        <v>16</v>
      </c>
      <c r="D675">
        <v>5.0999999999999996</v>
      </c>
      <c r="E675" t="s">
        <v>20</v>
      </c>
      <c r="F675">
        <v>5.3</v>
      </c>
      <c r="G675">
        <v>2.6</v>
      </c>
      <c r="H675">
        <f t="shared" si="51"/>
        <v>7.6999999999999993</v>
      </c>
      <c r="I675">
        <v>2.95</v>
      </c>
      <c r="J675" t="str">
        <f t="shared" si="52"/>
        <v>Second class lower</v>
      </c>
      <c r="K675">
        <v>1.2</v>
      </c>
      <c r="L675" t="s">
        <v>22</v>
      </c>
      <c r="M675">
        <v>2</v>
      </c>
      <c r="N675">
        <v>6</v>
      </c>
      <c r="O675">
        <v>10</v>
      </c>
      <c r="P675">
        <v>0</v>
      </c>
      <c r="Q675">
        <f t="shared" si="53"/>
        <v>18</v>
      </c>
      <c r="S675" t="str">
        <f t="shared" si="54"/>
        <v>Mentally Strained</v>
      </c>
    </row>
    <row r="676" spans="1:19" x14ac:dyDescent="0.25">
      <c r="A676">
        <v>13</v>
      </c>
      <c r="B676" t="str">
        <f t="shared" si="50"/>
        <v>Young Teenager</v>
      </c>
      <c r="C676" t="s">
        <v>19</v>
      </c>
      <c r="D676">
        <v>2.8</v>
      </c>
      <c r="E676" t="s">
        <v>23</v>
      </c>
      <c r="F676">
        <v>6.4</v>
      </c>
      <c r="G676">
        <v>1.4</v>
      </c>
      <c r="H676">
        <f t="shared" si="51"/>
        <v>4.1999999999999993</v>
      </c>
      <c r="I676">
        <v>2.38</v>
      </c>
      <c r="J676" t="str">
        <f t="shared" si="52"/>
        <v>third class</v>
      </c>
      <c r="K676">
        <v>1.4</v>
      </c>
      <c r="L676" t="s">
        <v>22</v>
      </c>
      <c r="M676">
        <v>4</v>
      </c>
      <c r="N676">
        <v>8</v>
      </c>
      <c r="O676">
        <v>10</v>
      </c>
      <c r="P676">
        <v>0</v>
      </c>
      <c r="Q676">
        <f t="shared" si="53"/>
        <v>22</v>
      </c>
      <c r="S676" t="str">
        <f t="shared" si="54"/>
        <v>Mentally Unstable</v>
      </c>
    </row>
    <row r="677" spans="1:19" x14ac:dyDescent="0.25">
      <c r="A677">
        <v>19</v>
      </c>
      <c r="B677" t="str">
        <f t="shared" si="50"/>
        <v>Old Teenager</v>
      </c>
      <c r="C677" t="s">
        <v>19</v>
      </c>
      <c r="D677">
        <v>3.4</v>
      </c>
      <c r="E677" t="s">
        <v>20</v>
      </c>
      <c r="F677">
        <v>4.3</v>
      </c>
      <c r="G677">
        <v>0.7</v>
      </c>
      <c r="H677">
        <f t="shared" si="51"/>
        <v>4.0999999999999996</v>
      </c>
      <c r="I677">
        <v>2.17</v>
      </c>
      <c r="J677" t="str">
        <f t="shared" si="52"/>
        <v>third class</v>
      </c>
      <c r="K677">
        <v>0.7</v>
      </c>
      <c r="L677" t="s">
        <v>21</v>
      </c>
      <c r="M677">
        <v>3</v>
      </c>
      <c r="N677">
        <v>1</v>
      </c>
      <c r="O677">
        <v>4</v>
      </c>
      <c r="P677">
        <v>0</v>
      </c>
      <c r="Q677">
        <f t="shared" si="53"/>
        <v>8</v>
      </c>
      <c r="S677" t="str">
        <f t="shared" si="54"/>
        <v>Mentally Sound</v>
      </c>
    </row>
    <row r="678" spans="1:19" x14ac:dyDescent="0.25">
      <c r="A678">
        <v>18</v>
      </c>
      <c r="B678" t="str">
        <f t="shared" si="50"/>
        <v>Old Teenager</v>
      </c>
      <c r="C678" t="s">
        <v>16</v>
      </c>
      <c r="D678">
        <v>6.3</v>
      </c>
      <c r="E678" t="s">
        <v>23</v>
      </c>
      <c r="F678">
        <v>6.9</v>
      </c>
      <c r="G678">
        <v>1</v>
      </c>
      <c r="H678">
        <f t="shared" si="51"/>
        <v>7.3</v>
      </c>
      <c r="I678">
        <v>3.22</v>
      </c>
      <c r="J678" t="str">
        <f t="shared" si="52"/>
        <v>Second class upper</v>
      </c>
      <c r="K678">
        <v>0.8</v>
      </c>
      <c r="L678" t="s">
        <v>22</v>
      </c>
      <c r="M678">
        <v>4</v>
      </c>
      <c r="N678">
        <v>6</v>
      </c>
      <c r="O678">
        <v>1</v>
      </c>
      <c r="P678">
        <v>0</v>
      </c>
      <c r="Q678">
        <f t="shared" si="53"/>
        <v>11</v>
      </c>
      <c r="S678" t="str">
        <f t="shared" si="54"/>
        <v>Mentally Strained</v>
      </c>
    </row>
    <row r="679" spans="1:19" x14ac:dyDescent="0.25">
      <c r="A679">
        <v>17</v>
      </c>
      <c r="B679" t="str">
        <f t="shared" si="50"/>
        <v>Old Teenager</v>
      </c>
      <c r="C679" t="s">
        <v>19</v>
      </c>
      <c r="D679">
        <v>1.1000000000000001</v>
      </c>
      <c r="E679" t="s">
        <v>20</v>
      </c>
      <c r="F679">
        <v>4.5999999999999996</v>
      </c>
      <c r="G679">
        <v>2.5</v>
      </c>
      <c r="H679">
        <f t="shared" si="51"/>
        <v>3.6</v>
      </c>
      <c r="I679">
        <v>3.93</v>
      </c>
      <c r="J679" t="str">
        <f t="shared" si="52"/>
        <v>first class</v>
      </c>
      <c r="K679">
        <v>0.3</v>
      </c>
      <c r="L679" t="s">
        <v>21</v>
      </c>
      <c r="M679">
        <v>10</v>
      </c>
      <c r="N679">
        <v>6</v>
      </c>
      <c r="O679">
        <v>2</v>
      </c>
      <c r="P679">
        <v>0</v>
      </c>
      <c r="Q679">
        <f t="shared" si="53"/>
        <v>18</v>
      </c>
      <c r="S679" t="str">
        <f t="shared" si="54"/>
        <v>Mentally Strained</v>
      </c>
    </row>
    <row r="680" spans="1:19" x14ac:dyDescent="0.25">
      <c r="A680">
        <v>19</v>
      </c>
      <c r="B680" t="str">
        <f t="shared" si="50"/>
        <v>Old Teenager</v>
      </c>
      <c r="C680" t="s">
        <v>16</v>
      </c>
      <c r="D680">
        <v>3.8</v>
      </c>
      <c r="E680" t="s">
        <v>17</v>
      </c>
      <c r="F680">
        <v>7.1</v>
      </c>
      <c r="G680">
        <v>2.5</v>
      </c>
      <c r="H680">
        <f t="shared" si="51"/>
        <v>6.3</v>
      </c>
      <c r="I680">
        <v>3.81</v>
      </c>
      <c r="J680" t="str">
        <f t="shared" si="52"/>
        <v>first class</v>
      </c>
      <c r="K680">
        <v>0.9</v>
      </c>
      <c r="L680" t="s">
        <v>18</v>
      </c>
      <c r="M680">
        <v>6</v>
      </c>
      <c r="N680">
        <v>9</v>
      </c>
      <c r="O680">
        <v>4</v>
      </c>
      <c r="P680">
        <v>0</v>
      </c>
      <c r="Q680">
        <f t="shared" si="53"/>
        <v>19</v>
      </c>
      <c r="S680" t="str">
        <f t="shared" si="54"/>
        <v>Mentally Strained</v>
      </c>
    </row>
    <row r="681" spans="1:19" x14ac:dyDescent="0.25">
      <c r="A681">
        <v>13</v>
      </c>
      <c r="B681" t="str">
        <f t="shared" si="50"/>
        <v>Young Teenager</v>
      </c>
      <c r="C681" t="s">
        <v>16</v>
      </c>
      <c r="D681">
        <v>2.1</v>
      </c>
      <c r="E681" t="s">
        <v>17</v>
      </c>
      <c r="F681">
        <v>4.0999999999999996</v>
      </c>
      <c r="G681">
        <v>1.6</v>
      </c>
      <c r="H681">
        <f t="shared" si="51"/>
        <v>3.7</v>
      </c>
      <c r="I681">
        <v>2.12</v>
      </c>
      <c r="J681" t="str">
        <f t="shared" si="52"/>
        <v>third class</v>
      </c>
      <c r="K681">
        <v>1.8</v>
      </c>
      <c r="L681" t="s">
        <v>21</v>
      </c>
      <c r="M681">
        <v>10</v>
      </c>
      <c r="N681">
        <v>9</v>
      </c>
      <c r="O681">
        <v>6</v>
      </c>
      <c r="P681">
        <v>0</v>
      </c>
      <c r="Q681">
        <f t="shared" si="53"/>
        <v>25</v>
      </c>
      <c r="S681" t="str">
        <f t="shared" si="54"/>
        <v>Mentally Unstable</v>
      </c>
    </row>
    <row r="682" spans="1:19" x14ac:dyDescent="0.25">
      <c r="A682">
        <v>17</v>
      </c>
      <c r="B682" t="str">
        <f t="shared" si="50"/>
        <v>Old Teenager</v>
      </c>
      <c r="C682" t="s">
        <v>19</v>
      </c>
      <c r="D682">
        <v>6.2</v>
      </c>
      <c r="E682" t="s">
        <v>23</v>
      </c>
      <c r="F682">
        <v>6.1</v>
      </c>
      <c r="G682">
        <v>2.4</v>
      </c>
      <c r="H682">
        <f t="shared" si="51"/>
        <v>8.6</v>
      </c>
      <c r="I682">
        <v>3.05</v>
      </c>
      <c r="J682" t="str">
        <f t="shared" si="52"/>
        <v>Second class upper</v>
      </c>
      <c r="K682">
        <v>1.8</v>
      </c>
      <c r="L682" t="s">
        <v>21</v>
      </c>
      <c r="M682">
        <v>3</v>
      </c>
      <c r="N682">
        <v>6</v>
      </c>
      <c r="O682">
        <v>8</v>
      </c>
      <c r="P682">
        <v>0</v>
      </c>
      <c r="Q682">
        <f t="shared" si="53"/>
        <v>17</v>
      </c>
      <c r="S682" t="str">
        <f t="shared" si="54"/>
        <v>Mentally Strained</v>
      </c>
    </row>
    <row r="683" spans="1:19" x14ac:dyDescent="0.25">
      <c r="A683">
        <v>19</v>
      </c>
      <c r="B683" t="str">
        <f t="shared" si="50"/>
        <v>Old Teenager</v>
      </c>
      <c r="C683" t="s">
        <v>16</v>
      </c>
      <c r="D683">
        <v>6.8</v>
      </c>
      <c r="E683" t="s">
        <v>17</v>
      </c>
      <c r="F683">
        <v>8.4</v>
      </c>
      <c r="G683">
        <v>2.1</v>
      </c>
      <c r="H683">
        <f t="shared" si="51"/>
        <v>8.9</v>
      </c>
      <c r="I683">
        <v>3.15</v>
      </c>
      <c r="J683" t="str">
        <f t="shared" si="52"/>
        <v>Second class upper</v>
      </c>
      <c r="K683">
        <v>2</v>
      </c>
      <c r="L683" t="s">
        <v>22</v>
      </c>
      <c r="M683">
        <v>4</v>
      </c>
      <c r="N683">
        <v>10</v>
      </c>
      <c r="O683">
        <v>1</v>
      </c>
      <c r="P683">
        <v>0</v>
      </c>
      <c r="Q683">
        <f t="shared" si="53"/>
        <v>15</v>
      </c>
      <c r="S683" t="str">
        <f t="shared" si="54"/>
        <v>Mentally Strained</v>
      </c>
    </row>
    <row r="684" spans="1:19" x14ac:dyDescent="0.25">
      <c r="A684">
        <v>14</v>
      </c>
      <c r="B684" t="str">
        <f t="shared" si="50"/>
        <v>Young Teenager</v>
      </c>
      <c r="C684" t="s">
        <v>16</v>
      </c>
      <c r="D684">
        <v>5.2</v>
      </c>
      <c r="E684" t="s">
        <v>17</v>
      </c>
      <c r="F684">
        <v>5.5</v>
      </c>
      <c r="G684">
        <v>1.6</v>
      </c>
      <c r="H684">
        <f t="shared" si="51"/>
        <v>6.8000000000000007</v>
      </c>
      <c r="I684">
        <v>3.08</v>
      </c>
      <c r="J684" t="str">
        <f t="shared" si="52"/>
        <v>Second class upper</v>
      </c>
      <c r="K684">
        <v>0.5</v>
      </c>
      <c r="L684" t="s">
        <v>22</v>
      </c>
      <c r="M684">
        <v>3</v>
      </c>
      <c r="N684">
        <v>8</v>
      </c>
      <c r="O684">
        <v>1</v>
      </c>
      <c r="P684">
        <v>0</v>
      </c>
      <c r="Q684">
        <f t="shared" si="53"/>
        <v>12</v>
      </c>
      <c r="S684" t="str">
        <f t="shared" si="54"/>
        <v>Mentally Strained</v>
      </c>
    </row>
    <row r="685" spans="1:19" x14ac:dyDescent="0.25">
      <c r="A685">
        <v>15</v>
      </c>
      <c r="B685" t="str">
        <f t="shared" si="50"/>
        <v>Young Teenager</v>
      </c>
      <c r="C685" t="s">
        <v>16</v>
      </c>
      <c r="D685">
        <v>3.7</v>
      </c>
      <c r="E685" t="s">
        <v>23</v>
      </c>
      <c r="F685">
        <v>4</v>
      </c>
      <c r="G685">
        <v>0.9</v>
      </c>
      <c r="H685">
        <f t="shared" si="51"/>
        <v>4.6000000000000005</v>
      </c>
      <c r="I685">
        <v>3</v>
      </c>
      <c r="J685" t="str">
        <f t="shared" si="52"/>
        <v>Second class upper</v>
      </c>
      <c r="K685">
        <v>1.4</v>
      </c>
      <c r="L685" t="s">
        <v>22</v>
      </c>
      <c r="M685">
        <v>1</v>
      </c>
      <c r="N685">
        <v>8</v>
      </c>
      <c r="O685">
        <v>10</v>
      </c>
      <c r="P685">
        <v>0</v>
      </c>
      <c r="Q685">
        <f t="shared" si="53"/>
        <v>19</v>
      </c>
      <c r="S685" t="str">
        <f t="shared" si="54"/>
        <v>Mentally Strained</v>
      </c>
    </row>
    <row r="686" spans="1:19" x14ac:dyDescent="0.25">
      <c r="A686">
        <v>19</v>
      </c>
      <c r="B686" t="str">
        <f t="shared" si="50"/>
        <v>Old Teenager</v>
      </c>
      <c r="C686" t="s">
        <v>16</v>
      </c>
      <c r="D686">
        <v>2.4</v>
      </c>
      <c r="E686" t="s">
        <v>23</v>
      </c>
      <c r="F686">
        <v>7.5</v>
      </c>
      <c r="G686">
        <v>1.8</v>
      </c>
      <c r="H686">
        <f t="shared" si="51"/>
        <v>4.2</v>
      </c>
      <c r="I686">
        <v>2.35</v>
      </c>
      <c r="J686" t="str">
        <f t="shared" si="52"/>
        <v>third class</v>
      </c>
      <c r="K686">
        <v>1.4</v>
      </c>
      <c r="L686" t="s">
        <v>18</v>
      </c>
      <c r="M686">
        <v>3</v>
      </c>
      <c r="N686">
        <v>8</v>
      </c>
      <c r="O686">
        <v>6</v>
      </c>
      <c r="P686">
        <v>0</v>
      </c>
      <c r="Q686">
        <f t="shared" si="53"/>
        <v>17</v>
      </c>
      <c r="S686" t="str">
        <f t="shared" si="54"/>
        <v>Mentally Strained</v>
      </c>
    </row>
    <row r="687" spans="1:19" x14ac:dyDescent="0.25">
      <c r="A687">
        <v>13</v>
      </c>
      <c r="B687" t="str">
        <f t="shared" si="50"/>
        <v>Young Teenager</v>
      </c>
      <c r="C687" t="s">
        <v>16</v>
      </c>
      <c r="D687">
        <v>2.1</v>
      </c>
      <c r="E687" t="s">
        <v>20</v>
      </c>
      <c r="F687">
        <v>5.8</v>
      </c>
      <c r="G687">
        <v>2.7</v>
      </c>
      <c r="H687">
        <f t="shared" si="51"/>
        <v>4.8000000000000007</v>
      </c>
      <c r="I687">
        <v>3.83</v>
      </c>
      <c r="J687" t="str">
        <f t="shared" si="52"/>
        <v>first class</v>
      </c>
      <c r="K687">
        <v>1.9</v>
      </c>
      <c r="L687" t="s">
        <v>18</v>
      </c>
      <c r="M687">
        <v>4</v>
      </c>
      <c r="N687">
        <v>6</v>
      </c>
      <c r="O687">
        <v>6</v>
      </c>
      <c r="P687">
        <v>0</v>
      </c>
      <c r="Q687">
        <f t="shared" si="53"/>
        <v>16</v>
      </c>
      <c r="S687" t="str">
        <f t="shared" si="54"/>
        <v>Mentally Strained</v>
      </c>
    </row>
    <row r="688" spans="1:19" x14ac:dyDescent="0.25">
      <c r="A688">
        <v>17</v>
      </c>
      <c r="B688" t="str">
        <f t="shared" si="50"/>
        <v>Old Teenager</v>
      </c>
      <c r="C688" t="s">
        <v>19</v>
      </c>
      <c r="D688">
        <v>2.6</v>
      </c>
      <c r="E688" t="s">
        <v>20</v>
      </c>
      <c r="F688">
        <v>4.2</v>
      </c>
      <c r="G688">
        <v>0.7</v>
      </c>
      <c r="H688">
        <f t="shared" si="51"/>
        <v>3.3</v>
      </c>
      <c r="I688">
        <v>3.02</v>
      </c>
      <c r="J688" t="str">
        <f t="shared" si="52"/>
        <v>Second class upper</v>
      </c>
      <c r="K688">
        <v>1.6</v>
      </c>
      <c r="L688" t="s">
        <v>18</v>
      </c>
      <c r="M688">
        <v>7</v>
      </c>
      <c r="N688">
        <v>4</v>
      </c>
      <c r="O688">
        <v>7</v>
      </c>
      <c r="P688">
        <v>0</v>
      </c>
      <c r="Q688">
        <f t="shared" si="53"/>
        <v>18</v>
      </c>
      <c r="S688" t="str">
        <f t="shared" si="54"/>
        <v>Mentally Strained</v>
      </c>
    </row>
    <row r="689" spans="1:19" x14ac:dyDescent="0.25">
      <c r="A689">
        <v>19</v>
      </c>
      <c r="B689" t="str">
        <f t="shared" si="50"/>
        <v>Old Teenager</v>
      </c>
      <c r="C689" t="s">
        <v>16</v>
      </c>
      <c r="D689">
        <v>6.5</v>
      </c>
      <c r="E689" t="s">
        <v>17</v>
      </c>
      <c r="F689">
        <v>6</v>
      </c>
      <c r="G689">
        <v>1.5</v>
      </c>
      <c r="H689">
        <f t="shared" si="51"/>
        <v>8</v>
      </c>
      <c r="I689">
        <v>2.12</v>
      </c>
      <c r="J689" t="str">
        <f t="shared" si="52"/>
        <v>third class</v>
      </c>
      <c r="K689">
        <v>1.7</v>
      </c>
      <c r="L689" t="s">
        <v>22</v>
      </c>
      <c r="M689">
        <v>8</v>
      </c>
      <c r="N689">
        <v>5</v>
      </c>
      <c r="O689">
        <v>7</v>
      </c>
      <c r="P689">
        <v>0</v>
      </c>
      <c r="Q689">
        <f t="shared" si="53"/>
        <v>20</v>
      </c>
      <c r="S689" t="str">
        <f t="shared" si="54"/>
        <v>Mentally Unstable</v>
      </c>
    </row>
    <row r="690" spans="1:19" x14ac:dyDescent="0.25">
      <c r="A690">
        <v>16</v>
      </c>
      <c r="B690" t="str">
        <f t="shared" si="50"/>
        <v>Old Teenager</v>
      </c>
      <c r="C690" t="s">
        <v>19</v>
      </c>
      <c r="D690">
        <v>3.4</v>
      </c>
      <c r="E690" t="s">
        <v>17</v>
      </c>
      <c r="F690">
        <v>5.3</v>
      </c>
      <c r="G690">
        <v>1.8</v>
      </c>
      <c r="H690">
        <f t="shared" si="51"/>
        <v>5.2</v>
      </c>
      <c r="I690">
        <v>3.33</v>
      </c>
      <c r="J690" t="str">
        <f t="shared" si="52"/>
        <v>Second class upper</v>
      </c>
      <c r="K690">
        <v>0.3</v>
      </c>
      <c r="L690" t="s">
        <v>18</v>
      </c>
      <c r="M690">
        <v>9</v>
      </c>
      <c r="N690">
        <v>2</v>
      </c>
      <c r="O690">
        <v>4</v>
      </c>
      <c r="P690">
        <v>0</v>
      </c>
      <c r="Q690">
        <f t="shared" si="53"/>
        <v>15</v>
      </c>
      <c r="S690" t="str">
        <f t="shared" si="54"/>
        <v>Mentally Strained</v>
      </c>
    </row>
    <row r="691" spans="1:19" x14ac:dyDescent="0.25">
      <c r="A691">
        <v>16</v>
      </c>
      <c r="B691" t="str">
        <f t="shared" si="50"/>
        <v>Old Teenager</v>
      </c>
      <c r="C691" t="s">
        <v>16</v>
      </c>
      <c r="D691">
        <v>1.7</v>
      </c>
      <c r="E691" t="s">
        <v>23</v>
      </c>
      <c r="F691">
        <v>4.3</v>
      </c>
      <c r="G691">
        <v>1.4</v>
      </c>
      <c r="H691">
        <f t="shared" si="51"/>
        <v>3.0999999999999996</v>
      </c>
      <c r="I691">
        <v>3.27</v>
      </c>
      <c r="J691" t="str">
        <f t="shared" si="52"/>
        <v>Second class upper</v>
      </c>
      <c r="K691">
        <v>1.2</v>
      </c>
      <c r="L691" t="s">
        <v>22</v>
      </c>
      <c r="M691">
        <v>10</v>
      </c>
      <c r="N691">
        <v>4</v>
      </c>
      <c r="O691">
        <v>10</v>
      </c>
      <c r="P691">
        <v>0</v>
      </c>
      <c r="Q691">
        <f t="shared" si="53"/>
        <v>24</v>
      </c>
      <c r="S691" t="str">
        <f t="shared" si="54"/>
        <v>Mentally Unstable</v>
      </c>
    </row>
    <row r="692" spans="1:19" x14ac:dyDescent="0.25">
      <c r="A692">
        <v>13</v>
      </c>
      <c r="B692" t="str">
        <f t="shared" si="50"/>
        <v>Young Teenager</v>
      </c>
      <c r="C692" t="s">
        <v>16</v>
      </c>
      <c r="D692">
        <v>5.6</v>
      </c>
      <c r="E692" t="s">
        <v>23</v>
      </c>
      <c r="F692">
        <v>4.4000000000000004</v>
      </c>
      <c r="G692">
        <v>2.9</v>
      </c>
      <c r="H692">
        <f t="shared" si="51"/>
        <v>8.5</v>
      </c>
      <c r="I692">
        <v>3.19</v>
      </c>
      <c r="J692" t="str">
        <f t="shared" si="52"/>
        <v>Second class upper</v>
      </c>
      <c r="K692">
        <v>0.9</v>
      </c>
      <c r="L692" t="s">
        <v>22</v>
      </c>
      <c r="M692">
        <v>6</v>
      </c>
      <c r="N692">
        <v>3</v>
      </c>
      <c r="O692">
        <v>4</v>
      </c>
      <c r="P692">
        <v>0</v>
      </c>
      <c r="Q692">
        <f t="shared" si="53"/>
        <v>13</v>
      </c>
      <c r="S692" t="str">
        <f t="shared" si="54"/>
        <v>Mentally Strained</v>
      </c>
    </row>
    <row r="693" spans="1:19" x14ac:dyDescent="0.25">
      <c r="A693">
        <v>15</v>
      </c>
      <c r="B693" t="str">
        <f t="shared" si="50"/>
        <v>Young Teenager</v>
      </c>
      <c r="C693" t="s">
        <v>19</v>
      </c>
      <c r="D693">
        <v>8</v>
      </c>
      <c r="E693" t="s">
        <v>23</v>
      </c>
      <c r="F693">
        <v>5.7</v>
      </c>
      <c r="G693">
        <v>1.3</v>
      </c>
      <c r="H693">
        <f t="shared" si="51"/>
        <v>9.3000000000000007</v>
      </c>
      <c r="I693">
        <v>3.54</v>
      </c>
      <c r="J693" t="str">
        <f t="shared" si="52"/>
        <v>Second class upper</v>
      </c>
      <c r="K693">
        <v>0.1</v>
      </c>
      <c r="L693" t="s">
        <v>21</v>
      </c>
      <c r="M693">
        <v>9</v>
      </c>
      <c r="N693">
        <v>7</v>
      </c>
      <c r="O693">
        <v>5</v>
      </c>
      <c r="P693">
        <v>1</v>
      </c>
      <c r="Q693">
        <f t="shared" si="53"/>
        <v>22</v>
      </c>
      <c r="S693" t="str">
        <f t="shared" si="54"/>
        <v>Mentally Unstable</v>
      </c>
    </row>
    <row r="694" spans="1:19" x14ac:dyDescent="0.25">
      <c r="A694">
        <v>15</v>
      </c>
      <c r="B694" t="str">
        <f t="shared" si="50"/>
        <v>Young Teenager</v>
      </c>
      <c r="C694" t="s">
        <v>19</v>
      </c>
      <c r="D694">
        <v>5.7</v>
      </c>
      <c r="E694" t="s">
        <v>17</v>
      </c>
      <c r="F694">
        <v>8.4</v>
      </c>
      <c r="G694">
        <v>1.3</v>
      </c>
      <c r="H694">
        <f t="shared" si="51"/>
        <v>7</v>
      </c>
      <c r="I694">
        <v>2.48</v>
      </c>
      <c r="J694" t="str">
        <f t="shared" si="52"/>
        <v>third class</v>
      </c>
      <c r="K694">
        <v>0.9</v>
      </c>
      <c r="L694" t="s">
        <v>21</v>
      </c>
      <c r="M694">
        <v>5</v>
      </c>
      <c r="N694">
        <v>2</v>
      </c>
      <c r="O694">
        <v>4</v>
      </c>
      <c r="P694">
        <v>0</v>
      </c>
      <c r="Q694">
        <f t="shared" si="53"/>
        <v>11</v>
      </c>
      <c r="S694" t="str">
        <f t="shared" si="54"/>
        <v>Mentally Strained</v>
      </c>
    </row>
    <row r="695" spans="1:19" x14ac:dyDescent="0.25">
      <c r="A695">
        <v>16</v>
      </c>
      <c r="B695" t="str">
        <f t="shared" si="50"/>
        <v>Old Teenager</v>
      </c>
      <c r="C695" t="s">
        <v>19</v>
      </c>
      <c r="D695">
        <v>4</v>
      </c>
      <c r="E695" t="s">
        <v>20</v>
      </c>
      <c r="F695">
        <v>5.4</v>
      </c>
      <c r="G695">
        <v>2.7</v>
      </c>
      <c r="H695">
        <f t="shared" si="51"/>
        <v>6.7</v>
      </c>
      <c r="I695">
        <v>2.88</v>
      </c>
      <c r="J695" t="str">
        <f t="shared" si="52"/>
        <v>Second class lower</v>
      </c>
      <c r="K695">
        <v>1.2</v>
      </c>
      <c r="L695" t="s">
        <v>22</v>
      </c>
      <c r="M695">
        <v>4</v>
      </c>
      <c r="N695">
        <v>10</v>
      </c>
      <c r="O695">
        <v>1</v>
      </c>
      <c r="P695">
        <v>0</v>
      </c>
      <c r="Q695">
        <f t="shared" si="53"/>
        <v>15</v>
      </c>
      <c r="S695" t="str">
        <f t="shared" si="54"/>
        <v>Mentally Strained</v>
      </c>
    </row>
    <row r="696" spans="1:19" x14ac:dyDescent="0.25">
      <c r="A696">
        <v>13</v>
      </c>
      <c r="B696" t="str">
        <f t="shared" si="50"/>
        <v>Young Teenager</v>
      </c>
      <c r="C696" t="s">
        <v>19</v>
      </c>
      <c r="D696">
        <v>3.5</v>
      </c>
      <c r="E696" t="s">
        <v>17</v>
      </c>
      <c r="F696">
        <v>5.3</v>
      </c>
      <c r="G696">
        <v>1.7</v>
      </c>
      <c r="H696">
        <f t="shared" si="51"/>
        <v>5.2</v>
      </c>
      <c r="I696">
        <v>2.2000000000000002</v>
      </c>
      <c r="J696" t="str">
        <f t="shared" si="52"/>
        <v>third class</v>
      </c>
      <c r="K696">
        <v>0.8</v>
      </c>
      <c r="L696" t="s">
        <v>21</v>
      </c>
      <c r="M696">
        <v>6</v>
      </c>
      <c r="N696">
        <v>10</v>
      </c>
      <c r="O696">
        <v>8</v>
      </c>
      <c r="P696">
        <v>0</v>
      </c>
      <c r="Q696">
        <f t="shared" si="53"/>
        <v>24</v>
      </c>
      <c r="S696" t="str">
        <f t="shared" si="54"/>
        <v>Mentally Unstable</v>
      </c>
    </row>
    <row r="697" spans="1:19" x14ac:dyDescent="0.25">
      <c r="A697">
        <v>15</v>
      </c>
      <c r="B697" t="str">
        <f t="shared" si="50"/>
        <v>Young Teenager</v>
      </c>
      <c r="C697" t="s">
        <v>19</v>
      </c>
      <c r="D697">
        <v>4.2</v>
      </c>
      <c r="E697" t="s">
        <v>20</v>
      </c>
      <c r="F697">
        <v>5.5</v>
      </c>
      <c r="G697">
        <v>1.3</v>
      </c>
      <c r="H697">
        <f t="shared" si="51"/>
        <v>5.5</v>
      </c>
      <c r="I697">
        <v>3.49</v>
      </c>
      <c r="J697" t="str">
        <f t="shared" si="52"/>
        <v>Second class upper</v>
      </c>
      <c r="K697">
        <v>0.5</v>
      </c>
      <c r="L697" t="s">
        <v>18</v>
      </c>
      <c r="M697">
        <v>2</v>
      </c>
      <c r="N697">
        <v>5</v>
      </c>
      <c r="O697">
        <v>2</v>
      </c>
      <c r="P697">
        <v>0</v>
      </c>
      <c r="Q697">
        <f t="shared" si="53"/>
        <v>9</v>
      </c>
      <c r="S697" t="str">
        <f t="shared" si="54"/>
        <v>Mentally Sound</v>
      </c>
    </row>
    <row r="698" spans="1:19" x14ac:dyDescent="0.25">
      <c r="A698">
        <v>19</v>
      </c>
      <c r="B698" t="str">
        <f t="shared" si="50"/>
        <v>Old Teenager</v>
      </c>
      <c r="C698" t="s">
        <v>19</v>
      </c>
      <c r="D698">
        <v>3.9</v>
      </c>
      <c r="E698" t="s">
        <v>20</v>
      </c>
      <c r="F698">
        <v>7.4</v>
      </c>
      <c r="G698">
        <v>2.5</v>
      </c>
      <c r="H698">
        <f t="shared" si="51"/>
        <v>6.4</v>
      </c>
      <c r="I698">
        <v>3.74</v>
      </c>
      <c r="J698" t="str">
        <f t="shared" si="52"/>
        <v>first class</v>
      </c>
      <c r="K698">
        <v>0.3</v>
      </c>
      <c r="L698" t="s">
        <v>22</v>
      </c>
      <c r="M698">
        <v>5</v>
      </c>
      <c r="N698">
        <v>8</v>
      </c>
      <c r="O698">
        <v>3</v>
      </c>
      <c r="P698">
        <v>0</v>
      </c>
      <c r="Q698">
        <f t="shared" si="53"/>
        <v>16</v>
      </c>
      <c r="S698" t="str">
        <f t="shared" si="54"/>
        <v>Mentally Strained</v>
      </c>
    </row>
    <row r="699" spans="1:19" x14ac:dyDescent="0.25">
      <c r="A699">
        <v>17</v>
      </c>
      <c r="B699" t="str">
        <f t="shared" si="50"/>
        <v>Old Teenager</v>
      </c>
      <c r="C699" t="s">
        <v>19</v>
      </c>
      <c r="D699">
        <v>6.7</v>
      </c>
      <c r="E699" t="s">
        <v>17</v>
      </c>
      <c r="F699">
        <v>4.3</v>
      </c>
      <c r="G699">
        <v>0.6</v>
      </c>
      <c r="H699">
        <f t="shared" si="51"/>
        <v>7.3</v>
      </c>
      <c r="I699">
        <v>3.76</v>
      </c>
      <c r="J699" t="str">
        <f t="shared" si="52"/>
        <v>first class</v>
      </c>
      <c r="K699">
        <v>0</v>
      </c>
      <c r="L699" t="s">
        <v>18</v>
      </c>
      <c r="M699">
        <v>2</v>
      </c>
      <c r="N699">
        <v>1</v>
      </c>
      <c r="O699">
        <v>7</v>
      </c>
      <c r="P699">
        <v>0</v>
      </c>
      <c r="Q699">
        <f t="shared" si="53"/>
        <v>10</v>
      </c>
      <c r="S699" t="str">
        <f t="shared" si="54"/>
        <v>Mentally Strained</v>
      </c>
    </row>
    <row r="700" spans="1:19" x14ac:dyDescent="0.25">
      <c r="A700">
        <v>15</v>
      </c>
      <c r="B700" t="str">
        <f t="shared" si="50"/>
        <v>Young Teenager</v>
      </c>
      <c r="C700" t="s">
        <v>16</v>
      </c>
      <c r="D700">
        <v>6.7</v>
      </c>
      <c r="E700" t="s">
        <v>23</v>
      </c>
      <c r="F700">
        <v>4.3</v>
      </c>
      <c r="G700">
        <v>1.8</v>
      </c>
      <c r="H700">
        <f t="shared" si="51"/>
        <v>8.5</v>
      </c>
      <c r="I700">
        <v>3.69</v>
      </c>
      <c r="J700" t="str">
        <f t="shared" si="52"/>
        <v>first class</v>
      </c>
      <c r="K700">
        <v>0.7</v>
      </c>
      <c r="L700" t="s">
        <v>21</v>
      </c>
      <c r="M700">
        <v>2</v>
      </c>
      <c r="N700">
        <v>8</v>
      </c>
      <c r="O700">
        <v>7</v>
      </c>
      <c r="P700">
        <v>0</v>
      </c>
      <c r="Q700">
        <f t="shared" si="53"/>
        <v>17</v>
      </c>
      <c r="S700" t="str">
        <f t="shared" si="54"/>
        <v>Mentally Strained</v>
      </c>
    </row>
    <row r="701" spans="1:19" x14ac:dyDescent="0.25">
      <c r="A701">
        <v>14</v>
      </c>
      <c r="B701" t="str">
        <f t="shared" si="50"/>
        <v>Young Teenager</v>
      </c>
      <c r="C701" t="s">
        <v>19</v>
      </c>
      <c r="D701">
        <v>3.4</v>
      </c>
      <c r="E701" t="s">
        <v>17</v>
      </c>
      <c r="F701">
        <v>5.6</v>
      </c>
      <c r="G701">
        <v>1.7</v>
      </c>
      <c r="H701">
        <f t="shared" si="51"/>
        <v>5.0999999999999996</v>
      </c>
      <c r="I701">
        <v>3.38</v>
      </c>
      <c r="J701" t="str">
        <f t="shared" si="52"/>
        <v>Second class upper</v>
      </c>
      <c r="K701">
        <v>0.3</v>
      </c>
      <c r="L701" t="s">
        <v>21</v>
      </c>
      <c r="M701">
        <v>9</v>
      </c>
      <c r="N701">
        <v>3</v>
      </c>
      <c r="O701">
        <v>1</v>
      </c>
      <c r="P701">
        <v>0</v>
      </c>
      <c r="Q701">
        <f t="shared" si="53"/>
        <v>13</v>
      </c>
      <c r="S701" t="str">
        <f t="shared" si="54"/>
        <v>Mentally Strained</v>
      </c>
    </row>
    <row r="702" spans="1:19" x14ac:dyDescent="0.25">
      <c r="A702">
        <v>16</v>
      </c>
      <c r="B702" t="str">
        <f t="shared" si="50"/>
        <v>Old Teenager</v>
      </c>
      <c r="C702" t="s">
        <v>16</v>
      </c>
      <c r="D702">
        <v>5</v>
      </c>
      <c r="E702" t="s">
        <v>20</v>
      </c>
      <c r="F702">
        <v>4.3</v>
      </c>
      <c r="G702">
        <v>0.7</v>
      </c>
      <c r="H702">
        <f t="shared" si="51"/>
        <v>5.7</v>
      </c>
      <c r="I702">
        <v>3.68</v>
      </c>
      <c r="J702" t="str">
        <f t="shared" si="52"/>
        <v>first class</v>
      </c>
      <c r="K702">
        <v>1.2</v>
      </c>
      <c r="L702" t="s">
        <v>18</v>
      </c>
      <c r="M702">
        <v>6</v>
      </c>
      <c r="N702">
        <v>2</v>
      </c>
      <c r="O702">
        <v>4</v>
      </c>
      <c r="P702">
        <v>0</v>
      </c>
      <c r="Q702">
        <f t="shared" si="53"/>
        <v>12</v>
      </c>
      <c r="S702" t="str">
        <f t="shared" si="54"/>
        <v>Mentally Strained</v>
      </c>
    </row>
    <row r="703" spans="1:19" x14ac:dyDescent="0.25">
      <c r="A703">
        <v>18</v>
      </c>
      <c r="B703" t="str">
        <f t="shared" si="50"/>
        <v>Old Teenager</v>
      </c>
      <c r="C703" t="s">
        <v>19</v>
      </c>
      <c r="D703">
        <v>3.8</v>
      </c>
      <c r="E703" t="s">
        <v>17</v>
      </c>
      <c r="F703">
        <v>5.9</v>
      </c>
      <c r="G703">
        <v>1</v>
      </c>
      <c r="H703">
        <f t="shared" si="51"/>
        <v>4.8</v>
      </c>
      <c r="I703">
        <v>2.2200000000000002</v>
      </c>
      <c r="J703" t="str">
        <f t="shared" si="52"/>
        <v>third class</v>
      </c>
      <c r="K703">
        <v>0.6</v>
      </c>
      <c r="L703" t="s">
        <v>18</v>
      </c>
      <c r="M703">
        <v>9</v>
      </c>
      <c r="N703">
        <v>10</v>
      </c>
      <c r="O703">
        <v>9</v>
      </c>
      <c r="P703">
        <v>0</v>
      </c>
      <c r="Q703">
        <f t="shared" si="53"/>
        <v>28</v>
      </c>
      <c r="S703" t="str">
        <f t="shared" si="54"/>
        <v>Mentally Unstable</v>
      </c>
    </row>
    <row r="704" spans="1:19" x14ac:dyDescent="0.25">
      <c r="A704">
        <v>15</v>
      </c>
      <c r="B704" t="str">
        <f t="shared" si="50"/>
        <v>Young Teenager</v>
      </c>
      <c r="C704" t="s">
        <v>19</v>
      </c>
      <c r="D704">
        <v>7.3</v>
      </c>
      <c r="E704" t="s">
        <v>20</v>
      </c>
      <c r="F704">
        <v>7.3</v>
      </c>
      <c r="G704">
        <v>2.8</v>
      </c>
      <c r="H704">
        <f t="shared" si="51"/>
        <v>10.1</v>
      </c>
      <c r="I704">
        <v>2.46</v>
      </c>
      <c r="J704" t="str">
        <f t="shared" si="52"/>
        <v>third class</v>
      </c>
      <c r="K704">
        <v>0.3</v>
      </c>
      <c r="L704" t="s">
        <v>18</v>
      </c>
      <c r="M704">
        <v>2</v>
      </c>
      <c r="N704">
        <v>7</v>
      </c>
      <c r="O704">
        <v>5</v>
      </c>
      <c r="P704">
        <v>0</v>
      </c>
      <c r="Q704">
        <f t="shared" si="53"/>
        <v>14</v>
      </c>
      <c r="S704" t="str">
        <f t="shared" si="54"/>
        <v>Mentally Strained</v>
      </c>
    </row>
    <row r="705" spans="1:19" x14ac:dyDescent="0.25">
      <c r="A705">
        <v>18</v>
      </c>
      <c r="B705" t="str">
        <f t="shared" si="50"/>
        <v>Old Teenager</v>
      </c>
      <c r="C705" t="s">
        <v>19</v>
      </c>
      <c r="D705">
        <v>7.2</v>
      </c>
      <c r="E705" t="s">
        <v>20</v>
      </c>
      <c r="F705">
        <v>5</v>
      </c>
      <c r="G705">
        <v>1.4</v>
      </c>
      <c r="H705">
        <f t="shared" si="51"/>
        <v>8.6</v>
      </c>
      <c r="I705">
        <v>3.65</v>
      </c>
      <c r="J705" t="str">
        <f t="shared" si="52"/>
        <v>first class</v>
      </c>
      <c r="K705">
        <v>1.1000000000000001</v>
      </c>
      <c r="L705" t="s">
        <v>18</v>
      </c>
      <c r="M705">
        <v>8</v>
      </c>
      <c r="N705">
        <v>8</v>
      </c>
      <c r="O705">
        <v>4</v>
      </c>
      <c r="P705">
        <v>1</v>
      </c>
      <c r="Q705">
        <f t="shared" si="53"/>
        <v>21</v>
      </c>
      <c r="S705" t="str">
        <f t="shared" si="54"/>
        <v>Mentally Unstable</v>
      </c>
    </row>
    <row r="706" spans="1:19" x14ac:dyDescent="0.25">
      <c r="A706">
        <v>15</v>
      </c>
      <c r="B706" t="str">
        <f t="shared" si="50"/>
        <v>Young Teenager</v>
      </c>
      <c r="C706" t="s">
        <v>19</v>
      </c>
      <c r="D706">
        <v>3.1</v>
      </c>
      <c r="E706" t="s">
        <v>23</v>
      </c>
      <c r="F706">
        <v>4.2</v>
      </c>
      <c r="G706">
        <v>2.1</v>
      </c>
      <c r="H706">
        <f t="shared" si="51"/>
        <v>5.2</v>
      </c>
      <c r="I706">
        <v>3.21</v>
      </c>
      <c r="J706" t="str">
        <f t="shared" si="52"/>
        <v>Second class upper</v>
      </c>
      <c r="K706">
        <v>1.1000000000000001</v>
      </c>
      <c r="L706" t="s">
        <v>22</v>
      </c>
      <c r="M706">
        <v>8</v>
      </c>
      <c r="N706">
        <v>2</v>
      </c>
      <c r="O706">
        <v>10</v>
      </c>
      <c r="P706">
        <v>0</v>
      </c>
      <c r="Q706">
        <f t="shared" si="53"/>
        <v>20</v>
      </c>
      <c r="S706" t="str">
        <f t="shared" si="54"/>
        <v>Mentally Unstable</v>
      </c>
    </row>
    <row r="707" spans="1:19" x14ac:dyDescent="0.25">
      <c r="A707">
        <v>15</v>
      </c>
      <c r="B707" t="str">
        <f t="shared" ref="B707:B770" si="55">IF(A707&lt;=15,"Young Teenager","Old Teenager")</f>
        <v>Young Teenager</v>
      </c>
      <c r="C707" t="s">
        <v>19</v>
      </c>
      <c r="D707">
        <v>8</v>
      </c>
      <c r="E707" t="s">
        <v>17</v>
      </c>
      <c r="F707">
        <v>4.4000000000000004</v>
      </c>
      <c r="G707">
        <v>0.7</v>
      </c>
      <c r="H707">
        <f t="shared" ref="H707:H770" si="56">SUM(D707,G707)</f>
        <v>8.6999999999999993</v>
      </c>
      <c r="I707">
        <v>2.62</v>
      </c>
      <c r="J707" t="str">
        <f t="shared" ref="J707:J770" si="57">IF(I707&lt;=2.49,"third class",IF(I707&lt;3,"Second class lower",IF(I707&lt;3.6,"Second class upper","first class")))</f>
        <v>Second class lower</v>
      </c>
      <c r="K707">
        <v>1.6</v>
      </c>
      <c r="L707" t="s">
        <v>21</v>
      </c>
      <c r="M707">
        <v>6</v>
      </c>
      <c r="N707">
        <v>7</v>
      </c>
      <c r="O707">
        <v>2</v>
      </c>
      <c r="P707">
        <v>0</v>
      </c>
      <c r="Q707">
        <f t="shared" ref="Q707:Q770" si="58">SUM(M707:P707)</f>
        <v>15</v>
      </c>
      <c r="S707" t="str">
        <f t="shared" ref="S707:S770" si="59">IF(Q707&lt;10,"Mentally Sound",IF(Q707&gt;=20,"Mentally Unstable","Mentally Strained"))</f>
        <v>Mentally Strained</v>
      </c>
    </row>
    <row r="708" spans="1:19" x14ac:dyDescent="0.25">
      <c r="A708">
        <v>15</v>
      </c>
      <c r="B708" t="str">
        <f t="shared" si="55"/>
        <v>Young Teenager</v>
      </c>
      <c r="C708" t="s">
        <v>16</v>
      </c>
      <c r="D708">
        <v>4.3</v>
      </c>
      <c r="E708" t="s">
        <v>17</v>
      </c>
      <c r="F708">
        <v>7.5</v>
      </c>
      <c r="G708">
        <v>1.1000000000000001</v>
      </c>
      <c r="H708">
        <f t="shared" si="56"/>
        <v>5.4</v>
      </c>
      <c r="I708">
        <v>2.06</v>
      </c>
      <c r="J708" t="str">
        <f t="shared" si="57"/>
        <v>third class</v>
      </c>
      <c r="K708">
        <v>1.8</v>
      </c>
      <c r="L708" t="s">
        <v>22</v>
      </c>
      <c r="M708">
        <v>5</v>
      </c>
      <c r="N708">
        <v>7</v>
      </c>
      <c r="O708">
        <v>2</v>
      </c>
      <c r="P708">
        <v>0</v>
      </c>
      <c r="Q708">
        <f t="shared" si="58"/>
        <v>14</v>
      </c>
      <c r="S708" t="str">
        <f t="shared" si="59"/>
        <v>Mentally Strained</v>
      </c>
    </row>
    <row r="709" spans="1:19" x14ac:dyDescent="0.25">
      <c r="A709">
        <v>14</v>
      </c>
      <c r="B709" t="str">
        <f t="shared" si="55"/>
        <v>Young Teenager</v>
      </c>
      <c r="C709" t="s">
        <v>19</v>
      </c>
      <c r="D709">
        <v>4</v>
      </c>
      <c r="E709" t="s">
        <v>20</v>
      </c>
      <c r="F709">
        <v>5.0999999999999996</v>
      </c>
      <c r="G709">
        <v>1.1000000000000001</v>
      </c>
      <c r="H709">
        <f t="shared" si="56"/>
        <v>5.0999999999999996</v>
      </c>
      <c r="I709">
        <v>3.98</v>
      </c>
      <c r="J709" t="str">
        <f t="shared" si="57"/>
        <v>first class</v>
      </c>
      <c r="K709">
        <v>1.3</v>
      </c>
      <c r="L709" t="s">
        <v>22</v>
      </c>
      <c r="M709">
        <v>5</v>
      </c>
      <c r="N709">
        <v>4</v>
      </c>
      <c r="O709">
        <v>9</v>
      </c>
      <c r="P709">
        <v>0</v>
      </c>
      <c r="Q709">
        <f t="shared" si="58"/>
        <v>18</v>
      </c>
      <c r="S709" t="str">
        <f t="shared" si="59"/>
        <v>Mentally Strained</v>
      </c>
    </row>
    <row r="710" spans="1:19" x14ac:dyDescent="0.25">
      <c r="A710">
        <v>15</v>
      </c>
      <c r="B710" t="str">
        <f t="shared" si="55"/>
        <v>Young Teenager</v>
      </c>
      <c r="C710" t="s">
        <v>16</v>
      </c>
      <c r="D710">
        <v>6.9</v>
      </c>
      <c r="E710" t="s">
        <v>20</v>
      </c>
      <c r="F710">
        <v>5.6</v>
      </c>
      <c r="G710">
        <v>1.4</v>
      </c>
      <c r="H710">
        <f t="shared" si="56"/>
        <v>8.3000000000000007</v>
      </c>
      <c r="I710">
        <v>2.09</v>
      </c>
      <c r="J710" t="str">
        <f t="shared" si="57"/>
        <v>third class</v>
      </c>
      <c r="K710">
        <v>0.7</v>
      </c>
      <c r="L710" t="s">
        <v>18</v>
      </c>
      <c r="M710">
        <v>9</v>
      </c>
      <c r="N710">
        <v>5</v>
      </c>
      <c r="O710">
        <v>9</v>
      </c>
      <c r="P710">
        <v>0</v>
      </c>
      <c r="Q710">
        <f t="shared" si="58"/>
        <v>23</v>
      </c>
      <c r="S710" t="str">
        <f t="shared" si="59"/>
        <v>Mentally Unstable</v>
      </c>
    </row>
    <row r="711" spans="1:19" x14ac:dyDescent="0.25">
      <c r="A711">
        <v>13</v>
      </c>
      <c r="B711" t="str">
        <f t="shared" si="55"/>
        <v>Young Teenager</v>
      </c>
      <c r="C711" t="s">
        <v>16</v>
      </c>
      <c r="D711">
        <v>7</v>
      </c>
      <c r="E711" t="s">
        <v>20</v>
      </c>
      <c r="F711">
        <v>4.4000000000000004</v>
      </c>
      <c r="G711">
        <v>0.9</v>
      </c>
      <c r="H711">
        <f t="shared" si="56"/>
        <v>7.9</v>
      </c>
      <c r="I711">
        <v>3.67</v>
      </c>
      <c r="J711" t="str">
        <f t="shared" si="57"/>
        <v>first class</v>
      </c>
      <c r="K711">
        <v>0.4</v>
      </c>
      <c r="L711" t="s">
        <v>18</v>
      </c>
      <c r="M711">
        <v>5</v>
      </c>
      <c r="N711">
        <v>3</v>
      </c>
      <c r="O711">
        <v>6</v>
      </c>
      <c r="P711">
        <v>0</v>
      </c>
      <c r="Q711">
        <f t="shared" si="58"/>
        <v>14</v>
      </c>
      <c r="S711" t="str">
        <f t="shared" si="59"/>
        <v>Mentally Strained</v>
      </c>
    </row>
    <row r="712" spans="1:19" x14ac:dyDescent="0.25">
      <c r="A712">
        <v>13</v>
      </c>
      <c r="B712" t="str">
        <f t="shared" si="55"/>
        <v>Young Teenager</v>
      </c>
      <c r="C712" t="s">
        <v>16</v>
      </c>
      <c r="D712">
        <v>6.2</v>
      </c>
      <c r="E712" t="s">
        <v>17</v>
      </c>
      <c r="F712">
        <v>8.6</v>
      </c>
      <c r="G712">
        <v>1.8</v>
      </c>
      <c r="H712">
        <f t="shared" si="56"/>
        <v>8</v>
      </c>
      <c r="I712">
        <v>2.19</v>
      </c>
      <c r="J712" t="str">
        <f t="shared" si="57"/>
        <v>third class</v>
      </c>
      <c r="K712">
        <v>0.7</v>
      </c>
      <c r="L712" t="s">
        <v>21</v>
      </c>
      <c r="M712">
        <v>8</v>
      </c>
      <c r="N712">
        <v>4</v>
      </c>
      <c r="O712">
        <v>7</v>
      </c>
      <c r="P712">
        <v>0</v>
      </c>
      <c r="Q712">
        <f t="shared" si="58"/>
        <v>19</v>
      </c>
      <c r="S712" t="str">
        <f t="shared" si="59"/>
        <v>Mentally Strained</v>
      </c>
    </row>
    <row r="713" spans="1:19" x14ac:dyDescent="0.25">
      <c r="A713">
        <v>15</v>
      </c>
      <c r="B713" t="str">
        <f t="shared" si="55"/>
        <v>Young Teenager</v>
      </c>
      <c r="C713" t="s">
        <v>16</v>
      </c>
      <c r="D713">
        <v>7.7</v>
      </c>
      <c r="E713" t="s">
        <v>17</v>
      </c>
      <c r="F713">
        <v>8</v>
      </c>
      <c r="G713">
        <v>1.3</v>
      </c>
      <c r="H713">
        <f t="shared" si="56"/>
        <v>9</v>
      </c>
      <c r="I713">
        <v>3.78</v>
      </c>
      <c r="J713" t="str">
        <f t="shared" si="57"/>
        <v>first class</v>
      </c>
      <c r="K713">
        <v>1.1000000000000001</v>
      </c>
      <c r="L713" t="s">
        <v>22</v>
      </c>
      <c r="M713">
        <v>1</v>
      </c>
      <c r="N713">
        <v>6</v>
      </c>
      <c r="O713">
        <v>5</v>
      </c>
      <c r="P713">
        <v>0</v>
      </c>
      <c r="Q713">
        <f t="shared" si="58"/>
        <v>12</v>
      </c>
      <c r="S713" t="str">
        <f t="shared" si="59"/>
        <v>Mentally Strained</v>
      </c>
    </row>
    <row r="714" spans="1:19" x14ac:dyDescent="0.25">
      <c r="A714">
        <v>19</v>
      </c>
      <c r="B714" t="str">
        <f t="shared" si="55"/>
        <v>Old Teenager</v>
      </c>
      <c r="C714" t="s">
        <v>19</v>
      </c>
      <c r="D714">
        <v>5.0999999999999996</v>
      </c>
      <c r="E714" t="s">
        <v>23</v>
      </c>
      <c r="F714">
        <v>6.3</v>
      </c>
      <c r="G714">
        <v>2.2999999999999998</v>
      </c>
      <c r="H714">
        <f t="shared" si="56"/>
        <v>7.3999999999999995</v>
      </c>
      <c r="I714">
        <v>2.5499999999999998</v>
      </c>
      <c r="J714" t="str">
        <f t="shared" si="57"/>
        <v>Second class lower</v>
      </c>
      <c r="K714">
        <v>2</v>
      </c>
      <c r="L714" t="s">
        <v>22</v>
      </c>
      <c r="M714">
        <v>6</v>
      </c>
      <c r="N714">
        <v>9</v>
      </c>
      <c r="O714">
        <v>7</v>
      </c>
      <c r="P714">
        <v>0</v>
      </c>
      <c r="Q714">
        <f t="shared" si="58"/>
        <v>22</v>
      </c>
      <c r="S714" t="str">
        <f t="shared" si="59"/>
        <v>Mentally Unstable</v>
      </c>
    </row>
    <row r="715" spans="1:19" x14ac:dyDescent="0.25">
      <c r="A715">
        <v>15</v>
      </c>
      <c r="B715" t="str">
        <f t="shared" si="55"/>
        <v>Young Teenager</v>
      </c>
      <c r="C715" t="s">
        <v>16</v>
      </c>
      <c r="D715">
        <v>1</v>
      </c>
      <c r="E715" t="s">
        <v>20</v>
      </c>
      <c r="F715">
        <v>8.5</v>
      </c>
      <c r="G715">
        <v>2</v>
      </c>
      <c r="H715">
        <f t="shared" si="56"/>
        <v>3</v>
      </c>
      <c r="I715">
        <v>3.77</v>
      </c>
      <c r="J715" t="str">
        <f t="shared" si="57"/>
        <v>first class</v>
      </c>
      <c r="K715">
        <v>1.9</v>
      </c>
      <c r="L715" t="s">
        <v>21</v>
      </c>
      <c r="M715">
        <v>4</v>
      </c>
      <c r="N715">
        <v>1</v>
      </c>
      <c r="O715">
        <v>7</v>
      </c>
      <c r="P715">
        <v>0</v>
      </c>
      <c r="Q715">
        <f t="shared" si="58"/>
        <v>12</v>
      </c>
      <c r="S715" t="str">
        <f t="shared" si="59"/>
        <v>Mentally Strained</v>
      </c>
    </row>
    <row r="716" spans="1:19" x14ac:dyDescent="0.25">
      <c r="A716">
        <v>15</v>
      </c>
      <c r="B716" t="str">
        <f t="shared" si="55"/>
        <v>Young Teenager</v>
      </c>
      <c r="C716" t="s">
        <v>19</v>
      </c>
      <c r="D716">
        <v>1.1000000000000001</v>
      </c>
      <c r="E716" t="s">
        <v>17</v>
      </c>
      <c r="F716">
        <v>4.5999999999999996</v>
      </c>
      <c r="G716">
        <v>1.8</v>
      </c>
      <c r="H716">
        <f t="shared" si="56"/>
        <v>2.9000000000000004</v>
      </c>
      <c r="I716">
        <v>2.35</v>
      </c>
      <c r="J716" t="str">
        <f t="shared" si="57"/>
        <v>third class</v>
      </c>
      <c r="K716">
        <v>1.1000000000000001</v>
      </c>
      <c r="L716" t="s">
        <v>22</v>
      </c>
      <c r="M716">
        <v>10</v>
      </c>
      <c r="N716">
        <v>6</v>
      </c>
      <c r="O716">
        <v>6</v>
      </c>
      <c r="P716">
        <v>0</v>
      </c>
      <c r="Q716">
        <f t="shared" si="58"/>
        <v>22</v>
      </c>
      <c r="S716" t="str">
        <f t="shared" si="59"/>
        <v>Mentally Unstable</v>
      </c>
    </row>
    <row r="717" spans="1:19" x14ac:dyDescent="0.25">
      <c r="A717">
        <v>13</v>
      </c>
      <c r="B717" t="str">
        <f t="shared" si="55"/>
        <v>Young Teenager</v>
      </c>
      <c r="C717" t="s">
        <v>19</v>
      </c>
      <c r="D717">
        <v>7</v>
      </c>
      <c r="E717" t="s">
        <v>17</v>
      </c>
      <c r="F717">
        <v>4.9000000000000004</v>
      </c>
      <c r="G717">
        <v>1.2</v>
      </c>
      <c r="H717">
        <f t="shared" si="56"/>
        <v>8.1999999999999993</v>
      </c>
      <c r="I717">
        <v>3.61</v>
      </c>
      <c r="J717" t="str">
        <f t="shared" si="57"/>
        <v>first class</v>
      </c>
      <c r="K717">
        <v>0.2</v>
      </c>
      <c r="L717" t="s">
        <v>22</v>
      </c>
      <c r="M717">
        <v>2</v>
      </c>
      <c r="N717">
        <v>3</v>
      </c>
      <c r="O717">
        <v>5</v>
      </c>
      <c r="P717">
        <v>0</v>
      </c>
      <c r="Q717">
        <f t="shared" si="58"/>
        <v>10</v>
      </c>
      <c r="S717" t="str">
        <f t="shared" si="59"/>
        <v>Mentally Strained</v>
      </c>
    </row>
    <row r="718" spans="1:19" x14ac:dyDescent="0.25">
      <c r="A718">
        <v>15</v>
      </c>
      <c r="B718" t="str">
        <f t="shared" si="55"/>
        <v>Young Teenager</v>
      </c>
      <c r="C718" t="s">
        <v>19</v>
      </c>
      <c r="D718">
        <v>2.7</v>
      </c>
      <c r="E718" t="s">
        <v>23</v>
      </c>
      <c r="F718">
        <v>7.8</v>
      </c>
      <c r="G718">
        <v>1.8</v>
      </c>
      <c r="H718">
        <f t="shared" si="56"/>
        <v>4.5</v>
      </c>
      <c r="I718">
        <v>3.9</v>
      </c>
      <c r="J718" t="str">
        <f t="shared" si="57"/>
        <v>first class</v>
      </c>
      <c r="K718">
        <v>1.4</v>
      </c>
      <c r="L718" t="s">
        <v>18</v>
      </c>
      <c r="M718">
        <v>5</v>
      </c>
      <c r="N718">
        <v>8</v>
      </c>
      <c r="O718">
        <v>9</v>
      </c>
      <c r="P718">
        <v>0</v>
      </c>
      <c r="Q718">
        <f t="shared" si="58"/>
        <v>22</v>
      </c>
      <c r="S718" t="str">
        <f t="shared" si="59"/>
        <v>Mentally Unstable</v>
      </c>
    </row>
    <row r="719" spans="1:19" x14ac:dyDescent="0.25">
      <c r="A719">
        <v>18</v>
      </c>
      <c r="B719" t="str">
        <f t="shared" si="55"/>
        <v>Old Teenager</v>
      </c>
      <c r="C719" t="s">
        <v>16</v>
      </c>
      <c r="D719">
        <v>2.5</v>
      </c>
      <c r="E719" t="s">
        <v>17</v>
      </c>
      <c r="F719">
        <v>4.2</v>
      </c>
      <c r="G719">
        <v>1.4</v>
      </c>
      <c r="H719">
        <f t="shared" si="56"/>
        <v>3.9</v>
      </c>
      <c r="I719">
        <v>3.9</v>
      </c>
      <c r="J719" t="str">
        <f t="shared" si="57"/>
        <v>first class</v>
      </c>
      <c r="K719">
        <v>0.7</v>
      </c>
      <c r="L719" t="s">
        <v>21</v>
      </c>
      <c r="M719">
        <v>5</v>
      </c>
      <c r="N719">
        <v>2</v>
      </c>
      <c r="O719">
        <v>3</v>
      </c>
      <c r="P719">
        <v>0</v>
      </c>
      <c r="Q719">
        <f t="shared" si="58"/>
        <v>10</v>
      </c>
      <c r="S719" t="str">
        <f t="shared" si="59"/>
        <v>Mentally Strained</v>
      </c>
    </row>
    <row r="720" spans="1:19" x14ac:dyDescent="0.25">
      <c r="A720">
        <v>18</v>
      </c>
      <c r="B720" t="str">
        <f t="shared" si="55"/>
        <v>Old Teenager</v>
      </c>
      <c r="C720" t="s">
        <v>19</v>
      </c>
      <c r="D720">
        <v>2.2999999999999998</v>
      </c>
      <c r="E720" t="s">
        <v>20</v>
      </c>
      <c r="F720">
        <v>4.3</v>
      </c>
      <c r="G720">
        <v>0.9</v>
      </c>
      <c r="H720">
        <f t="shared" si="56"/>
        <v>3.1999999999999997</v>
      </c>
      <c r="I720">
        <v>3.27</v>
      </c>
      <c r="J720" t="str">
        <f t="shared" si="57"/>
        <v>Second class upper</v>
      </c>
      <c r="K720">
        <v>0.1</v>
      </c>
      <c r="L720" t="s">
        <v>21</v>
      </c>
      <c r="M720">
        <v>5</v>
      </c>
      <c r="N720">
        <v>9</v>
      </c>
      <c r="O720">
        <v>10</v>
      </c>
      <c r="P720">
        <v>0</v>
      </c>
      <c r="Q720">
        <f t="shared" si="58"/>
        <v>24</v>
      </c>
      <c r="S720" t="str">
        <f t="shared" si="59"/>
        <v>Mentally Unstable</v>
      </c>
    </row>
    <row r="721" spans="1:19" x14ac:dyDescent="0.25">
      <c r="A721">
        <v>17</v>
      </c>
      <c r="B721" t="str">
        <f t="shared" si="55"/>
        <v>Old Teenager</v>
      </c>
      <c r="C721" t="s">
        <v>19</v>
      </c>
      <c r="D721">
        <v>2.7</v>
      </c>
      <c r="E721" t="s">
        <v>20</v>
      </c>
      <c r="F721">
        <v>6.6</v>
      </c>
      <c r="G721">
        <v>1.6</v>
      </c>
      <c r="H721">
        <f t="shared" si="56"/>
        <v>4.3000000000000007</v>
      </c>
      <c r="I721">
        <v>3.36</v>
      </c>
      <c r="J721" t="str">
        <f t="shared" si="57"/>
        <v>Second class upper</v>
      </c>
      <c r="K721">
        <v>1.6</v>
      </c>
      <c r="L721" t="s">
        <v>21</v>
      </c>
      <c r="M721">
        <v>3</v>
      </c>
      <c r="N721">
        <v>1</v>
      </c>
      <c r="O721">
        <v>2</v>
      </c>
      <c r="P721">
        <v>0</v>
      </c>
      <c r="Q721">
        <f t="shared" si="58"/>
        <v>6</v>
      </c>
      <c r="S721" t="str">
        <f t="shared" si="59"/>
        <v>Mentally Sound</v>
      </c>
    </row>
    <row r="722" spans="1:19" x14ac:dyDescent="0.25">
      <c r="A722">
        <v>14</v>
      </c>
      <c r="B722" t="str">
        <f t="shared" si="55"/>
        <v>Young Teenager</v>
      </c>
      <c r="C722" t="s">
        <v>16</v>
      </c>
      <c r="D722">
        <v>3.2</v>
      </c>
      <c r="E722" t="s">
        <v>17</v>
      </c>
      <c r="F722">
        <v>5.4</v>
      </c>
      <c r="G722">
        <v>2.6</v>
      </c>
      <c r="H722">
        <f t="shared" si="56"/>
        <v>5.8000000000000007</v>
      </c>
      <c r="I722">
        <v>3.18</v>
      </c>
      <c r="J722" t="str">
        <f t="shared" si="57"/>
        <v>Second class upper</v>
      </c>
      <c r="K722">
        <v>0.9</v>
      </c>
      <c r="L722" t="s">
        <v>18</v>
      </c>
      <c r="M722">
        <v>9</v>
      </c>
      <c r="N722">
        <v>1</v>
      </c>
      <c r="O722">
        <v>7</v>
      </c>
      <c r="P722">
        <v>0</v>
      </c>
      <c r="Q722">
        <f t="shared" si="58"/>
        <v>17</v>
      </c>
      <c r="S722" t="str">
        <f t="shared" si="59"/>
        <v>Mentally Strained</v>
      </c>
    </row>
    <row r="723" spans="1:19" x14ac:dyDescent="0.25">
      <c r="A723">
        <v>18</v>
      </c>
      <c r="B723" t="str">
        <f t="shared" si="55"/>
        <v>Old Teenager</v>
      </c>
      <c r="C723" t="s">
        <v>19</v>
      </c>
      <c r="D723">
        <v>3.8</v>
      </c>
      <c r="E723" t="s">
        <v>23</v>
      </c>
      <c r="F723">
        <v>5.3</v>
      </c>
      <c r="G723">
        <v>2.2999999999999998</v>
      </c>
      <c r="H723">
        <f t="shared" si="56"/>
        <v>6.1</v>
      </c>
      <c r="I723">
        <v>3.42</v>
      </c>
      <c r="J723" t="str">
        <f t="shared" si="57"/>
        <v>Second class upper</v>
      </c>
      <c r="K723">
        <v>0.4</v>
      </c>
      <c r="L723" t="s">
        <v>18</v>
      </c>
      <c r="M723">
        <v>4</v>
      </c>
      <c r="N723">
        <v>8</v>
      </c>
      <c r="O723">
        <v>2</v>
      </c>
      <c r="P723">
        <v>0</v>
      </c>
      <c r="Q723">
        <f t="shared" si="58"/>
        <v>14</v>
      </c>
      <c r="S723" t="str">
        <f t="shared" si="59"/>
        <v>Mentally Strained</v>
      </c>
    </row>
    <row r="724" spans="1:19" x14ac:dyDescent="0.25">
      <c r="A724">
        <v>14</v>
      </c>
      <c r="B724" t="str">
        <f t="shared" si="55"/>
        <v>Young Teenager</v>
      </c>
      <c r="C724" t="s">
        <v>19</v>
      </c>
      <c r="D724">
        <v>4.0999999999999996</v>
      </c>
      <c r="E724" t="s">
        <v>20</v>
      </c>
      <c r="F724">
        <v>5.4</v>
      </c>
      <c r="G724">
        <v>2.4</v>
      </c>
      <c r="H724">
        <f t="shared" si="56"/>
        <v>6.5</v>
      </c>
      <c r="I724">
        <v>2.71</v>
      </c>
      <c r="J724" t="str">
        <f t="shared" si="57"/>
        <v>Second class lower</v>
      </c>
      <c r="K724">
        <v>1.3</v>
      </c>
      <c r="L724" t="s">
        <v>18</v>
      </c>
      <c r="M724">
        <v>9</v>
      </c>
      <c r="N724">
        <v>5</v>
      </c>
      <c r="O724">
        <v>10</v>
      </c>
      <c r="P724">
        <v>0</v>
      </c>
      <c r="Q724">
        <f t="shared" si="58"/>
        <v>24</v>
      </c>
      <c r="S724" t="str">
        <f t="shared" si="59"/>
        <v>Mentally Unstable</v>
      </c>
    </row>
    <row r="725" spans="1:19" x14ac:dyDescent="0.25">
      <c r="A725">
        <v>13</v>
      </c>
      <c r="B725" t="str">
        <f t="shared" si="55"/>
        <v>Young Teenager</v>
      </c>
      <c r="C725" t="s">
        <v>19</v>
      </c>
      <c r="D725">
        <v>2.2999999999999998</v>
      </c>
      <c r="E725" t="s">
        <v>20</v>
      </c>
      <c r="F725">
        <v>6.6</v>
      </c>
      <c r="G725">
        <v>1.4</v>
      </c>
      <c r="H725">
        <f t="shared" si="56"/>
        <v>3.6999999999999997</v>
      </c>
      <c r="I725">
        <v>3.74</v>
      </c>
      <c r="J725" t="str">
        <f t="shared" si="57"/>
        <v>first class</v>
      </c>
      <c r="K725">
        <v>1.5</v>
      </c>
      <c r="L725" t="s">
        <v>22</v>
      </c>
      <c r="M725">
        <v>6</v>
      </c>
      <c r="N725">
        <v>10</v>
      </c>
      <c r="O725">
        <v>1</v>
      </c>
      <c r="P725">
        <v>0</v>
      </c>
      <c r="Q725">
        <f t="shared" si="58"/>
        <v>17</v>
      </c>
      <c r="S725" t="str">
        <f t="shared" si="59"/>
        <v>Mentally Strained</v>
      </c>
    </row>
    <row r="726" spans="1:19" x14ac:dyDescent="0.25">
      <c r="A726">
        <v>15</v>
      </c>
      <c r="B726" t="str">
        <f t="shared" si="55"/>
        <v>Young Teenager</v>
      </c>
      <c r="C726" t="s">
        <v>16</v>
      </c>
      <c r="D726">
        <v>8</v>
      </c>
      <c r="E726" t="s">
        <v>17</v>
      </c>
      <c r="F726">
        <v>4.7</v>
      </c>
      <c r="G726">
        <v>0.6</v>
      </c>
      <c r="H726">
        <f t="shared" si="56"/>
        <v>8.6</v>
      </c>
      <c r="I726">
        <v>3.01</v>
      </c>
      <c r="J726" t="str">
        <f t="shared" si="57"/>
        <v>Second class upper</v>
      </c>
      <c r="K726">
        <v>1.8</v>
      </c>
      <c r="L726" t="s">
        <v>22</v>
      </c>
      <c r="M726">
        <v>2</v>
      </c>
      <c r="N726">
        <v>9</v>
      </c>
      <c r="O726">
        <v>10</v>
      </c>
      <c r="P726">
        <v>0</v>
      </c>
      <c r="Q726">
        <f t="shared" si="58"/>
        <v>21</v>
      </c>
      <c r="S726" t="str">
        <f t="shared" si="59"/>
        <v>Mentally Unstable</v>
      </c>
    </row>
    <row r="727" spans="1:19" x14ac:dyDescent="0.25">
      <c r="A727">
        <v>15</v>
      </c>
      <c r="B727" t="str">
        <f t="shared" si="55"/>
        <v>Young Teenager</v>
      </c>
      <c r="C727" t="s">
        <v>19</v>
      </c>
      <c r="D727">
        <v>2.9</v>
      </c>
      <c r="E727" t="s">
        <v>20</v>
      </c>
      <c r="F727">
        <v>6.4</v>
      </c>
      <c r="G727">
        <v>0.7</v>
      </c>
      <c r="H727">
        <f t="shared" si="56"/>
        <v>3.5999999999999996</v>
      </c>
      <c r="I727">
        <v>3.41</v>
      </c>
      <c r="J727" t="str">
        <f t="shared" si="57"/>
        <v>Second class upper</v>
      </c>
      <c r="K727">
        <v>1.6</v>
      </c>
      <c r="L727" t="s">
        <v>18</v>
      </c>
      <c r="M727">
        <v>3</v>
      </c>
      <c r="N727">
        <v>10</v>
      </c>
      <c r="O727">
        <v>7</v>
      </c>
      <c r="P727">
        <v>0</v>
      </c>
      <c r="Q727">
        <f t="shared" si="58"/>
        <v>20</v>
      </c>
      <c r="S727" t="str">
        <f t="shared" si="59"/>
        <v>Mentally Unstable</v>
      </c>
    </row>
    <row r="728" spans="1:19" x14ac:dyDescent="0.25">
      <c r="A728">
        <v>19</v>
      </c>
      <c r="B728" t="str">
        <f t="shared" si="55"/>
        <v>Old Teenager</v>
      </c>
      <c r="C728" t="s">
        <v>19</v>
      </c>
      <c r="D728">
        <v>4.4000000000000004</v>
      </c>
      <c r="E728" t="s">
        <v>23</v>
      </c>
      <c r="F728">
        <v>5</v>
      </c>
      <c r="G728">
        <v>2.8</v>
      </c>
      <c r="H728">
        <f t="shared" si="56"/>
        <v>7.2</v>
      </c>
      <c r="I728">
        <v>2.69</v>
      </c>
      <c r="J728" t="str">
        <f t="shared" si="57"/>
        <v>Second class lower</v>
      </c>
      <c r="K728">
        <v>0.4</v>
      </c>
      <c r="L728" t="s">
        <v>21</v>
      </c>
      <c r="M728">
        <v>3</v>
      </c>
      <c r="N728">
        <v>8</v>
      </c>
      <c r="O728">
        <v>8</v>
      </c>
      <c r="P728">
        <v>0</v>
      </c>
      <c r="Q728">
        <f t="shared" si="58"/>
        <v>19</v>
      </c>
      <c r="S728" t="str">
        <f t="shared" si="59"/>
        <v>Mentally Strained</v>
      </c>
    </row>
    <row r="729" spans="1:19" x14ac:dyDescent="0.25">
      <c r="A729">
        <v>18</v>
      </c>
      <c r="B729" t="str">
        <f t="shared" si="55"/>
        <v>Old Teenager</v>
      </c>
      <c r="C729" t="s">
        <v>19</v>
      </c>
      <c r="D729">
        <v>3.1</v>
      </c>
      <c r="E729" t="s">
        <v>23</v>
      </c>
      <c r="F729">
        <v>6.8</v>
      </c>
      <c r="G729">
        <v>2</v>
      </c>
      <c r="H729">
        <f t="shared" si="56"/>
        <v>5.0999999999999996</v>
      </c>
      <c r="I729">
        <v>3.77</v>
      </c>
      <c r="J729" t="str">
        <f t="shared" si="57"/>
        <v>first class</v>
      </c>
      <c r="K729">
        <v>1.4</v>
      </c>
      <c r="L729" t="s">
        <v>18</v>
      </c>
      <c r="M729">
        <v>1</v>
      </c>
      <c r="N729">
        <v>3</v>
      </c>
      <c r="O729">
        <v>4</v>
      </c>
      <c r="P729">
        <v>0</v>
      </c>
      <c r="Q729">
        <f t="shared" si="58"/>
        <v>8</v>
      </c>
      <c r="S729" t="str">
        <f t="shared" si="59"/>
        <v>Mentally Sound</v>
      </c>
    </row>
    <row r="730" spans="1:19" x14ac:dyDescent="0.25">
      <c r="A730">
        <v>18</v>
      </c>
      <c r="B730" t="str">
        <f t="shared" si="55"/>
        <v>Old Teenager</v>
      </c>
      <c r="C730" t="s">
        <v>16</v>
      </c>
      <c r="D730">
        <v>7.9</v>
      </c>
      <c r="E730" t="s">
        <v>20</v>
      </c>
      <c r="F730">
        <v>7.5</v>
      </c>
      <c r="G730">
        <v>2</v>
      </c>
      <c r="H730">
        <f t="shared" si="56"/>
        <v>9.9</v>
      </c>
      <c r="I730">
        <v>2.77</v>
      </c>
      <c r="J730" t="str">
        <f t="shared" si="57"/>
        <v>Second class lower</v>
      </c>
      <c r="K730">
        <v>0.9</v>
      </c>
      <c r="L730" t="s">
        <v>18</v>
      </c>
      <c r="M730">
        <v>10</v>
      </c>
      <c r="N730">
        <v>4</v>
      </c>
      <c r="O730">
        <v>4</v>
      </c>
      <c r="P730">
        <v>0</v>
      </c>
      <c r="Q730">
        <f t="shared" si="58"/>
        <v>18</v>
      </c>
      <c r="S730" t="str">
        <f t="shared" si="59"/>
        <v>Mentally Strained</v>
      </c>
    </row>
    <row r="731" spans="1:19" x14ac:dyDescent="0.25">
      <c r="A731">
        <v>14</v>
      </c>
      <c r="B731" t="str">
        <f t="shared" si="55"/>
        <v>Young Teenager</v>
      </c>
      <c r="C731" t="s">
        <v>19</v>
      </c>
      <c r="D731">
        <v>1.2</v>
      </c>
      <c r="E731" t="s">
        <v>23</v>
      </c>
      <c r="F731">
        <v>7</v>
      </c>
      <c r="G731">
        <v>2.2000000000000002</v>
      </c>
      <c r="H731">
        <f t="shared" si="56"/>
        <v>3.4000000000000004</v>
      </c>
      <c r="I731">
        <v>3.83</v>
      </c>
      <c r="J731" t="str">
        <f t="shared" si="57"/>
        <v>first class</v>
      </c>
      <c r="K731">
        <v>0.8</v>
      </c>
      <c r="L731" t="s">
        <v>18</v>
      </c>
      <c r="M731">
        <v>6</v>
      </c>
      <c r="N731">
        <v>10</v>
      </c>
      <c r="O731">
        <v>5</v>
      </c>
      <c r="P731">
        <v>0</v>
      </c>
      <c r="Q731">
        <f t="shared" si="58"/>
        <v>21</v>
      </c>
      <c r="S731" t="str">
        <f t="shared" si="59"/>
        <v>Mentally Unstable</v>
      </c>
    </row>
    <row r="732" spans="1:19" x14ac:dyDescent="0.25">
      <c r="A732">
        <v>19</v>
      </c>
      <c r="B732" t="str">
        <f t="shared" si="55"/>
        <v>Old Teenager</v>
      </c>
      <c r="C732" t="s">
        <v>19</v>
      </c>
      <c r="D732">
        <v>4</v>
      </c>
      <c r="E732" t="s">
        <v>23</v>
      </c>
      <c r="F732">
        <v>7.4</v>
      </c>
      <c r="G732">
        <v>2.7</v>
      </c>
      <c r="H732">
        <f t="shared" si="56"/>
        <v>6.7</v>
      </c>
      <c r="I732">
        <v>3.41</v>
      </c>
      <c r="J732" t="str">
        <f t="shared" si="57"/>
        <v>Second class upper</v>
      </c>
      <c r="K732">
        <v>1.4</v>
      </c>
      <c r="L732" t="s">
        <v>22</v>
      </c>
      <c r="M732">
        <v>9</v>
      </c>
      <c r="N732">
        <v>4</v>
      </c>
      <c r="O732">
        <v>7</v>
      </c>
      <c r="P732">
        <v>0</v>
      </c>
      <c r="Q732">
        <f t="shared" si="58"/>
        <v>20</v>
      </c>
      <c r="S732" t="str">
        <f t="shared" si="59"/>
        <v>Mentally Unstable</v>
      </c>
    </row>
    <row r="733" spans="1:19" x14ac:dyDescent="0.25">
      <c r="A733">
        <v>18</v>
      </c>
      <c r="B733" t="str">
        <f t="shared" si="55"/>
        <v>Old Teenager</v>
      </c>
      <c r="C733" t="s">
        <v>16</v>
      </c>
      <c r="D733">
        <v>1</v>
      </c>
      <c r="E733" t="s">
        <v>17</v>
      </c>
      <c r="F733">
        <v>7.1</v>
      </c>
      <c r="G733">
        <v>0.8</v>
      </c>
      <c r="H733">
        <f t="shared" si="56"/>
        <v>1.8</v>
      </c>
      <c r="I733">
        <v>2.4700000000000002</v>
      </c>
      <c r="J733" t="str">
        <f t="shared" si="57"/>
        <v>third class</v>
      </c>
      <c r="K733">
        <v>1.9</v>
      </c>
      <c r="L733" t="s">
        <v>21</v>
      </c>
      <c r="M733">
        <v>4</v>
      </c>
      <c r="N733">
        <v>2</v>
      </c>
      <c r="O733">
        <v>4</v>
      </c>
      <c r="P733">
        <v>0</v>
      </c>
      <c r="Q733">
        <f t="shared" si="58"/>
        <v>10</v>
      </c>
      <c r="S733" t="str">
        <f t="shared" si="59"/>
        <v>Mentally Strained</v>
      </c>
    </row>
    <row r="734" spans="1:19" x14ac:dyDescent="0.25">
      <c r="A734">
        <v>19</v>
      </c>
      <c r="B734" t="str">
        <f t="shared" si="55"/>
        <v>Old Teenager</v>
      </c>
      <c r="C734" t="s">
        <v>19</v>
      </c>
      <c r="D734">
        <v>7.9</v>
      </c>
      <c r="E734" t="s">
        <v>17</v>
      </c>
      <c r="F734">
        <v>5.7</v>
      </c>
      <c r="G734">
        <v>2.4</v>
      </c>
      <c r="H734">
        <f t="shared" si="56"/>
        <v>10.3</v>
      </c>
      <c r="I734">
        <v>3.59</v>
      </c>
      <c r="J734" t="str">
        <f t="shared" si="57"/>
        <v>Second class upper</v>
      </c>
      <c r="K734">
        <v>1.9</v>
      </c>
      <c r="L734" t="s">
        <v>21</v>
      </c>
      <c r="M734">
        <v>1</v>
      </c>
      <c r="N734">
        <v>9</v>
      </c>
      <c r="O734">
        <v>9</v>
      </c>
      <c r="P734">
        <v>0</v>
      </c>
      <c r="Q734">
        <f t="shared" si="58"/>
        <v>19</v>
      </c>
      <c r="S734" t="str">
        <f t="shared" si="59"/>
        <v>Mentally Strained</v>
      </c>
    </row>
    <row r="735" spans="1:19" x14ac:dyDescent="0.25">
      <c r="A735">
        <v>14</v>
      </c>
      <c r="B735" t="str">
        <f t="shared" si="55"/>
        <v>Young Teenager</v>
      </c>
      <c r="C735" t="s">
        <v>16</v>
      </c>
      <c r="D735">
        <v>6.2</v>
      </c>
      <c r="E735" t="s">
        <v>20</v>
      </c>
      <c r="F735">
        <v>4.4000000000000004</v>
      </c>
      <c r="G735">
        <v>0.7</v>
      </c>
      <c r="H735">
        <f t="shared" si="56"/>
        <v>6.9</v>
      </c>
      <c r="I735">
        <v>3.45</v>
      </c>
      <c r="J735" t="str">
        <f t="shared" si="57"/>
        <v>Second class upper</v>
      </c>
      <c r="K735">
        <v>0.5</v>
      </c>
      <c r="L735" t="s">
        <v>22</v>
      </c>
      <c r="M735">
        <v>9</v>
      </c>
      <c r="N735">
        <v>10</v>
      </c>
      <c r="O735">
        <v>3</v>
      </c>
      <c r="P735">
        <v>1</v>
      </c>
      <c r="Q735">
        <f t="shared" si="58"/>
        <v>23</v>
      </c>
      <c r="S735" t="str">
        <f t="shared" si="59"/>
        <v>Mentally Unstable</v>
      </c>
    </row>
    <row r="736" spans="1:19" x14ac:dyDescent="0.25">
      <c r="A736">
        <v>16</v>
      </c>
      <c r="B736" t="str">
        <f t="shared" si="55"/>
        <v>Old Teenager</v>
      </c>
      <c r="C736" t="s">
        <v>19</v>
      </c>
      <c r="D736">
        <v>2.5</v>
      </c>
      <c r="E736" t="s">
        <v>17</v>
      </c>
      <c r="F736">
        <v>5.4</v>
      </c>
      <c r="G736">
        <v>2.2999999999999998</v>
      </c>
      <c r="H736">
        <f t="shared" si="56"/>
        <v>4.8</v>
      </c>
      <c r="I736">
        <v>3.43</v>
      </c>
      <c r="J736" t="str">
        <f t="shared" si="57"/>
        <v>Second class upper</v>
      </c>
      <c r="K736">
        <v>0.5</v>
      </c>
      <c r="L736" t="s">
        <v>21</v>
      </c>
      <c r="M736">
        <v>9</v>
      </c>
      <c r="N736">
        <v>1</v>
      </c>
      <c r="O736">
        <v>2</v>
      </c>
      <c r="P736">
        <v>0</v>
      </c>
      <c r="Q736">
        <f t="shared" si="58"/>
        <v>12</v>
      </c>
      <c r="S736" t="str">
        <f t="shared" si="59"/>
        <v>Mentally Strained</v>
      </c>
    </row>
    <row r="737" spans="1:19" x14ac:dyDescent="0.25">
      <c r="A737">
        <v>16</v>
      </c>
      <c r="B737" t="str">
        <f t="shared" si="55"/>
        <v>Old Teenager</v>
      </c>
      <c r="C737" t="s">
        <v>16</v>
      </c>
      <c r="D737">
        <v>4.7</v>
      </c>
      <c r="E737" t="s">
        <v>23</v>
      </c>
      <c r="F737">
        <v>8.1999999999999993</v>
      </c>
      <c r="G737">
        <v>2.6</v>
      </c>
      <c r="H737">
        <f t="shared" si="56"/>
        <v>7.3000000000000007</v>
      </c>
      <c r="I737">
        <v>3.05</v>
      </c>
      <c r="J737" t="str">
        <f t="shared" si="57"/>
        <v>Second class upper</v>
      </c>
      <c r="K737">
        <v>1</v>
      </c>
      <c r="L737" t="s">
        <v>22</v>
      </c>
      <c r="M737">
        <v>4</v>
      </c>
      <c r="N737">
        <v>7</v>
      </c>
      <c r="O737">
        <v>2</v>
      </c>
      <c r="P737">
        <v>0</v>
      </c>
      <c r="Q737">
        <f t="shared" si="58"/>
        <v>13</v>
      </c>
      <c r="S737" t="str">
        <f t="shared" si="59"/>
        <v>Mentally Strained</v>
      </c>
    </row>
    <row r="738" spans="1:19" x14ac:dyDescent="0.25">
      <c r="A738">
        <v>16</v>
      </c>
      <c r="B738" t="str">
        <f t="shared" si="55"/>
        <v>Old Teenager</v>
      </c>
      <c r="C738" t="s">
        <v>16</v>
      </c>
      <c r="D738">
        <v>6.3</v>
      </c>
      <c r="E738" t="s">
        <v>17</v>
      </c>
      <c r="F738">
        <v>6.5</v>
      </c>
      <c r="G738">
        <v>1</v>
      </c>
      <c r="H738">
        <f t="shared" si="56"/>
        <v>7.3</v>
      </c>
      <c r="I738">
        <v>2.52</v>
      </c>
      <c r="J738" t="str">
        <f t="shared" si="57"/>
        <v>Second class lower</v>
      </c>
      <c r="K738">
        <v>0.4</v>
      </c>
      <c r="L738" t="s">
        <v>18</v>
      </c>
      <c r="M738">
        <v>1</v>
      </c>
      <c r="N738">
        <v>10</v>
      </c>
      <c r="O738">
        <v>6</v>
      </c>
      <c r="P738">
        <v>0</v>
      </c>
      <c r="Q738">
        <f t="shared" si="58"/>
        <v>17</v>
      </c>
      <c r="S738" t="str">
        <f t="shared" si="59"/>
        <v>Mentally Strained</v>
      </c>
    </row>
    <row r="739" spans="1:19" x14ac:dyDescent="0.25">
      <c r="A739">
        <v>17</v>
      </c>
      <c r="B739" t="str">
        <f t="shared" si="55"/>
        <v>Old Teenager</v>
      </c>
      <c r="C739" t="s">
        <v>19</v>
      </c>
      <c r="D739">
        <v>7.5</v>
      </c>
      <c r="E739" t="s">
        <v>20</v>
      </c>
      <c r="F739">
        <v>5.4</v>
      </c>
      <c r="G739">
        <v>2.2999999999999998</v>
      </c>
      <c r="H739">
        <f t="shared" si="56"/>
        <v>9.8000000000000007</v>
      </c>
      <c r="I739">
        <v>3.44</v>
      </c>
      <c r="J739" t="str">
        <f t="shared" si="57"/>
        <v>Second class upper</v>
      </c>
      <c r="K739">
        <v>0.4</v>
      </c>
      <c r="L739" t="s">
        <v>22</v>
      </c>
      <c r="M739">
        <v>7</v>
      </c>
      <c r="N739">
        <v>9</v>
      </c>
      <c r="O739">
        <v>7</v>
      </c>
      <c r="P739">
        <v>1</v>
      </c>
      <c r="Q739">
        <f t="shared" si="58"/>
        <v>24</v>
      </c>
      <c r="S739" t="str">
        <f t="shared" si="59"/>
        <v>Mentally Unstable</v>
      </c>
    </row>
    <row r="740" spans="1:19" x14ac:dyDescent="0.25">
      <c r="A740">
        <v>18</v>
      </c>
      <c r="B740" t="str">
        <f t="shared" si="55"/>
        <v>Old Teenager</v>
      </c>
      <c r="C740" t="s">
        <v>16</v>
      </c>
      <c r="D740">
        <v>2</v>
      </c>
      <c r="E740" t="s">
        <v>20</v>
      </c>
      <c r="F740">
        <v>8.4</v>
      </c>
      <c r="G740">
        <v>1.5</v>
      </c>
      <c r="H740">
        <f t="shared" si="56"/>
        <v>3.5</v>
      </c>
      <c r="I740">
        <v>2.83</v>
      </c>
      <c r="J740" t="str">
        <f t="shared" si="57"/>
        <v>Second class lower</v>
      </c>
      <c r="K740">
        <v>1.2</v>
      </c>
      <c r="L740" t="s">
        <v>18</v>
      </c>
      <c r="M740">
        <v>9</v>
      </c>
      <c r="N740">
        <v>4</v>
      </c>
      <c r="O740">
        <v>5</v>
      </c>
      <c r="P740">
        <v>0</v>
      </c>
      <c r="Q740">
        <f t="shared" si="58"/>
        <v>18</v>
      </c>
      <c r="S740" t="str">
        <f t="shared" si="59"/>
        <v>Mentally Strained</v>
      </c>
    </row>
    <row r="741" spans="1:19" x14ac:dyDescent="0.25">
      <c r="A741">
        <v>13</v>
      </c>
      <c r="B741" t="str">
        <f t="shared" si="55"/>
        <v>Young Teenager</v>
      </c>
      <c r="C741" t="s">
        <v>19</v>
      </c>
      <c r="D741">
        <v>6.3</v>
      </c>
      <c r="E741" t="s">
        <v>17</v>
      </c>
      <c r="F741">
        <v>8.4</v>
      </c>
      <c r="G741">
        <v>1.6</v>
      </c>
      <c r="H741">
        <f t="shared" si="56"/>
        <v>7.9</v>
      </c>
      <c r="I741">
        <v>2.0299999999999998</v>
      </c>
      <c r="J741" t="str">
        <f t="shared" si="57"/>
        <v>third class</v>
      </c>
      <c r="K741">
        <v>1.5</v>
      </c>
      <c r="L741" t="s">
        <v>22</v>
      </c>
      <c r="M741">
        <v>5</v>
      </c>
      <c r="N741">
        <v>3</v>
      </c>
      <c r="O741">
        <v>9</v>
      </c>
      <c r="P741">
        <v>0</v>
      </c>
      <c r="Q741">
        <f t="shared" si="58"/>
        <v>17</v>
      </c>
      <c r="S741" t="str">
        <f t="shared" si="59"/>
        <v>Mentally Strained</v>
      </c>
    </row>
    <row r="742" spans="1:19" x14ac:dyDescent="0.25">
      <c r="A742">
        <v>16</v>
      </c>
      <c r="B742" t="str">
        <f t="shared" si="55"/>
        <v>Old Teenager</v>
      </c>
      <c r="C742" t="s">
        <v>16</v>
      </c>
      <c r="D742">
        <v>6.6</v>
      </c>
      <c r="E742" t="s">
        <v>23</v>
      </c>
      <c r="F742">
        <v>8.9</v>
      </c>
      <c r="G742">
        <v>2</v>
      </c>
      <c r="H742">
        <f t="shared" si="56"/>
        <v>8.6</v>
      </c>
      <c r="I742">
        <v>3.44</v>
      </c>
      <c r="J742" t="str">
        <f t="shared" si="57"/>
        <v>Second class upper</v>
      </c>
      <c r="K742">
        <v>1.7</v>
      </c>
      <c r="L742" t="s">
        <v>18</v>
      </c>
      <c r="M742">
        <v>10</v>
      </c>
      <c r="N742">
        <v>9</v>
      </c>
      <c r="O742">
        <v>3</v>
      </c>
      <c r="P742">
        <v>0</v>
      </c>
      <c r="Q742">
        <f t="shared" si="58"/>
        <v>22</v>
      </c>
      <c r="S742" t="str">
        <f t="shared" si="59"/>
        <v>Mentally Unstable</v>
      </c>
    </row>
    <row r="743" spans="1:19" x14ac:dyDescent="0.25">
      <c r="A743">
        <v>19</v>
      </c>
      <c r="B743" t="str">
        <f t="shared" si="55"/>
        <v>Old Teenager</v>
      </c>
      <c r="C743" t="s">
        <v>19</v>
      </c>
      <c r="D743">
        <v>3.6</v>
      </c>
      <c r="E743" t="s">
        <v>23</v>
      </c>
      <c r="F743">
        <v>5.6</v>
      </c>
      <c r="G743">
        <v>1.7</v>
      </c>
      <c r="H743">
        <f t="shared" si="56"/>
        <v>5.3</v>
      </c>
      <c r="I743">
        <v>3.57</v>
      </c>
      <c r="J743" t="str">
        <f t="shared" si="57"/>
        <v>Second class upper</v>
      </c>
      <c r="K743">
        <v>1.5</v>
      </c>
      <c r="L743" t="s">
        <v>18</v>
      </c>
      <c r="M743">
        <v>10</v>
      </c>
      <c r="N743">
        <v>4</v>
      </c>
      <c r="O743">
        <v>3</v>
      </c>
      <c r="P743">
        <v>0</v>
      </c>
      <c r="Q743">
        <f t="shared" si="58"/>
        <v>17</v>
      </c>
      <c r="S743" t="str">
        <f t="shared" si="59"/>
        <v>Mentally Strained</v>
      </c>
    </row>
    <row r="744" spans="1:19" x14ac:dyDescent="0.25">
      <c r="A744">
        <v>16</v>
      </c>
      <c r="B744" t="str">
        <f t="shared" si="55"/>
        <v>Old Teenager</v>
      </c>
      <c r="C744" t="s">
        <v>19</v>
      </c>
      <c r="D744">
        <v>3.2</v>
      </c>
      <c r="E744" t="s">
        <v>23</v>
      </c>
      <c r="F744">
        <v>4.5999999999999996</v>
      </c>
      <c r="G744">
        <v>2.5</v>
      </c>
      <c r="H744">
        <f t="shared" si="56"/>
        <v>5.7</v>
      </c>
      <c r="I744">
        <v>2.62</v>
      </c>
      <c r="J744" t="str">
        <f t="shared" si="57"/>
        <v>Second class lower</v>
      </c>
      <c r="K744">
        <v>1.8</v>
      </c>
      <c r="L744" t="s">
        <v>18</v>
      </c>
      <c r="M744">
        <v>9</v>
      </c>
      <c r="N744">
        <v>5</v>
      </c>
      <c r="O744">
        <v>1</v>
      </c>
      <c r="P744">
        <v>0</v>
      </c>
      <c r="Q744">
        <f t="shared" si="58"/>
        <v>15</v>
      </c>
      <c r="S744" t="str">
        <f t="shared" si="59"/>
        <v>Mentally Strained</v>
      </c>
    </row>
    <row r="745" spans="1:19" x14ac:dyDescent="0.25">
      <c r="A745">
        <v>13</v>
      </c>
      <c r="B745" t="str">
        <f t="shared" si="55"/>
        <v>Young Teenager</v>
      </c>
      <c r="C745" t="s">
        <v>19</v>
      </c>
      <c r="D745">
        <v>3.1</v>
      </c>
      <c r="E745" t="s">
        <v>17</v>
      </c>
      <c r="F745">
        <v>6.4</v>
      </c>
      <c r="G745">
        <v>1.6</v>
      </c>
      <c r="H745">
        <f t="shared" si="56"/>
        <v>4.7</v>
      </c>
      <c r="I745">
        <v>3.69</v>
      </c>
      <c r="J745" t="str">
        <f t="shared" si="57"/>
        <v>first class</v>
      </c>
      <c r="K745">
        <v>0.9</v>
      </c>
      <c r="L745" t="s">
        <v>22</v>
      </c>
      <c r="M745">
        <v>1</v>
      </c>
      <c r="N745">
        <v>2</v>
      </c>
      <c r="O745">
        <v>1</v>
      </c>
      <c r="P745">
        <v>0</v>
      </c>
      <c r="Q745">
        <f t="shared" si="58"/>
        <v>4</v>
      </c>
      <c r="S745" t="str">
        <f t="shared" si="59"/>
        <v>Mentally Sound</v>
      </c>
    </row>
    <row r="746" spans="1:19" x14ac:dyDescent="0.25">
      <c r="A746">
        <v>18</v>
      </c>
      <c r="B746" t="str">
        <f t="shared" si="55"/>
        <v>Old Teenager</v>
      </c>
      <c r="C746" t="s">
        <v>16</v>
      </c>
      <c r="D746">
        <v>6.7</v>
      </c>
      <c r="E746" t="s">
        <v>17</v>
      </c>
      <c r="F746">
        <v>8.8000000000000007</v>
      </c>
      <c r="G746">
        <v>1.9</v>
      </c>
      <c r="H746">
        <f t="shared" si="56"/>
        <v>8.6</v>
      </c>
      <c r="I746">
        <v>2.5499999999999998</v>
      </c>
      <c r="J746" t="str">
        <f t="shared" si="57"/>
        <v>Second class lower</v>
      </c>
      <c r="K746">
        <v>1</v>
      </c>
      <c r="L746" t="s">
        <v>18</v>
      </c>
      <c r="M746">
        <v>5</v>
      </c>
      <c r="N746">
        <v>8</v>
      </c>
      <c r="O746">
        <v>3</v>
      </c>
      <c r="P746">
        <v>0</v>
      </c>
      <c r="Q746">
        <f t="shared" si="58"/>
        <v>16</v>
      </c>
      <c r="S746" t="str">
        <f t="shared" si="59"/>
        <v>Mentally Strained</v>
      </c>
    </row>
    <row r="747" spans="1:19" x14ac:dyDescent="0.25">
      <c r="A747">
        <v>17</v>
      </c>
      <c r="B747" t="str">
        <f t="shared" si="55"/>
        <v>Old Teenager</v>
      </c>
      <c r="C747" t="s">
        <v>16</v>
      </c>
      <c r="D747">
        <v>6.6</v>
      </c>
      <c r="E747" t="s">
        <v>20</v>
      </c>
      <c r="F747">
        <v>8.1999999999999993</v>
      </c>
      <c r="G747">
        <v>0.7</v>
      </c>
      <c r="H747">
        <f t="shared" si="56"/>
        <v>7.3</v>
      </c>
      <c r="I747">
        <v>2.88</v>
      </c>
      <c r="J747" t="str">
        <f t="shared" si="57"/>
        <v>Second class lower</v>
      </c>
      <c r="K747">
        <v>0.8</v>
      </c>
      <c r="L747" t="s">
        <v>18</v>
      </c>
      <c r="M747">
        <v>1</v>
      </c>
      <c r="N747">
        <v>7</v>
      </c>
      <c r="O747">
        <v>7</v>
      </c>
      <c r="P747">
        <v>0</v>
      </c>
      <c r="Q747">
        <f t="shared" si="58"/>
        <v>15</v>
      </c>
      <c r="S747" t="str">
        <f t="shared" si="59"/>
        <v>Mentally Strained</v>
      </c>
    </row>
    <row r="748" spans="1:19" x14ac:dyDescent="0.25">
      <c r="A748">
        <v>14</v>
      </c>
      <c r="B748" t="str">
        <f t="shared" si="55"/>
        <v>Young Teenager</v>
      </c>
      <c r="C748" t="s">
        <v>19</v>
      </c>
      <c r="D748">
        <v>7</v>
      </c>
      <c r="E748" t="s">
        <v>17</v>
      </c>
      <c r="F748">
        <v>4.5</v>
      </c>
      <c r="G748">
        <v>1.6</v>
      </c>
      <c r="H748">
        <f t="shared" si="56"/>
        <v>8.6</v>
      </c>
      <c r="I748">
        <v>2.83</v>
      </c>
      <c r="J748" t="str">
        <f t="shared" si="57"/>
        <v>Second class lower</v>
      </c>
      <c r="K748">
        <v>0.4</v>
      </c>
      <c r="L748" t="s">
        <v>22</v>
      </c>
      <c r="M748">
        <v>8</v>
      </c>
      <c r="N748">
        <v>1</v>
      </c>
      <c r="O748">
        <v>7</v>
      </c>
      <c r="P748">
        <v>0</v>
      </c>
      <c r="Q748">
        <f t="shared" si="58"/>
        <v>16</v>
      </c>
      <c r="S748" t="str">
        <f t="shared" si="59"/>
        <v>Mentally Strained</v>
      </c>
    </row>
    <row r="749" spans="1:19" x14ac:dyDescent="0.25">
      <c r="A749">
        <v>16</v>
      </c>
      <c r="B749" t="str">
        <f t="shared" si="55"/>
        <v>Old Teenager</v>
      </c>
      <c r="C749" t="s">
        <v>19</v>
      </c>
      <c r="D749">
        <v>4.8</v>
      </c>
      <c r="E749" t="s">
        <v>23</v>
      </c>
      <c r="F749">
        <v>5.0999999999999996</v>
      </c>
      <c r="G749">
        <v>2.1</v>
      </c>
      <c r="H749">
        <f t="shared" si="56"/>
        <v>6.9</v>
      </c>
      <c r="I749">
        <v>2.4900000000000002</v>
      </c>
      <c r="J749" t="str">
        <f t="shared" si="57"/>
        <v>third class</v>
      </c>
      <c r="K749">
        <v>1.6</v>
      </c>
      <c r="L749" t="s">
        <v>18</v>
      </c>
      <c r="M749">
        <v>4</v>
      </c>
      <c r="N749">
        <v>9</v>
      </c>
      <c r="O749">
        <v>1</v>
      </c>
      <c r="P749">
        <v>0</v>
      </c>
      <c r="Q749">
        <f t="shared" si="58"/>
        <v>14</v>
      </c>
      <c r="S749" t="str">
        <f t="shared" si="59"/>
        <v>Mentally Strained</v>
      </c>
    </row>
    <row r="750" spans="1:19" x14ac:dyDescent="0.25">
      <c r="A750">
        <v>13</v>
      </c>
      <c r="B750" t="str">
        <f t="shared" si="55"/>
        <v>Young Teenager</v>
      </c>
      <c r="C750" t="s">
        <v>19</v>
      </c>
      <c r="D750">
        <v>5.8</v>
      </c>
      <c r="E750" t="s">
        <v>17</v>
      </c>
      <c r="F750">
        <v>6.3</v>
      </c>
      <c r="G750">
        <v>1.1000000000000001</v>
      </c>
      <c r="H750">
        <f t="shared" si="56"/>
        <v>6.9</v>
      </c>
      <c r="I750">
        <v>3.09</v>
      </c>
      <c r="J750" t="str">
        <f t="shared" si="57"/>
        <v>Second class upper</v>
      </c>
      <c r="K750">
        <v>0.9</v>
      </c>
      <c r="L750" t="s">
        <v>22</v>
      </c>
      <c r="M750">
        <v>8</v>
      </c>
      <c r="N750">
        <v>4</v>
      </c>
      <c r="O750">
        <v>9</v>
      </c>
      <c r="P750">
        <v>0</v>
      </c>
      <c r="Q750">
        <f t="shared" si="58"/>
        <v>21</v>
      </c>
      <c r="S750" t="str">
        <f t="shared" si="59"/>
        <v>Mentally Unstable</v>
      </c>
    </row>
    <row r="751" spans="1:19" x14ac:dyDescent="0.25">
      <c r="A751">
        <v>19</v>
      </c>
      <c r="B751" t="str">
        <f t="shared" si="55"/>
        <v>Old Teenager</v>
      </c>
      <c r="C751" t="s">
        <v>19</v>
      </c>
      <c r="D751">
        <v>6</v>
      </c>
      <c r="E751" t="s">
        <v>23</v>
      </c>
      <c r="F751">
        <v>6.3</v>
      </c>
      <c r="G751">
        <v>2.8</v>
      </c>
      <c r="H751">
        <f t="shared" si="56"/>
        <v>8.8000000000000007</v>
      </c>
      <c r="I751">
        <v>3.98</v>
      </c>
      <c r="J751" t="str">
        <f t="shared" si="57"/>
        <v>first class</v>
      </c>
      <c r="K751">
        <v>2</v>
      </c>
      <c r="L751" t="s">
        <v>22</v>
      </c>
      <c r="M751">
        <v>2</v>
      </c>
      <c r="N751">
        <v>6</v>
      </c>
      <c r="O751">
        <v>2</v>
      </c>
      <c r="P751">
        <v>0</v>
      </c>
      <c r="Q751">
        <f t="shared" si="58"/>
        <v>10</v>
      </c>
      <c r="S751" t="str">
        <f t="shared" si="59"/>
        <v>Mentally Strained</v>
      </c>
    </row>
    <row r="752" spans="1:19" x14ac:dyDescent="0.25">
      <c r="A752">
        <v>15</v>
      </c>
      <c r="B752" t="str">
        <f t="shared" si="55"/>
        <v>Young Teenager</v>
      </c>
      <c r="C752" t="s">
        <v>16</v>
      </c>
      <c r="D752">
        <v>4</v>
      </c>
      <c r="E752" t="s">
        <v>23</v>
      </c>
      <c r="F752">
        <v>5.2</v>
      </c>
      <c r="G752">
        <v>1.8</v>
      </c>
      <c r="H752">
        <f t="shared" si="56"/>
        <v>5.8</v>
      </c>
      <c r="I752">
        <v>3.3</v>
      </c>
      <c r="J752" t="str">
        <f t="shared" si="57"/>
        <v>Second class upper</v>
      </c>
      <c r="K752">
        <v>0.7</v>
      </c>
      <c r="L752" t="s">
        <v>22</v>
      </c>
      <c r="M752">
        <v>10</v>
      </c>
      <c r="N752">
        <v>5</v>
      </c>
      <c r="O752">
        <v>1</v>
      </c>
      <c r="P752">
        <v>0</v>
      </c>
      <c r="Q752">
        <f t="shared" si="58"/>
        <v>16</v>
      </c>
      <c r="S752" t="str">
        <f t="shared" si="59"/>
        <v>Mentally Strained</v>
      </c>
    </row>
    <row r="753" spans="1:19" x14ac:dyDescent="0.25">
      <c r="A753">
        <v>14</v>
      </c>
      <c r="B753" t="str">
        <f t="shared" si="55"/>
        <v>Young Teenager</v>
      </c>
      <c r="C753" t="s">
        <v>19</v>
      </c>
      <c r="D753">
        <v>5.8</v>
      </c>
      <c r="E753" t="s">
        <v>23</v>
      </c>
      <c r="F753">
        <v>4.8</v>
      </c>
      <c r="G753">
        <v>2.6</v>
      </c>
      <c r="H753">
        <f t="shared" si="56"/>
        <v>8.4</v>
      </c>
      <c r="I753">
        <v>2.08</v>
      </c>
      <c r="J753" t="str">
        <f t="shared" si="57"/>
        <v>third class</v>
      </c>
      <c r="K753">
        <v>0.8</v>
      </c>
      <c r="L753" t="s">
        <v>22</v>
      </c>
      <c r="M753">
        <v>6</v>
      </c>
      <c r="N753">
        <v>4</v>
      </c>
      <c r="O753">
        <v>9</v>
      </c>
      <c r="P753">
        <v>0</v>
      </c>
      <c r="Q753">
        <f t="shared" si="58"/>
        <v>19</v>
      </c>
      <c r="S753" t="str">
        <f t="shared" si="59"/>
        <v>Mentally Strained</v>
      </c>
    </row>
    <row r="754" spans="1:19" x14ac:dyDescent="0.25">
      <c r="A754">
        <v>19</v>
      </c>
      <c r="B754" t="str">
        <f t="shared" si="55"/>
        <v>Old Teenager</v>
      </c>
      <c r="C754" t="s">
        <v>16</v>
      </c>
      <c r="D754">
        <v>5.2</v>
      </c>
      <c r="E754" t="s">
        <v>17</v>
      </c>
      <c r="F754">
        <v>7.6</v>
      </c>
      <c r="G754">
        <v>1.3</v>
      </c>
      <c r="H754">
        <f t="shared" si="56"/>
        <v>6.5</v>
      </c>
      <c r="I754">
        <v>3.89</v>
      </c>
      <c r="J754" t="str">
        <f t="shared" si="57"/>
        <v>first class</v>
      </c>
      <c r="K754">
        <v>1.5</v>
      </c>
      <c r="L754" t="s">
        <v>21</v>
      </c>
      <c r="M754">
        <v>4</v>
      </c>
      <c r="N754">
        <v>5</v>
      </c>
      <c r="O754">
        <v>8</v>
      </c>
      <c r="P754">
        <v>0</v>
      </c>
      <c r="Q754">
        <f t="shared" si="58"/>
        <v>17</v>
      </c>
      <c r="S754" t="str">
        <f t="shared" si="59"/>
        <v>Mentally Strained</v>
      </c>
    </row>
    <row r="755" spans="1:19" x14ac:dyDescent="0.25">
      <c r="A755">
        <v>17</v>
      </c>
      <c r="B755" t="str">
        <f t="shared" si="55"/>
        <v>Old Teenager</v>
      </c>
      <c r="C755" t="s">
        <v>16</v>
      </c>
      <c r="D755">
        <v>2.9</v>
      </c>
      <c r="E755" t="s">
        <v>23</v>
      </c>
      <c r="F755">
        <v>6.7</v>
      </c>
      <c r="G755">
        <v>1.5</v>
      </c>
      <c r="H755">
        <f t="shared" si="56"/>
        <v>4.4000000000000004</v>
      </c>
      <c r="I755">
        <v>3.62</v>
      </c>
      <c r="J755" t="str">
        <f t="shared" si="57"/>
        <v>first class</v>
      </c>
      <c r="K755">
        <v>0.8</v>
      </c>
      <c r="L755" t="s">
        <v>22</v>
      </c>
      <c r="M755">
        <v>10</v>
      </c>
      <c r="N755">
        <v>6</v>
      </c>
      <c r="O755">
        <v>4</v>
      </c>
      <c r="P755">
        <v>0</v>
      </c>
      <c r="Q755">
        <f t="shared" si="58"/>
        <v>20</v>
      </c>
      <c r="S755" t="str">
        <f t="shared" si="59"/>
        <v>Mentally Unstable</v>
      </c>
    </row>
    <row r="756" spans="1:19" x14ac:dyDescent="0.25">
      <c r="A756">
        <v>18</v>
      </c>
      <c r="B756" t="str">
        <f t="shared" si="55"/>
        <v>Old Teenager</v>
      </c>
      <c r="C756" t="s">
        <v>19</v>
      </c>
      <c r="D756">
        <v>7.5</v>
      </c>
      <c r="E756" t="s">
        <v>20</v>
      </c>
      <c r="F756">
        <v>7.5</v>
      </c>
      <c r="G756">
        <v>1.4</v>
      </c>
      <c r="H756">
        <f t="shared" si="56"/>
        <v>8.9</v>
      </c>
      <c r="I756">
        <v>3.14</v>
      </c>
      <c r="J756" t="str">
        <f t="shared" si="57"/>
        <v>Second class upper</v>
      </c>
      <c r="K756">
        <v>2</v>
      </c>
      <c r="L756" t="s">
        <v>18</v>
      </c>
      <c r="M756">
        <v>2</v>
      </c>
      <c r="N756">
        <v>9</v>
      </c>
      <c r="O756">
        <v>2</v>
      </c>
      <c r="P756">
        <v>0</v>
      </c>
      <c r="Q756">
        <f t="shared" si="58"/>
        <v>13</v>
      </c>
      <c r="S756" t="str">
        <f t="shared" si="59"/>
        <v>Mentally Strained</v>
      </c>
    </row>
    <row r="757" spans="1:19" x14ac:dyDescent="0.25">
      <c r="A757">
        <v>13</v>
      </c>
      <c r="B757" t="str">
        <f t="shared" si="55"/>
        <v>Young Teenager</v>
      </c>
      <c r="C757" t="s">
        <v>19</v>
      </c>
      <c r="D757">
        <v>5.8</v>
      </c>
      <c r="E757" t="s">
        <v>17</v>
      </c>
      <c r="F757">
        <v>6.1</v>
      </c>
      <c r="G757">
        <v>1.2</v>
      </c>
      <c r="H757">
        <f t="shared" si="56"/>
        <v>7</v>
      </c>
      <c r="I757">
        <v>3.81</v>
      </c>
      <c r="J757" t="str">
        <f t="shared" si="57"/>
        <v>first class</v>
      </c>
      <c r="K757">
        <v>1.8</v>
      </c>
      <c r="L757" t="s">
        <v>22</v>
      </c>
      <c r="M757">
        <v>6</v>
      </c>
      <c r="N757">
        <v>10</v>
      </c>
      <c r="O757">
        <v>6</v>
      </c>
      <c r="P757">
        <v>0</v>
      </c>
      <c r="Q757">
        <f t="shared" si="58"/>
        <v>22</v>
      </c>
      <c r="S757" t="str">
        <f t="shared" si="59"/>
        <v>Mentally Unstable</v>
      </c>
    </row>
    <row r="758" spans="1:19" x14ac:dyDescent="0.25">
      <c r="A758">
        <v>14</v>
      </c>
      <c r="B758" t="str">
        <f t="shared" si="55"/>
        <v>Young Teenager</v>
      </c>
      <c r="C758" t="s">
        <v>16</v>
      </c>
      <c r="D758">
        <v>7.6</v>
      </c>
      <c r="E758" t="s">
        <v>17</v>
      </c>
      <c r="F758">
        <v>5.8</v>
      </c>
      <c r="G758">
        <v>1.9</v>
      </c>
      <c r="H758">
        <f t="shared" si="56"/>
        <v>9.5</v>
      </c>
      <c r="I758">
        <v>3.49</v>
      </c>
      <c r="J758" t="str">
        <f t="shared" si="57"/>
        <v>Second class upper</v>
      </c>
      <c r="K758">
        <v>1.7</v>
      </c>
      <c r="L758" t="s">
        <v>21</v>
      </c>
      <c r="M758">
        <v>10</v>
      </c>
      <c r="N758">
        <v>1</v>
      </c>
      <c r="O758">
        <v>3</v>
      </c>
      <c r="P758">
        <v>0</v>
      </c>
      <c r="Q758">
        <f t="shared" si="58"/>
        <v>14</v>
      </c>
      <c r="S758" t="str">
        <f t="shared" si="59"/>
        <v>Mentally Strained</v>
      </c>
    </row>
    <row r="759" spans="1:19" x14ac:dyDescent="0.25">
      <c r="A759">
        <v>15</v>
      </c>
      <c r="B759" t="str">
        <f t="shared" si="55"/>
        <v>Young Teenager</v>
      </c>
      <c r="C759" t="s">
        <v>19</v>
      </c>
      <c r="D759">
        <v>1.3</v>
      </c>
      <c r="E759" t="s">
        <v>20</v>
      </c>
      <c r="F759">
        <v>7.6</v>
      </c>
      <c r="G759">
        <v>0.6</v>
      </c>
      <c r="H759">
        <f t="shared" si="56"/>
        <v>1.9</v>
      </c>
      <c r="I759">
        <v>3.46</v>
      </c>
      <c r="J759" t="str">
        <f t="shared" si="57"/>
        <v>Second class upper</v>
      </c>
      <c r="K759">
        <v>1.9</v>
      </c>
      <c r="L759" t="s">
        <v>18</v>
      </c>
      <c r="M759">
        <v>1</v>
      </c>
      <c r="N759">
        <v>1</v>
      </c>
      <c r="O759">
        <v>4</v>
      </c>
      <c r="P759">
        <v>0</v>
      </c>
      <c r="Q759">
        <f t="shared" si="58"/>
        <v>6</v>
      </c>
      <c r="S759" t="str">
        <f t="shared" si="59"/>
        <v>Mentally Sound</v>
      </c>
    </row>
    <row r="760" spans="1:19" x14ac:dyDescent="0.25">
      <c r="A760">
        <v>15</v>
      </c>
      <c r="B760" t="str">
        <f t="shared" si="55"/>
        <v>Young Teenager</v>
      </c>
      <c r="C760" t="s">
        <v>16</v>
      </c>
      <c r="D760">
        <v>3.7</v>
      </c>
      <c r="E760" t="s">
        <v>23</v>
      </c>
      <c r="F760">
        <v>5.7</v>
      </c>
      <c r="G760">
        <v>1.3</v>
      </c>
      <c r="H760">
        <f t="shared" si="56"/>
        <v>5</v>
      </c>
      <c r="I760">
        <v>3.24</v>
      </c>
      <c r="J760" t="str">
        <f t="shared" si="57"/>
        <v>Second class upper</v>
      </c>
      <c r="K760">
        <v>0.2</v>
      </c>
      <c r="L760" t="s">
        <v>18</v>
      </c>
      <c r="M760">
        <v>4</v>
      </c>
      <c r="N760">
        <v>9</v>
      </c>
      <c r="O760">
        <v>10</v>
      </c>
      <c r="P760">
        <v>0</v>
      </c>
      <c r="Q760">
        <f t="shared" si="58"/>
        <v>23</v>
      </c>
      <c r="S760" t="str">
        <f t="shared" si="59"/>
        <v>Mentally Unstable</v>
      </c>
    </row>
    <row r="761" spans="1:19" x14ac:dyDescent="0.25">
      <c r="A761">
        <v>18</v>
      </c>
      <c r="B761" t="str">
        <f t="shared" si="55"/>
        <v>Old Teenager</v>
      </c>
      <c r="C761" t="s">
        <v>16</v>
      </c>
      <c r="D761">
        <v>3.6</v>
      </c>
      <c r="E761" t="s">
        <v>17</v>
      </c>
      <c r="F761">
        <v>4.7</v>
      </c>
      <c r="G761">
        <v>2.5</v>
      </c>
      <c r="H761">
        <f t="shared" si="56"/>
        <v>6.1</v>
      </c>
      <c r="I761">
        <v>2.73</v>
      </c>
      <c r="J761" t="str">
        <f t="shared" si="57"/>
        <v>Second class lower</v>
      </c>
      <c r="K761">
        <v>1.2</v>
      </c>
      <c r="L761" t="s">
        <v>22</v>
      </c>
      <c r="M761">
        <v>9</v>
      </c>
      <c r="N761">
        <v>7</v>
      </c>
      <c r="O761">
        <v>6</v>
      </c>
      <c r="P761">
        <v>0</v>
      </c>
      <c r="Q761">
        <f t="shared" si="58"/>
        <v>22</v>
      </c>
      <c r="S761" t="str">
        <f t="shared" si="59"/>
        <v>Mentally Unstable</v>
      </c>
    </row>
    <row r="762" spans="1:19" x14ac:dyDescent="0.25">
      <c r="A762">
        <v>15</v>
      </c>
      <c r="B762" t="str">
        <f t="shared" si="55"/>
        <v>Young Teenager</v>
      </c>
      <c r="C762" t="s">
        <v>16</v>
      </c>
      <c r="D762">
        <v>6.4</v>
      </c>
      <c r="E762" t="s">
        <v>20</v>
      </c>
      <c r="F762">
        <v>6.9</v>
      </c>
      <c r="G762">
        <v>2.9</v>
      </c>
      <c r="H762">
        <f t="shared" si="56"/>
        <v>9.3000000000000007</v>
      </c>
      <c r="I762">
        <v>2.48</v>
      </c>
      <c r="J762" t="str">
        <f t="shared" si="57"/>
        <v>third class</v>
      </c>
      <c r="K762">
        <v>0.9</v>
      </c>
      <c r="L762" t="s">
        <v>18</v>
      </c>
      <c r="M762">
        <v>8</v>
      </c>
      <c r="N762">
        <v>4</v>
      </c>
      <c r="O762">
        <v>8</v>
      </c>
      <c r="P762">
        <v>0</v>
      </c>
      <c r="Q762">
        <f t="shared" si="58"/>
        <v>20</v>
      </c>
      <c r="S762" t="str">
        <f t="shared" si="59"/>
        <v>Mentally Unstable</v>
      </c>
    </row>
    <row r="763" spans="1:19" x14ac:dyDescent="0.25">
      <c r="A763">
        <v>13</v>
      </c>
      <c r="B763" t="str">
        <f t="shared" si="55"/>
        <v>Young Teenager</v>
      </c>
      <c r="C763" t="s">
        <v>16</v>
      </c>
      <c r="D763">
        <v>6</v>
      </c>
      <c r="E763" t="s">
        <v>20</v>
      </c>
      <c r="F763">
        <v>4.8</v>
      </c>
      <c r="G763">
        <v>2.6</v>
      </c>
      <c r="H763">
        <f t="shared" si="56"/>
        <v>8.6</v>
      </c>
      <c r="I763">
        <v>2.74</v>
      </c>
      <c r="J763" t="str">
        <f t="shared" si="57"/>
        <v>Second class lower</v>
      </c>
      <c r="K763">
        <v>1.6</v>
      </c>
      <c r="L763" t="s">
        <v>21</v>
      </c>
      <c r="M763">
        <v>6</v>
      </c>
      <c r="N763">
        <v>10</v>
      </c>
      <c r="O763">
        <v>8</v>
      </c>
      <c r="P763">
        <v>0</v>
      </c>
      <c r="Q763">
        <f t="shared" si="58"/>
        <v>24</v>
      </c>
      <c r="S763" t="str">
        <f t="shared" si="59"/>
        <v>Mentally Unstable</v>
      </c>
    </row>
    <row r="764" spans="1:19" x14ac:dyDescent="0.25">
      <c r="A764">
        <v>14</v>
      </c>
      <c r="B764" t="str">
        <f t="shared" si="55"/>
        <v>Young Teenager</v>
      </c>
      <c r="C764" t="s">
        <v>19</v>
      </c>
      <c r="D764">
        <v>1.3</v>
      </c>
      <c r="E764" t="s">
        <v>20</v>
      </c>
      <c r="F764">
        <v>7.7</v>
      </c>
      <c r="G764">
        <v>1.9</v>
      </c>
      <c r="H764">
        <f t="shared" si="56"/>
        <v>3.2</v>
      </c>
      <c r="I764">
        <v>2.27</v>
      </c>
      <c r="J764" t="str">
        <f t="shared" si="57"/>
        <v>third class</v>
      </c>
      <c r="K764">
        <v>1.5</v>
      </c>
      <c r="L764" t="s">
        <v>18</v>
      </c>
      <c r="M764">
        <v>7</v>
      </c>
      <c r="N764">
        <v>2</v>
      </c>
      <c r="O764">
        <v>2</v>
      </c>
      <c r="P764">
        <v>0</v>
      </c>
      <c r="Q764">
        <f t="shared" si="58"/>
        <v>11</v>
      </c>
      <c r="S764" t="str">
        <f t="shared" si="59"/>
        <v>Mentally Strained</v>
      </c>
    </row>
    <row r="765" spans="1:19" x14ac:dyDescent="0.25">
      <c r="A765">
        <v>18</v>
      </c>
      <c r="B765" t="str">
        <f t="shared" si="55"/>
        <v>Old Teenager</v>
      </c>
      <c r="C765" t="s">
        <v>16</v>
      </c>
      <c r="D765">
        <v>3.7</v>
      </c>
      <c r="E765" t="s">
        <v>17</v>
      </c>
      <c r="F765">
        <v>7</v>
      </c>
      <c r="G765">
        <v>1.4</v>
      </c>
      <c r="H765">
        <f t="shared" si="56"/>
        <v>5.0999999999999996</v>
      </c>
      <c r="I765">
        <v>2.0499999999999998</v>
      </c>
      <c r="J765" t="str">
        <f t="shared" si="57"/>
        <v>third class</v>
      </c>
      <c r="K765">
        <v>0.4</v>
      </c>
      <c r="L765" t="s">
        <v>22</v>
      </c>
      <c r="M765">
        <v>10</v>
      </c>
      <c r="N765">
        <v>9</v>
      </c>
      <c r="O765">
        <v>5</v>
      </c>
      <c r="P765">
        <v>0</v>
      </c>
      <c r="Q765">
        <f t="shared" si="58"/>
        <v>24</v>
      </c>
      <c r="S765" t="str">
        <f t="shared" si="59"/>
        <v>Mentally Unstable</v>
      </c>
    </row>
    <row r="766" spans="1:19" x14ac:dyDescent="0.25">
      <c r="A766">
        <v>18</v>
      </c>
      <c r="B766" t="str">
        <f t="shared" si="55"/>
        <v>Old Teenager</v>
      </c>
      <c r="C766" t="s">
        <v>19</v>
      </c>
      <c r="D766">
        <v>8</v>
      </c>
      <c r="E766" t="s">
        <v>20</v>
      </c>
      <c r="F766">
        <v>4.3</v>
      </c>
      <c r="G766">
        <v>0.8</v>
      </c>
      <c r="H766">
        <f t="shared" si="56"/>
        <v>8.8000000000000007</v>
      </c>
      <c r="I766">
        <v>3.44</v>
      </c>
      <c r="J766" t="str">
        <f t="shared" si="57"/>
        <v>Second class upper</v>
      </c>
      <c r="K766">
        <v>0.8</v>
      </c>
      <c r="L766" t="s">
        <v>22</v>
      </c>
      <c r="M766">
        <v>3</v>
      </c>
      <c r="N766">
        <v>4</v>
      </c>
      <c r="O766">
        <v>4</v>
      </c>
      <c r="P766">
        <v>0</v>
      </c>
      <c r="Q766">
        <f t="shared" si="58"/>
        <v>11</v>
      </c>
      <c r="S766" t="str">
        <f t="shared" si="59"/>
        <v>Mentally Strained</v>
      </c>
    </row>
    <row r="767" spans="1:19" x14ac:dyDescent="0.25">
      <c r="A767">
        <v>19</v>
      </c>
      <c r="B767" t="str">
        <f t="shared" si="55"/>
        <v>Old Teenager</v>
      </c>
      <c r="C767" t="s">
        <v>19</v>
      </c>
      <c r="D767">
        <v>4.0999999999999996</v>
      </c>
      <c r="E767" t="s">
        <v>23</v>
      </c>
      <c r="F767">
        <v>7.5</v>
      </c>
      <c r="G767">
        <v>2.7</v>
      </c>
      <c r="H767">
        <f t="shared" si="56"/>
        <v>6.8</v>
      </c>
      <c r="I767">
        <v>2.66</v>
      </c>
      <c r="J767" t="str">
        <f t="shared" si="57"/>
        <v>Second class lower</v>
      </c>
      <c r="K767">
        <v>1.6</v>
      </c>
      <c r="L767" t="s">
        <v>21</v>
      </c>
      <c r="M767">
        <v>5</v>
      </c>
      <c r="N767">
        <v>10</v>
      </c>
      <c r="O767">
        <v>5</v>
      </c>
      <c r="P767">
        <v>0</v>
      </c>
      <c r="Q767">
        <f t="shared" si="58"/>
        <v>20</v>
      </c>
      <c r="S767" t="str">
        <f t="shared" si="59"/>
        <v>Mentally Unstable</v>
      </c>
    </row>
    <row r="768" spans="1:19" x14ac:dyDescent="0.25">
      <c r="A768">
        <v>13</v>
      </c>
      <c r="B768" t="str">
        <f t="shared" si="55"/>
        <v>Young Teenager</v>
      </c>
      <c r="C768" t="s">
        <v>16</v>
      </c>
      <c r="D768">
        <v>3.9</v>
      </c>
      <c r="E768" t="s">
        <v>23</v>
      </c>
      <c r="F768">
        <v>8.6999999999999993</v>
      </c>
      <c r="G768">
        <v>1.5</v>
      </c>
      <c r="H768">
        <f t="shared" si="56"/>
        <v>5.4</v>
      </c>
      <c r="I768">
        <v>2.71</v>
      </c>
      <c r="J768" t="str">
        <f t="shared" si="57"/>
        <v>Second class lower</v>
      </c>
      <c r="K768">
        <v>0.7</v>
      </c>
      <c r="L768" t="s">
        <v>18</v>
      </c>
      <c r="M768">
        <v>7</v>
      </c>
      <c r="N768">
        <v>1</v>
      </c>
      <c r="O768">
        <v>4</v>
      </c>
      <c r="P768">
        <v>0</v>
      </c>
      <c r="Q768">
        <f t="shared" si="58"/>
        <v>12</v>
      </c>
      <c r="S768" t="str">
        <f t="shared" si="59"/>
        <v>Mentally Strained</v>
      </c>
    </row>
    <row r="769" spans="1:19" x14ac:dyDescent="0.25">
      <c r="A769">
        <v>15</v>
      </c>
      <c r="B769" t="str">
        <f t="shared" si="55"/>
        <v>Young Teenager</v>
      </c>
      <c r="C769" t="s">
        <v>19</v>
      </c>
      <c r="D769">
        <v>6.4</v>
      </c>
      <c r="E769" t="s">
        <v>17</v>
      </c>
      <c r="F769">
        <v>5.9</v>
      </c>
      <c r="G769">
        <v>1.6</v>
      </c>
      <c r="H769">
        <f t="shared" si="56"/>
        <v>8</v>
      </c>
      <c r="I769">
        <v>3.97</v>
      </c>
      <c r="J769" t="str">
        <f t="shared" si="57"/>
        <v>first class</v>
      </c>
      <c r="K769">
        <v>1</v>
      </c>
      <c r="L769" t="s">
        <v>21</v>
      </c>
      <c r="M769">
        <v>10</v>
      </c>
      <c r="N769">
        <v>2</v>
      </c>
      <c r="O769">
        <v>6</v>
      </c>
      <c r="P769">
        <v>0</v>
      </c>
      <c r="Q769">
        <f t="shared" si="58"/>
        <v>18</v>
      </c>
      <c r="S769" t="str">
        <f t="shared" si="59"/>
        <v>Mentally Strained</v>
      </c>
    </row>
    <row r="770" spans="1:19" x14ac:dyDescent="0.25">
      <c r="A770">
        <v>19</v>
      </c>
      <c r="B770" t="str">
        <f t="shared" si="55"/>
        <v>Old Teenager</v>
      </c>
      <c r="C770" t="s">
        <v>19</v>
      </c>
      <c r="D770">
        <v>1.3</v>
      </c>
      <c r="E770" t="s">
        <v>20</v>
      </c>
      <c r="F770">
        <v>6.5</v>
      </c>
      <c r="G770">
        <v>2.1</v>
      </c>
      <c r="H770">
        <f t="shared" si="56"/>
        <v>3.4000000000000004</v>
      </c>
      <c r="I770">
        <v>3.68</v>
      </c>
      <c r="J770" t="str">
        <f t="shared" si="57"/>
        <v>first class</v>
      </c>
      <c r="K770">
        <v>1.1000000000000001</v>
      </c>
      <c r="L770" t="s">
        <v>21</v>
      </c>
      <c r="M770">
        <v>7</v>
      </c>
      <c r="N770">
        <v>1</v>
      </c>
      <c r="O770">
        <v>9</v>
      </c>
      <c r="P770">
        <v>0</v>
      </c>
      <c r="Q770">
        <f t="shared" si="58"/>
        <v>17</v>
      </c>
      <c r="S770" t="str">
        <f t="shared" si="59"/>
        <v>Mentally Strained</v>
      </c>
    </row>
    <row r="771" spans="1:19" x14ac:dyDescent="0.25">
      <c r="A771">
        <v>18</v>
      </c>
      <c r="B771" t="str">
        <f t="shared" ref="B771:B834" si="60">IF(A771&lt;=15,"Young Teenager","Old Teenager")</f>
        <v>Old Teenager</v>
      </c>
      <c r="C771" t="s">
        <v>19</v>
      </c>
      <c r="D771">
        <v>5</v>
      </c>
      <c r="E771" t="s">
        <v>17</v>
      </c>
      <c r="F771">
        <v>6.6</v>
      </c>
      <c r="G771">
        <v>1.8</v>
      </c>
      <c r="H771">
        <f t="shared" ref="H771:H834" si="61">SUM(D771,G771)</f>
        <v>6.8</v>
      </c>
      <c r="I771">
        <v>3.87</v>
      </c>
      <c r="J771" t="str">
        <f t="shared" ref="J771:J834" si="62">IF(I771&lt;=2.49,"third class",IF(I771&lt;3,"Second class lower",IF(I771&lt;3.6,"Second class upper","first class")))</f>
        <v>first class</v>
      </c>
      <c r="K771">
        <v>1.2</v>
      </c>
      <c r="L771" t="s">
        <v>21</v>
      </c>
      <c r="M771">
        <v>3</v>
      </c>
      <c r="N771">
        <v>4</v>
      </c>
      <c r="O771">
        <v>2</v>
      </c>
      <c r="P771">
        <v>0</v>
      </c>
      <c r="Q771">
        <f t="shared" ref="Q771:Q834" si="63">SUM(M771:P771)</f>
        <v>9</v>
      </c>
      <c r="S771" t="str">
        <f t="shared" ref="S771:S834" si="64">IF(Q771&lt;10,"Mentally Sound",IF(Q771&gt;=20,"Mentally Unstable","Mentally Strained"))</f>
        <v>Mentally Sound</v>
      </c>
    </row>
    <row r="772" spans="1:19" x14ac:dyDescent="0.25">
      <c r="A772">
        <v>18</v>
      </c>
      <c r="B772" t="str">
        <f t="shared" si="60"/>
        <v>Old Teenager</v>
      </c>
      <c r="C772" t="s">
        <v>16</v>
      </c>
      <c r="D772">
        <v>5.5</v>
      </c>
      <c r="E772" t="s">
        <v>23</v>
      </c>
      <c r="F772">
        <v>5.2</v>
      </c>
      <c r="G772">
        <v>1.4</v>
      </c>
      <c r="H772">
        <f t="shared" si="61"/>
        <v>6.9</v>
      </c>
      <c r="I772">
        <v>3.24</v>
      </c>
      <c r="J772" t="str">
        <f t="shared" si="62"/>
        <v>Second class upper</v>
      </c>
      <c r="K772">
        <v>0.9</v>
      </c>
      <c r="L772" t="s">
        <v>22</v>
      </c>
      <c r="M772">
        <v>10</v>
      </c>
      <c r="N772">
        <v>5</v>
      </c>
      <c r="O772">
        <v>7</v>
      </c>
      <c r="P772">
        <v>0</v>
      </c>
      <c r="Q772">
        <f t="shared" si="63"/>
        <v>22</v>
      </c>
      <c r="S772" t="str">
        <f t="shared" si="64"/>
        <v>Mentally Unstable</v>
      </c>
    </row>
    <row r="773" spans="1:19" x14ac:dyDescent="0.25">
      <c r="A773">
        <v>13</v>
      </c>
      <c r="B773" t="str">
        <f t="shared" si="60"/>
        <v>Young Teenager</v>
      </c>
      <c r="C773" t="s">
        <v>19</v>
      </c>
      <c r="D773">
        <v>7.6</v>
      </c>
      <c r="E773" t="s">
        <v>17</v>
      </c>
      <c r="F773">
        <v>7.9</v>
      </c>
      <c r="G773">
        <v>3</v>
      </c>
      <c r="H773">
        <f t="shared" si="61"/>
        <v>10.6</v>
      </c>
      <c r="I773">
        <v>2.54</v>
      </c>
      <c r="J773" t="str">
        <f t="shared" si="62"/>
        <v>Second class lower</v>
      </c>
      <c r="K773">
        <v>1.2</v>
      </c>
      <c r="L773" t="s">
        <v>21</v>
      </c>
      <c r="M773">
        <v>8</v>
      </c>
      <c r="N773">
        <v>8</v>
      </c>
      <c r="O773">
        <v>1</v>
      </c>
      <c r="P773">
        <v>0</v>
      </c>
      <c r="Q773">
        <f t="shared" si="63"/>
        <v>17</v>
      </c>
      <c r="S773" t="str">
        <f t="shared" si="64"/>
        <v>Mentally Strained</v>
      </c>
    </row>
    <row r="774" spans="1:19" x14ac:dyDescent="0.25">
      <c r="A774">
        <v>19</v>
      </c>
      <c r="B774" t="str">
        <f t="shared" si="60"/>
        <v>Old Teenager</v>
      </c>
      <c r="C774" t="s">
        <v>19</v>
      </c>
      <c r="D774">
        <v>6.3</v>
      </c>
      <c r="E774" t="s">
        <v>23</v>
      </c>
      <c r="F774">
        <v>5.7</v>
      </c>
      <c r="G774">
        <v>2.2999999999999998</v>
      </c>
      <c r="H774">
        <f t="shared" si="61"/>
        <v>8.6</v>
      </c>
      <c r="I774">
        <v>2.16</v>
      </c>
      <c r="J774" t="str">
        <f t="shared" si="62"/>
        <v>third class</v>
      </c>
      <c r="K774">
        <v>1.9</v>
      </c>
      <c r="L774" t="s">
        <v>21</v>
      </c>
      <c r="M774">
        <v>6</v>
      </c>
      <c r="N774">
        <v>3</v>
      </c>
      <c r="O774">
        <v>6</v>
      </c>
      <c r="P774">
        <v>0</v>
      </c>
      <c r="Q774">
        <f t="shared" si="63"/>
        <v>15</v>
      </c>
      <c r="S774" t="str">
        <f t="shared" si="64"/>
        <v>Mentally Strained</v>
      </c>
    </row>
    <row r="775" spans="1:19" x14ac:dyDescent="0.25">
      <c r="A775">
        <v>18</v>
      </c>
      <c r="B775" t="str">
        <f t="shared" si="60"/>
        <v>Old Teenager</v>
      </c>
      <c r="C775" t="s">
        <v>19</v>
      </c>
      <c r="D775">
        <v>2</v>
      </c>
      <c r="E775" t="s">
        <v>17</v>
      </c>
      <c r="F775">
        <v>5.9</v>
      </c>
      <c r="G775">
        <v>2.9</v>
      </c>
      <c r="H775">
        <f t="shared" si="61"/>
        <v>4.9000000000000004</v>
      </c>
      <c r="I775">
        <v>3.52</v>
      </c>
      <c r="J775" t="str">
        <f t="shared" si="62"/>
        <v>Second class upper</v>
      </c>
      <c r="K775">
        <v>1.1000000000000001</v>
      </c>
      <c r="L775" t="s">
        <v>21</v>
      </c>
      <c r="M775">
        <v>8</v>
      </c>
      <c r="N775">
        <v>6</v>
      </c>
      <c r="O775">
        <v>10</v>
      </c>
      <c r="P775">
        <v>0</v>
      </c>
      <c r="Q775">
        <f t="shared" si="63"/>
        <v>24</v>
      </c>
      <c r="S775" t="str">
        <f t="shared" si="64"/>
        <v>Mentally Unstable</v>
      </c>
    </row>
    <row r="776" spans="1:19" x14ac:dyDescent="0.25">
      <c r="A776">
        <v>15</v>
      </c>
      <c r="B776" t="str">
        <f t="shared" si="60"/>
        <v>Young Teenager</v>
      </c>
      <c r="C776" t="s">
        <v>16</v>
      </c>
      <c r="D776">
        <v>4</v>
      </c>
      <c r="E776" t="s">
        <v>20</v>
      </c>
      <c r="F776">
        <v>4.5</v>
      </c>
      <c r="G776">
        <v>1.9</v>
      </c>
      <c r="H776">
        <f t="shared" si="61"/>
        <v>5.9</v>
      </c>
      <c r="I776">
        <v>3.22</v>
      </c>
      <c r="J776" t="str">
        <f t="shared" si="62"/>
        <v>Second class upper</v>
      </c>
      <c r="K776">
        <v>0.2</v>
      </c>
      <c r="L776" t="s">
        <v>22</v>
      </c>
      <c r="M776">
        <v>4</v>
      </c>
      <c r="N776">
        <v>5</v>
      </c>
      <c r="O776">
        <v>3</v>
      </c>
      <c r="P776">
        <v>0</v>
      </c>
      <c r="Q776">
        <f t="shared" si="63"/>
        <v>12</v>
      </c>
      <c r="S776" t="str">
        <f t="shared" si="64"/>
        <v>Mentally Strained</v>
      </c>
    </row>
    <row r="777" spans="1:19" x14ac:dyDescent="0.25">
      <c r="A777">
        <v>14</v>
      </c>
      <c r="B777" t="str">
        <f t="shared" si="60"/>
        <v>Young Teenager</v>
      </c>
      <c r="C777" t="s">
        <v>16</v>
      </c>
      <c r="D777">
        <v>4.9000000000000004</v>
      </c>
      <c r="E777" t="s">
        <v>17</v>
      </c>
      <c r="F777">
        <v>5.5</v>
      </c>
      <c r="G777">
        <v>1.6</v>
      </c>
      <c r="H777">
        <f t="shared" si="61"/>
        <v>6.5</v>
      </c>
      <c r="I777">
        <v>2.85</v>
      </c>
      <c r="J777" t="str">
        <f t="shared" si="62"/>
        <v>Second class lower</v>
      </c>
      <c r="K777">
        <v>0.4</v>
      </c>
      <c r="L777" t="s">
        <v>18</v>
      </c>
      <c r="M777">
        <v>8</v>
      </c>
      <c r="N777">
        <v>1</v>
      </c>
      <c r="O777">
        <v>8</v>
      </c>
      <c r="P777">
        <v>0</v>
      </c>
      <c r="Q777">
        <f t="shared" si="63"/>
        <v>17</v>
      </c>
      <c r="S777" t="str">
        <f t="shared" si="64"/>
        <v>Mentally Strained</v>
      </c>
    </row>
    <row r="778" spans="1:19" x14ac:dyDescent="0.25">
      <c r="A778">
        <v>14</v>
      </c>
      <c r="B778" t="str">
        <f t="shared" si="60"/>
        <v>Young Teenager</v>
      </c>
      <c r="C778" t="s">
        <v>19</v>
      </c>
      <c r="D778">
        <v>6.9</v>
      </c>
      <c r="E778" t="s">
        <v>20</v>
      </c>
      <c r="F778">
        <v>8</v>
      </c>
      <c r="G778">
        <v>1.6</v>
      </c>
      <c r="H778">
        <f t="shared" si="61"/>
        <v>8.5</v>
      </c>
      <c r="I778">
        <v>2.64</v>
      </c>
      <c r="J778" t="str">
        <f t="shared" si="62"/>
        <v>Second class lower</v>
      </c>
      <c r="K778">
        <v>0.1</v>
      </c>
      <c r="L778" t="s">
        <v>22</v>
      </c>
      <c r="M778">
        <v>3</v>
      </c>
      <c r="N778">
        <v>3</v>
      </c>
      <c r="O778">
        <v>3</v>
      </c>
      <c r="P778">
        <v>0</v>
      </c>
      <c r="Q778">
        <f t="shared" si="63"/>
        <v>9</v>
      </c>
      <c r="S778" t="str">
        <f t="shared" si="64"/>
        <v>Mentally Sound</v>
      </c>
    </row>
    <row r="779" spans="1:19" x14ac:dyDescent="0.25">
      <c r="A779">
        <v>15</v>
      </c>
      <c r="B779" t="str">
        <f t="shared" si="60"/>
        <v>Young Teenager</v>
      </c>
      <c r="C779" t="s">
        <v>16</v>
      </c>
      <c r="D779">
        <v>5.4</v>
      </c>
      <c r="E779" t="s">
        <v>20</v>
      </c>
      <c r="F779">
        <v>4.2</v>
      </c>
      <c r="G779">
        <v>1.8</v>
      </c>
      <c r="H779">
        <f t="shared" si="61"/>
        <v>7.2</v>
      </c>
      <c r="I779">
        <v>2.15</v>
      </c>
      <c r="J779" t="str">
        <f t="shared" si="62"/>
        <v>third class</v>
      </c>
      <c r="K779">
        <v>0.3</v>
      </c>
      <c r="L779" t="s">
        <v>22</v>
      </c>
      <c r="M779">
        <v>1</v>
      </c>
      <c r="N779">
        <v>10</v>
      </c>
      <c r="O779">
        <v>5</v>
      </c>
      <c r="P779">
        <v>0</v>
      </c>
      <c r="Q779">
        <f t="shared" si="63"/>
        <v>16</v>
      </c>
      <c r="S779" t="str">
        <f t="shared" si="64"/>
        <v>Mentally Strained</v>
      </c>
    </row>
    <row r="780" spans="1:19" x14ac:dyDescent="0.25">
      <c r="A780">
        <v>13</v>
      </c>
      <c r="B780" t="str">
        <f t="shared" si="60"/>
        <v>Young Teenager</v>
      </c>
      <c r="C780" t="s">
        <v>19</v>
      </c>
      <c r="D780">
        <v>3.8</v>
      </c>
      <c r="E780" t="s">
        <v>23</v>
      </c>
      <c r="F780">
        <v>8.9</v>
      </c>
      <c r="G780">
        <v>2.5</v>
      </c>
      <c r="H780">
        <f t="shared" si="61"/>
        <v>6.3</v>
      </c>
      <c r="I780">
        <v>2.29</v>
      </c>
      <c r="J780" t="str">
        <f t="shared" si="62"/>
        <v>third class</v>
      </c>
      <c r="K780">
        <v>0.6</v>
      </c>
      <c r="L780" t="s">
        <v>21</v>
      </c>
      <c r="M780">
        <v>9</v>
      </c>
      <c r="N780">
        <v>9</v>
      </c>
      <c r="O780">
        <v>7</v>
      </c>
      <c r="P780">
        <v>0</v>
      </c>
      <c r="Q780">
        <f t="shared" si="63"/>
        <v>25</v>
      </c>
      <c r="S780" t="str">
        <f t="shared" si="64"/>
        <v>Mentally Unstable</v>
      </c>
    </row>
    <row r="781" spans="1:19" x14ac:dyDescent="0.25">
      <c r="A781">
        <v>15</v>
      </c>
      <c r="B781" t="str">
        <f t="shared" si="60"/>
        <v>Young Teenager</v>
      </c>
      <c r="C781" t="s">
        <v>16</v>
      </c>
      <c r="D781">
        <v>7.8</v>
      </c>
      <c r="E781" t="s">
        <v>23</v>
      </c>
      <c r="F781">
        <v>6.8</v>
      </c>
      <c r="G781">
        <v>0.6</v>
      </c>
      <c r="H781">
        <f t="shared" si="61"/>
        <v>8.4</v>
      </c>
      <c r="I781">
        <v>3.2</v>
      </c>
      <c r="J781" t="str">
        <f t="shared" si="62"/>
        <v>Second class upper</v>
      </c>
      <c r="K781">
        <v>1.7</v>
      </c>
      <c r="L781" t="s">
        <v>22</v>
      </c>
      <c r="M781">
        <v>1</v>
      </c>
      <c r="N781">
        <v>7</v>
      </c>
      <c r="O781">
        <v>5</v>
      </c>
      <c r="P781">
        <v>0</v>
      </c>
      <c r="Q781">
        <f t="shared" si="63"/>
        <v>13</v>
      </c>
      <c r="S781" t="str">
        <f t="shared" si="64"/>
        <v>Mentally Strained</v>
      </c>
    </row>
    <row r="782" spans="1:19" x14ac:dyDescent="0.25">
      <c r="A782">
        <v>15</v>
      </c>
      <c r="B782" t="str">
        <f t="shared" si="60"/>
        <v>Young Teenager</v>
      </c>
      <c r="C782" t="s">
        <v>16</v>
      </c>
      <c r="D782">
        <v>3.5</v>
      </c>
      <c r="E782" t="s">
        <v>23</v>
      </c>
      <c r="F782">
        <v>8.8000000000000007</v>
      </c>
      <c r="G782">
        <v>1.8</v>
      </c>
      <c r="H782">
        <f t="shared" si="61"/>
        <v>5.3</v>
      </c>
      <c r="I782">
        <v>3.5</v>
      </c>
      <c r="J782" t="str">
        <f t="shared" si="62"/>
        <v>Second class upper</v>
      </c>
      <c r="K782">
        <v>0.8</v>
      </c>
      <c r="L782" t="s">
        <v>18</v>
      </c>
      <c r="M782">
        <v>3</v>
      </c>
      <c r="N782">
        <v>6</v>
      </c>
      <c r="O782">
        <v>3</v>
      </c>
      <c r="P782">
        <v>0</v>
      </c>
      <c r="Q782">
        <f t="shared" si="63"/>
        <v>12</v>
      </c>
      <c r="S782" t="str">
        <f t="shared" si="64"/>
        <v>Mentally Strained</v>
      </c>
    </row>
    <row r="783" spans="1:19" x14ac:dyDescent="0.25">
      <c r="A783">
        <v>19</v>
      </c>
      <c r="B783" t="str">
        <f t="shared" si="60"/>
        <v>Old Teenager</v>
      </c>
      <c r="C783" t="s">
        <v>19</v>
      </c>
      <c r="D783">
        <v>5.4</v>
      </c>
      <c r="E783" t="s">
        <v>17</v>
      </c>
      <c r="F783">
        <v>7.3</v>
      </c>
      <c r="G783">
        <v>2</v>
      </c>
      <c r="H783">
        <f t="shared" si="61"/>
        <v>7.4</v>
      </c>
      <c r="I783">
        <v>3.98</v>
      </c>
      <c r="J783" t="str">
        <f t="shared" si="62"/>
        <v>first class</v>
      </c>
      <c r="K783">
        <v>0.9</v>
      </c>
      <c r="L783" t="s">
        <v>22</v>
      </c>
      <c r="M783">
        <v>6</v>
      </c>
      <c r="N783">
        <v>6</v>
      </c>
      <c r="O783">
        <v>1</v>
      </c>
      <c r="P783">
        <v>0</v>
      </c>
      <c r="Q783">
        <f t="shared" si="63"/>
        <v>13</v>
      </c>
      <c r="S783" t="str">
        <f t="shared" si="64"/>
        <v>Mentally Strained</v>
      </c>
    </row>
    <row r="784" spans="1:19" x14ac:dyDescent="0.25">
      <c r="A784">
        <v>17</v>
      </c>
      <c r="B784" t="str">
        <f t="shared" si="60"/>
        <v>Old Teenager</v>
      </c>
      <c r="C784" t="s">
        <v>16</v>
      </c>
      <c r="D784">
        <v>3.8</v>
      </c>
      <c r="E784" t="s">
        <v>23</v>
      </c>
      <c r="F784">
        <v>5.7</v>
      </c>
      <c r="G784">
        <v>2</v>
      </c>
      <c r="H784">
        <f t="shared" si="61"/>
        <v>5.8</v>
      </c>
      <c r="I784">
        <v>3.01</v>
      </c>
      <c r="J784" t="str">
        <f t="shared" si="62"/>
        <v>Second class upper</v>
      </c>
      <c r="K784">
        <v>1</v>
      </c>
      <c r="L784" t="s">
        <v>18</v>
      </c>
      <c r="M784">
        <v>1</v>
      </c>
      <c r="N784">
        <v>3</v>
      </c>
      <c r="O784">
        <v>1</v>
      </c>
      <c r="P784">
        <v>0</v>
      </c>
      <c r="Q784">
        <f t="shared" si="63"/>
        <v>5</v>
      </c>
      <c r="S784" t="str">
        <f t="shared" si="64"/>
        <v>Mentally Sound</v>
      </c>
    </row>
    <row r="785" spans="1:19" x14ac:dyDescent="0.25">
      <c r="A785">
        <v>17</v>
      </c>
      <c r="B785" t="str">
        <f t="shared" si="60"/>
        <v>Old Teenager</v>
      </c>
      <c r="C785" t="s">
        <v>16</v>
      </c>
      <c r="D785">
        <v>8</v>
      </c>
      <c r="E785" t="s">
        <v>17</v>
      </c>
      <c r="F785">
        <v>6.9</v>
      </c>
      <c r="G785">
        <v>2.2000000000000002</v>
      </c>
      <c r="H785">
        <f t="shared" si="61"/>
        <v>10.199999999999999</v>
      </c>
      <c r="I785">
        <v>2.36</v>
      </c>
      <c r="J785" t="str">
        <f t="shared" si="62"/>
        <v>third class</v>
      </c>
      <c r="K785">
        <v>1.6</v>
      </c>
      <c r="L785" t="s">
        <v>18</v>
      </c>
      <c r="M785">
        <v>4</v>
      </c>
      <c r="N785">
        <v>2</v>
      </c>
      <c r="O785">
        <v>8</v>
      </c>
      <c r="P785">
        <v>0</v>
      </c>
      <c r="Q785">
        <f t="shared" si="63"/>
        <v>14</v>
      </c>
      <c r="S785" t="str">
        <f t="shared" si="64"/>
        <v>Mentally Strained</v>
      </c>
    </row>
    <row r="786" spans="1:19" x14ac:dyDescent="0.25">
      <c r="A786">
        <v>14</v>
      </c>
      <c r="B786" t="str">
        <f t="shared" si="60"/>
        <v>Young Teenager</v>
      </c>
      <c r="C786" t="s">
        <v>19</v>
      </c>
      <c r="D786">
        <v>3.7</v>
      </c>
      <c r="E786" t="s">
        <v>20</v>
      </c>
      <c r="F786">
        <v>5.7</v>
      </c>
      <c r="G786">
        <v>1.7</v>
      </c>
      <c r="H786">
        <f t="shared" si="61"/>
        <v>5.4</v>
      </c>
      <c r="I786">
        <v>2.88</v>
      </c>
      <c r="J786" t="str">
        <f t="shared" si="62"/>
        <v>Second class lower</v>
      </c>
      <c r="K786">
        <v>0.2</v>
      </c>
      <c r="L786" t="s">
        <v>18</v>
      </c>
      <c r="M786">
        <v>9</v>
      </c>
      <c r="N786">
        <v>10</v>
      </c>
      <c r="O786">
        <v>3</v>
      </c>
      <c r="P786">
        <v>0</v>
      </c>
      <c r="Q786">
        <f t="shared" si="63"/>
        <v>22</v>
      </c>
      <c r="S786" t="str">
        <f t="shared" si="64"/>
        <v>Mentally Unstable</v>
      </c>
    </row>
    <row r="787" spans="1:19" x14ac:dyDescent="0.25">
      <c r="A787">
        <v>19</v>
      </c>
      <c r="B787" t="str">
        <f t="shared" si="60"/>
        <v>Old Teenager</v>
      </c>
      <c r="C787" t="s">
        <v>19</v>
      </c>
      <c r="D787">
        <v>5</v>
      </c>
      <c r="E787" t="s">
        <v>17</v>
      </c>
      <c r="F787">
        <v>6.3</v>
      </c>
      <c r="G787">
        <v>2.9</v>
      </c>
      <c r="H787">
        <f t="shared" si="61"/>
        <v>7.9</v>
      </c>
      <c r="I787">
        <v>2.04</v>
      </c>
      <c r="J787" t="str">
        <f t="shared" si="62"/>
        <v>third class</v>
      </c>
      <c r="K787">
        <v>0.5</v>
      </c>
      <c r="L787" t="s">
        <v>22</v>
      </c>
      <c r="M787">
        <v>5</v>
      </c>
      <c r="N787">
        <v>2</v>
      </c>
      <c r="O787">
        <v>2</v>
      </c>
      <c r="P787">
        <v>0</v>
      </c>
      <c r="Q787">
        <f t="shared" si="63"/>
        <v>9</v>
      </c>
      <c r="S787" t="str">
        <f t="shared" si="64"/>
        <v>Mentally Sound</v>
      </c>
    </row>
    <row r="788" spans="1:19" x14ac:dyDescent="0.25">
      <c r="A788">
        <v>19</v>
      </c>
      <c r="B788" t="str">
        <f t="shared" si="60"/>
        <v>Old Teenager</v>
      </c>
      <c r="C788" t="s">
        <v>19</v>
      </c>
      <c r="D788">
        <v>4.2</v>
      </c>
      <c r="E788" t="s">
        <v>17</v>
      </c>
      <c r="F788">
        <v>7.1</v>
      </c>
      <c r="G788">
        <v>2.5</v>
      </c>
      <c r="H788">
        <f t="shared" si="61"/>
        <v>6.7</v>
      </c>
      <c r="I788">
        <v>3.91</v>
      </c>
      <c r="J788" t="str">
        <f t="shared" si="62"/>
        <v>first class</v>
      </c>
      <c r="K788">
        <v>1.5</v>
      </c>
      <c r="L788" t="s">
        <v>21</v>
      </c>
      <c r="M788">
        <v>6</v>
      </c>
      <c r="N788">
        <v>8</v>
      </c>
      <c r="O788">
        <v>9</v>
      </c>
      <c r="P788">
        <v>0</v>
      </c>
      <c r="Q788">
        <f t="shared" si="63"/>
        <v>23</v>
      </c>
      <c r="S788" t="str">
        <f t="shared" si="64"/>
        <v>Mentally Unstable</v>
      </c>
    </row>
    <row r="789" spans="1:19" x14ac:dyDescent="0.25">
      <c r="A789">
        <v>16</v>
      </c>
      <c r="B789" t="str">
        <f t="shared" si="60"/>
        <v>Old Teenager</v>
      </c>
      <c r="C789" t="s">
        <v>16</v>
      </c>
      <c r="D789">
        <v>4.5999999999999996</v>
      </c>
      <c r="E789" t="s">
        <v>17</v>
      </c>
      <c r="F789">
        <v>8.1999999999999993</v>
      </c>
      <c r="G789">
        <v>1.5</v>
      </c>
      <c r="H789">
        <f t="shared" si="61"/>
        <v>6.1</v>
      </c>
      <c r="I789">
        <v>2.13</v>
      </c>
      <c r="J789" t="str">
        <f t="shared" si="62"/>
        <v>third class</v>
      </c>
      <c r="K789">
        <v>1</v>
      </c>
      <c r="L789" t="s">
        <v>18</v>
      </c>
      <c r="M789">
        <v>3</v>
      </c>
      <c r="N789">
        <v>2</v>
      </c>
      <c r="O789">
        <v>2</v>
      </c>
      <c r="P789">
        <v>0</v>
      </c>
      <c r="Q789">
        <f t="shared" si="63"/>
        <v>7</v>
      </c>
      <c r="S789" t="str">
        <f t="shared" si="64"/>
        <v>Mentally Sound</v>
      </c>
    </row>
    <row r="790" spans="1:19" x14ac:dyDescent="0.25">
      <c r="A790">
        <v>18</v>
      </c>
      <c r="B790" t="str">
        <f t="shared" si="60"/>
        <v>Old Teenager</v>
      </c>
      <c r="C790" t="s">
        <v>16</v>
      </c>
      <c r="D790">
        <v>5.5</v>
      </c>
      <c r="E790" t="s">
        <v>17</v>
      </c>
      <c r="F790">
        <v>5</v>
      </c>
      <c r="G790">
        <v>0.9</v>
      </c>
      <c r="H790">
        <f t="shared" si="61"/>
        <v>6.4</v>
      </c>
      <c r="I790">
        <v>2.93</v>
      </c>
      <c r="J790" t="str">
        <f t="shared" si="62"/>
        <v>Second class lower</v>
      </c>
      <c r="K790">
        <v>1.1000000000000001</v>
      </c>
      <c r="L790" t="s">
        <v>18</v>
      </c>
      <c r="M790">
        <v>4</v>
      </c>
      <c r="N790">
        <v>10</v>
      </c>
      <c r="O790">
        <v>10</v>
      </c>
      <c r="P790">
        <v>0</v>
      </c>
      <c r="Q790">
        <f t="shared" si="63"/>
        <v>24</v>
      </c>
      <c r="S790" t="str">
        <f t="shared" si="64"/>
        <v>Mentally Unstable</v>
      </c>
    </row>
    <row r="791" spans="1:19" x14ac:dyDescent="0.25">
      <c r="A791">
        <v>19</v>
      </c>
      <c r="B791" t="str">
        <f t="shared" si="60"/>
        <v>Old Teenager</v>
      </c>
      <c r="C791" t="s">
        <v>19</v>
      </c>
      <c r="D791">
        <v>1.8</v>
      </c>
      <c r="E791" t="s">
        <v>17</v>
      </c>
      <c r="F791">
        <v>4.5</v>
      </c>
      <c r="G791">
        <v>2.8</v>
      </c>
      <c r="H791">
        <f t="shared" si="61"/>
        <v>4.5999999999999996</v>
      </c>
      <c r="I791">
        <v>3.22</v>
      </c>
      <c r="J791" t="str">
        <f t="shared" si="62"/>
        <v>Second class upper</v>
      </c>
      <c r="K791">
        <v>1.6</v>
      </c>
      <c r="L791" t="s">
        <v>22</v>
      </c>
      <c r="M791">
        <v>5</v>
      </c>
      <c r="N791">
        <v>3</v>
      </c>
      <c r="O791">
        <v>10</v>
      </c>
      <c r="P791">
        <v>0</v>
      </c>
      <c r="Q791">
        <f t="shared" si="63"/>
        <v>18</v>
      </c>
      <c r="S791" t="str">
        <f t="shared" si="64"/>
        <v>Mentally Strained</v>
      </c>
    </row>
    <row r="792" spans="1:19" x14ac:dyDescent="0.25">
      <c r="A792">
        <v>14</v>
      </c>
      <c r="B792" t="str">
        <f t="shared" si="60"/>
        <v>Young Teenager</v>
      </c>
      <c r="C792" t="s">
        <v>19</v>
      </c>
      <c r="D792">
        <v>6.6</v>
      </c>
      <c r="E792" t="s">
        <v>20</v>
      </c>
      <c r="F792">
        <v>6.2</v>
      </c>
      <c r="G792">
        <v>1.8</v>
      </c>
      <c r="H792">
        <f t="shared" si="61"/>
        <v>8.4</v>
      </c>
      <c r="I792">
        <v>2.36</v>
      </c>
      <c r="J792" t="str">
        <f t="shared" si="62"/>
        <v>third class</v>
      </c>
      <c r="K792">
        <v>1.7</v>
      </c>
      <c r="L792" t="s">
        <v>21</v>
      </c>
      <c r="M792">
        <v>4</v>
      </c>
      <c r="N792">
        <v>1</v>
      </c>
      <c r="O792">
        <v>8</v>
      </c>
      <c r="P792">
        <v>0</v>
      </c>
      <c r="Q792">
        <f t="shared" si="63"/>
        <v>13</v>
      </c>
      <c r="S792" t="str">
        <f t="shared" si="64"/>
        <v>Mentally Strained</v>
      </c>
    </row>
    <row r="793" spans="1:19" x14ac:dyDescent="0.25">
      <c r="A793">
        <v>15</v>
      </c>
      <c r="B793" t="str">
        <f t="shared" si="60"/>
        <v>Young Teenager</v>
      </c>
      <c r="C793" t="s">
        <v>19</v>
      </c>
      <c r="D793">
        <v>4.4000000000000004</v>
      </c>
      <c r="E793" t="s">
        <v>20</v>
      </c>
      <c r="F793">
        <v>5.3</v>
      </c>
      <c r="G793">
        <v>0.9</v>
      </c>
      <c r="H793">
        <f t="shared" si="61"/>
        <v>5.3000000000000007</v>
      </c>
      <c r="I793">
        <v>3.75</v>
      </c>
      <c r="J793" t="str">
        <f t="shared" si="62"/>
        <v>first class</v>
      </c>
      <c r="K793">
        <v>0.5</v>
      </c>
      <c r="L793" t="s">
        <v>21</v>
      </c>
      <c r="M793">
        <v>10</v>
      </c>
      <c r="N793">
        <v>5</v>
      </c>
      <c r="O793">
        <v>5</v>
      </c>
      <c r="P793">
        <v>0</v>
      </c>
      <c r="Q793">
        <f t="shared" si="63"/>
        <v>20</v>
      </c>
      <c r="S793" t="str">
        <f t="shared" si="64"/>
        <v>Mentally Unstable</v>
      </c>
    </row>
    <row r="794" spans="1:19" x14ac:dyDescent="0.25">
      <c r="A794">
        <v>14</v>
      </c>
      <c r="B794" t="str">
        <f t="shared" si="60"/>
        <v>Young Teenager</v>
      </c>
      <c r="C794" t="s">
        <v>19</v>
      </c>
      <c r="D794">
        <v>4.7</v>
      </c>
      <c r="E794" t="s">
        <v>20</v>
      </c>
      <c r="F794">
        <v>4.4000000000000004</v>
      </c>
      <c r="G794">
        <v>2.1</v>
      </c>
      <c r="H794">
        <f t="shared" si="61"/>
        <v>6.8000000000000007</v>
      </c>
      <c r="I794">
        <v>3.92</v>
      </c>
      <c r="J794" t="str">
        <f t="shared" si="62"/>
        <v>first class</v>
      </c>
      <c r="K794">
        <v>0.9</v>
      </c>
      <c r="L794" t="s">
        <v>18</v>
      </c>
      <c r="M794">
        <v>10</v>
      </c>
      <c r="N794">
        <v>1</v>
      </c>
      <c r="O794">
        <v>4</v>
      </c>
      <c r="P794">
        <v>0</v>
      </c>
      <c r="Q794">
        <f t="shared" si="63"/>
        <v>15</v>
      </c>
      <c r="S794" t="str">
        <f t="shared" si="64"/>
        <v>Mentally Strained</v>
      </c>
    </row>
    <row r="795" spans="1:19" x14ac:dyDescent="0.25">
      <c r="A795">
        <v>18</v>
      </c>
      <c r="B795" t="str">
        <f t="shared" si="60"/>
        <v>Old Teenager</v>
      </c>
      <c r="C795" t="s">
        <v>19</v>
      </c>
      <c r="D795">
        <v>7.1</v>
      </c>
      <c r="E795" t="s">
        <v>17</v>
      </c>
      <c r="F795">
        <v>5.7</v>
      </c>
      <c r="G795">
        <v>0.6</v>
      </c>
      <c r="H795">
        <f t="shared" si="61"/>
        <v>7.6999999999999993</v>
      </c>
      <c r="I795">
        <v>2.9</v>
      </c>
      <c r="J795" t="str">
        <f t="shared" si="62"/>
        <v>Second class lower</v>
      </c>
      <c r="K795">
        <v>1.7</v>
      </c>
      <c r="L795" t="s">
        <v>22</v>
      </c>
      <c r="M795">
        <v>3</v>
      </c>
      <c r="N795">
        <v>1</v>
      </c>
      <c r="O795">
        <v>6</v>
      </c>
      <c r="P795">
        <v>0</v>
      </c>
      <c r="Q795">
        <f t="shared" si="63"/>
        <v>10</v>
      </c>
      <c r="S795" t="str">
        <f t="shared" si="64"/>
        <v>Mentally Strained</v>
      </c>
    </row>
    <row r="796" spans="1:19" x14ac:dyDescent="0.25">
      <c r="A796">
        <v>17</v>
      </c>
      <c r="B796" t="str">
        <f t="shared" si="60"/>
        <v>Old Teenager</v>
      </c>
      <c r="C796" t="s">
        <v>16</v>
      </c>
      <c r="D796">
        <v>4</v>
      </c>
      <c r="E796" t="s">
        <v>23</v>
      </c>
      <c r="F796">
        <v>8.5</v>
      </c>
      <c r="G796">
        <v>1</v>
      </c>
      <c r="H796">
        <f t="shared" si="61"/>
        <v>5</v>
      </c>
      <c r="I796">
        <v>2.16</v>
      </c>
      <c r="J796" t="str">
        <f t="shared" si="62"/>
        <v>third class</v>
      </c>
      <c r="K796">
        <v>0.1</v>
      </c>
      <c r="L796" t="s">
        <v>18</v>
      </c>
      <c r="M796">
        <v>1</v>
      </c>
      <c r="N796">
        <v>7</v>
      </c>
      <c r="O796">
        <v>5</v>
      </c>
      <c r="P796">
        <v>0</v>
      </c>
      <c r="Q796">
        <f t="shared" si="63"/>
        <v>13</v>
      </c>
      <c r="S796" t="str">
        <f t="shared" si="64"/>
        <v>Mentally Strained</v>
      </c>
    </row>
    <row r="797" spans="1:19" x14ac:dyDescent="0.25">
      <c r="A797">
        <v>18</v>
      </c>
      <c r="B797" t="str">
        <f t="shared" si="60"/>
        <v>Old Teenager</v>
      </c>
      <c r="C797" t="s">
        <v>19</v>
      </c>
      <c r="D797">
        <v>5.5</v>
      </c>
      <c r="E797" t="s">
        <v>17</v>
      </c>
      <c r="F797">
        <v>5.3</v>
      </c>
      <c r="G797">
        <v>2.6</v>
      </c>
      <c r="H797">
        <f t="shared" si="61"/>
        <v>8.1</v>
      </c>
      <c r="I797">
        <v>3.09</v>
      </c>
      <c r="J797" t="str">
        <f t="shared" si="62"/>
        <v>Second class upper</v>
      </c>
      <c r="K797">
        <v>2</v>
      </c>
      <c r="L797" t="s">
        <v>18</v>
      </c>
      <c r="M797">
        <v>8</v>
      </c>
      <c r="N797">
        <v>6</v>
      </c>
      <c r="O797">
        <v>3</v>
      </c>
      <c r="P797">
        <v>0</v>
      </c>
      <c r="Q797">
        <f t="shared" si="63"/>
        <v>17</v>
      </c>
      <c r="S797" t="str">
        <f t="shared" si="64"/>
        <v>Mentally Strained</v>
      </c>
    </row>
    <row r="798" spans="1:19" x14ac:dyDescent="0.25">
      <c r="A798">
        <v>19</v>
      </c>
      <c r="B798" t="str">
        <f t="shared" si="60"/>
        <v>Old Teenager</v>
      </c>
      <c r="C798" t="s">
        <v>16</v>
      </c>
      <c r="D798">
        <v>5.6</v>
      </c>
      <c r="E798" t="s">
        <v>20</v>
      </c>
      <c r="F798">
        <v>6.5</v>
      </c>
      <c r="G798">
        <v>1.4</v>
      </c>
      <c r="H798">
        <f t="shared" si="61"/>
        <v>7</v>
      </c>
      <c r="I798">
        <v>3.19</v>
      </c>
      <c r="J798" t="str">
        <f t="shared" si="62"/>
        <v>Second class upper</v>
      </c>
      <c r="K798">
        <v>0</v>
      </c>
      <c r="L798" t="s">
        <v>21</v>
      </c>
      <c r="M798">
        <v>9</v>
      </c>
      <c r="N798">
        <v>9</v>
      </c>
      <c r="O798">
        <v>7</v>
      </c>
      <c r="P798">
        <v>0</v>
      </c>
      <c r="Q798">
        <f t="shared" si="63"/>
        <v>25</v>
      </c>
      <c r="S798" t="str">
        <f t="shared" si="64"/>
        <v>Mentally Unstable</v>
      </c>
    </row>
    <row r="799" spans="1:19" x14ac:dyDescent="0.25">
      <c r="A799">
        <v>14</v>
      </c>
      <c r="B799" t="str">
        <f t="shared" si="60"/>
        <v>Young Teenager</v>
      </c>
      <c r="C799" t="s">
        <v>19</v>
      </c>
      <c r="D799">
        <v>3.7</v>
      </c>
      <c r="E799" t="s">
        <v>23</v>
      </c>
      <c r="F799">
        <v>7.1</v>
      </c>
      <c r="G799">
        <v>1.7</v>
      </c>
      <c r="H799">
        <f t="shared" si="61"/>
        <v>5.4</v>
      </c>
      <c r="I799">
        <v>2.5</v>
      </c>
      <c r="J799" t="str">
        <f t="shared" si="62"/>
        <v>Second class lower</v>
      </c>
      <c r="K799">
        <v>1.8</v>
      </c>
      <c r="L799" t="s">
        <v>22</v>
      </c>
      <c r="M799">
        <v>10</v>
      </c>
      <c r="N799">
        <v>4</v>
      </c>
      <c r="O799">
        <v>5</v>
      </c>
      <c r="P799">
        <v>0</v>
      </c>
      <c r="Q799">
        <f t="shared" si="63"/>
        <v>19</v>
      </c>
      <c r="S799" t="str">
        <f t="shared" si="64"/>
        <v>Mentally Strained</v>
      </c>
    </row>
    <row r="800" spans="1:19" x14ac:dyDescent="0.25">
      <c r="A800">
        <v>16</v>
      </c>
      <c r="B800" t="str">
        <f t="shared" si="60"/>
        <v>Old Teenager</v>
      </c>
      <c r="C800" t="s">
        <v>16</v>
      </c>
      <c r="D800">
        <v>1.8</v>
      </c>
      <c r="E800" t="s">
        <v>20</v>
      </c>
      <c r="F800">
        <v>7.4</v>
      </c>
      <c r="G800">
        <v>2.2999999999999998</v>
      </c>
      <c r="H800">
        <f t="shared" si="61"/>
        <v>4.0999999999999996</v>
      </c>
      <c r="I800">
        <v>3.76</v>
      </c>
      <c r="J800" t="str">
        <f t="shared" si="62"/>
        <v>first class</v>
      </c>
      <c r="K800">
        <v>0.8</v>
      </c>
      <c r="L800" t="s">
        <v>18</v>
      </c>
      <c r="M800">
        <v>9</v>
      </c>
      <c r="N800">
        <v>5</v>
      </c>
      <c r="O800">
        <v>8</v>
      </c>
      <c r="P800">
        <v>0</v>
      </c>
      <c r="Q800">
        <f t="shared" si="63"/>
        <v>22</v>
      </c>
      <c r="S800" t="str">
        <f t="shared" si="64"/>
        <v>Mentally Unstable</v>
      </c>
    </row>
    <row r="801" spans="1:19" x14ac:dyDescent="0.25">
      <c r="A801">
        <v>16</v>
      </c>
      <c r="B801" t="str">
        <f t="shared" si="60"/>
        <v>Old Teenager</v>
      </c>
      <c r="C801" t="s">
        <v>19</v>
      </c>
      <c r="D801">
        <v>7.6</v>
      </c>
      <c r="E801" t="s">
        <v>20</v>
      </c>
      <c r="F801">
        <v>4.2</v>
      </c>
      <c r="G801">
        <v>2.8</v>
      </c>
      <c r="H801">
        <f t="shared" si="61"/>
        <v>10.399999999999999</v>
      </c>
      <c r="I801">
        <v>3.87</v>
      </c>
      <c r="J801" t="str">
        <f t="shared" si="62"/>
        <v>first class</v>
      </c>
      <c r="K801">
        <v>0.7</v>
      </c>
      <c r="L801" t="s">
        <v>21</v>
      </c>
      <c r="M801">
        <v>10</v>
      </c>
      <c r="N801">
        <v>2</v>
      </c>
      <c r="O801">
        <v>9</v>
      </c>
      <c r="P801">
        <v>0</v>
      </c>
      <c r="Q801">
        <f t="shared" si="63"/>
        <v>21</v>
      </c>
      <c r="S801" t="str">
        <f t="shared" si="64"/>
        <v>Mentally Unstable</v>
      </c>
    </row>
    <row r="802" spans="1:19" x14ac:dyDescent="0.25">
      <c r="A802">
        <v>18</v>
      </c>
      <c r="B802" t="str">
        <f t="shared" si="60"/>
        <v>Old Teenager</v>
      </c>
      <c r="C802" t="s">
        <v>16</v>
      </c>
      <c r="D802">
        <v>5.7</v>
      </c>
      <c r="E802" t="s">
        <v>20</v>
      </c>
      <c r="F802">
        <v>8</v>
      </c>
      <c r="G802">
        <v>2.5</v>
      </c>
      <c r="H802">
        <f t="shared" si="61"/>
        <v>8.1999999999999993</v>
      </c>
      <c r="I802">
        <v>3.4</v>
      </c>
      <c r="J802" t="str">
        <f t="shared" si="62"/>
        <v>Second class upper</v>
      </c>
      <c r="K802">
        <v>0.1</v>
      </c>
      <c r="L802" t="s">
        <v>18</v>
      </c>
      <c r="M802">
        <v>5</v>
      </c>
      <c r="N802">
        <v>2</v>
      </c>
      <c r="O802">
        <v>1</v>
      </c>
      <c r="P802">
        <v>0</v>
      </c>
      <c r="Q802">
        <f t="shared" si="63"/>
        <v>8</v>
      </c>
      <c r="S802" t="str">
        <f t="shared" si="64"/>
        <v>Mentally Sound</v>
      </c>
    </row>
    <row r="803" spans="1:19" x14ac:dyDescent="0.25">
      <c r="A803">
        <v>14</v>
      </c>
      <c r="B803" t="str">
        <f t="shared" si="60"/>
        <v>Young Teenager</v>
      </c>
      <c r="C803" t="s">
        <v>19</v>
      </c>
      <c r="D803">
        <v>6.1</v>
      </c>
      <c r="E803" t="s">
        <v>17</v>
      </c>
      <c r="F803">
        <v>7</v>
      </c>
      <c r="G803">
        <v>2.7</v>
      </c>
      <c r="H803">
        <f t="shared" si="61"/>
        <v>8.8000000000000007</v>
      </c>
      <c r="I803">
        <v>3.97</v>
      </c>
      <c r="J803" t="str">
        <f t="shared" si="62"/>
        <v>first class</v>
      </c>
      <c r="K803">
        <v>1</v>
      </c>
      <c r="L803" t="s">
        <v>22</v>
      </c>
      <c r="M803">
        <v>1</v>
      </c>
      <c r="N803">
        <v>8</v>
      </c>
      <c r="O803">
        <v>8</v>
      </c>
      <c r="P803">
        <v>0</v>
      </c>
      <c r="Q803">
        <f t="shared" si="63"/>
        <v>17</v>
      </c>
      <c r="S803" t="str">
        <f t="shared" si="64"/>
        <v>Mentally Strained</v>
      </c>
    </row>
    <row r="804" spans="1:19" x14ac:dyDescent="0.25">
      <c r="A804">
        <v>13</v>
      </c>
      <c r="B804" t="str">
        <f t="shared" si="60"/>
        <v>Young Teenager</v>
      </c>
      <c r="C804" t="s">
        <v>19</v>
      </c>
      <c r="D804">
        <v>6</v>
      </c>
      <c r="E804" t="s">
        <v>17</v>
      </c>
      <c r="F804">
        <v>7.2</v>
      </c>
      <c r="G804">
        <v>0.6</v>
      </c>
      <c r="H804">
        <f t="shared" si="61"/>
        <v>6.6</v>
      </c>
      <c r="I804">
        <v>2.11</v>
      </c>
      <c r="J804" t="str">
        <f t="shared" si="62"/>
        <v>third class</v>
      </c>
      <c r="K804">
        <v>1.1000000000000001</v>
      </c>
      <c r="L804" t="s">
        <v>18</v>
      </c>
      <c r="M804">
        <v>1</v>
      </c>
      <c r="N804">
        <v>3</v>
      </c>
      <c r="O804">
        <v>6</v>
      </c>
      <c r="P804">
        <v>0</v>
      </c>
      <c r="Q804">
        <f t="shared" si="63"/>
        <v>10</v>
      </c>
      <c r="S804" t="str">
        <f t="shared" si="64"/>
        <v>Mentally Strained</v>
      </c>
    </row>
    <row r="805" spans="1:19" x14ac:dyDescent="0.25">
      <c r="A805">
        <v>15</v>
      </c>
      <c r="B805" t="str">
        <f t="shared" si="60"/>
        <v>Young Teenager</v>
      </c>
      <c r="C805" t="s">
        <v>19</v>
      </c>
      <c r="D805">
        <v>3.1</v>
      </c>
      <c r="E805" t="s">
        <v>20</v>
      </c>
      <c r="F805">
        <v>4.2</v>
      </c>
      <c r="G805">
        <v>2.4</v>
      </c>
      <c r="H805">
        <f t="shared" si="61"/>
        <v>5.5</v>
      </c>
      <c r="I805">
        <v>3.41</v>
      </c>
      <c r="J805" t="str">
        <f t="shared" si="62"/>
        <v>Second class upper</v>
      </c>
      <c r="K805">
        <v>0.2</v>
      </c>
      <c r="L805" t="s">
        <v>18</v>
      </c>
      <c r="M805">
        <v>3</v>
      </c>
      <c r="N805">
        <v>7</v>
      </c>
      <c r="O805">
        <v>5</v>
      </c>
      <c r="P805">
        <v>0</v>
      </c>
      <c r="Q805">
        <f t="shared" si="63"/>
        <v>15</v>
      </c>
      <c r="S805" t="str">
        <f t="shared" si="64"/>
        <v>Mentally Strained</v>
      </c>
    </row>
    <row r="806" spans="1:19" x14ac:dyDescent="0.25">
      <c r="A806">
        <v>17</v>
      </c>
      <c r="B806" t="str">
        <f t="shared" si="60"/>
        <v>Old Teenager</v>
      </c>
      <c r="C806" t="s">
        <v>16</v>
      </c>
      <c r="D806">
        <v>7.6</v>
      </c>
      <c r="E806" t="s">
        <v>17</v>
      </c>
      <c r="F806">
        <v>6</v>
      </c>
      <c r="G806">
        <v>2</v>
      </c>
      <c r="H806">
        <f t="shared" si="61"/>
        <v>9.6</v>
      </c>
      <c r="I806">
        <v>3.82</v>
      </c>
      <c r="J806" t="str">
        <f t="shared" si="62"/>
        <v>first class</v>
      </c>
      <c r="K806">
        <v>1.5</v>
      </c>
      <c r="L806" t="s">
        <v>18</v>
      </c>
      <c r="M806">
        <v>8</v>
      </c>
      <c r="N806">
        <v>9</v>
      </c>
      <c r="O806">
        <v>7</v>
      </c>
      <c r="P806">
        <v>0</v>
      </c>
      <c r="Q806">
        <f t="shared" si="63"/>
        <v>24</v>
      </c>
      <c r="S806" t="str">
        <f t="shared" si="64"/>
        <v>Mentally Unstable</v>
      </c>
    </row>
    <row r="807" spans="1:19" x14ac:dyDescent="0.25">
      <c r="A807">
        <v>17</v>
      </c>
      <c r="B807" t="str">
        <f t="shared" si="60"/>
        <v>Old Teenager</v>
      </c>
      <c r="C807" t="s">
        <v>16</v>
      </c>
      <c r="D807">
        <v>6</v>
      </c>
      <c r="E807" t="s">
        <v>23</v>
      </c>
      <c r="F807">
        <v>5.3</v>
      </c>
      <c r="G807">
        <v>2.7</v>
      </c>
      <c r="H807">
        <f t="shared" si="61"/>
        <v>8.6999999999999993</v>
      </c>
      <c r="I807">
        <v>3.2</v>
      </c>
      <c r="J807" t="str">
        <f t="shared" si="62"/>
        <v>Second class upper</v>
      </c>
      <c r="K807">
        <v>1.4</v>
      </c>
      <c r="L807" t="s">
        <v>22</v>
      </c>
      <c r="M807">
        <v>8</v>
      </c>
      <c r="N807">
        <v>2</v>
      </c>
      <c r="O807">
        <v>4</v>
      </c>
      <c r="P807">
        <v>0</v>
      </c>
      <c r="Q807">
        <f t="shared" si="63"/>
        <v>14</v>
      </c>
      <c r="S807" t="str">
        <f t="shared" si="64"/>
        <v>Mentally Strained</v>
      </c>
    </row>
    <row r="808" spans="1:19" x14ac:dyDescent="0.25">
      <c r="A808">
        <v>13</v>
      </c>
      <c r="B808" t="str">
        <f t="shared" si="60"/>
        <v>Young Teenager</v>
      </c>
      <c r="C808" t="s">
        <v>19</v>
      </c>
      <c r="D808">
        <v>3.5</v>
      </c>
      <c r="E808" t="s">
        <v>17</v>
      </c>
      <c r="F808">
        <v>5.3</v>
      </c>
      <c r="G808">
        <v>2.7</v>
      </c>
      <c r="H808">
        <f t="shared" si="61"/>
        <v>6.2</v>
      </c>
      <c r="I808">
        <v>3.7</v>
      </c>
      <c r="J808" t="str">
        <f t="shared" si="62"/>
        <v>first class</v>
      </c>
      <c r="K808">
        <v>0.5</v>
      </c>
      <c r="L808" t="s">
        <v>18</v>
      </c>
      <c r="M808">
        <v>3</v>
      </c>
      <c r="N808">
        <v>7</v>
      </c>
      <c r="O808">
        <v>2</v>
      </c>
      <c r="P808">
        <v>0</v>
      </c>
      <c r="Q808">
        <f t="shared" si="63"/>
        <v>12</v>
      </c>
      <c r="S808" t="str">
        <f t="shared" si="64"/>
        <v>Mentally Strained</v>
      </c>
    </row>
    <row r="809" spans="1:19" x14ac:dyDescent="0.25">
      <c r="A809">
        <v>14</v>
      </c>
      <c r="B809" t="str">
        <f t="shared" si="60"/>
        <v>Young Teenager</v>
      </c>
      <c r="C809" t="s">
        <v>19</v>
      </c>
      <c r="D809">
        <v>1.3</v>
      </c>
      <c r="E809" t="s">
        <v>20</v>
      </c>
      <c r="F809">
        <v>7.5</v>
      </c>
      <c r="G809">
        <v>1.4</v>
      </c>
      <c r="H809">
        <f t="shared" si="61"/>
        <v>2.7</v>
      </c>
      <c r="I809">
        <v>3.85</v>
      </c>
      <c r="J809" t="str">
        <f t="shared" si="62"/>
        <v>first class</v>
      </c>
      <c r="K809">
        <v>1.6</v>
      </c>
      <c r="L809" t="s">
        <v>22</v>
      </c>
      <c r="M809">
        <v>10</v>
      </c>
      <c r="N809">
        <v>8</v>
      </c>
      <c r="O809">
        <v>7</v>
      </c>
      <c r="P809">
        <v>0</v>
      </c>
      <c r="Q809">
        <f t="shared" si="63"/>
        <v>25</v>
      </c>
      <c r="S809" t="str">
        <f t="shared" si="64"/>
        <v>Mentally Unstable</v>
      </c>
    </row>
    <row r="810" spans="1:19" x14ac:dyDescent="0.25">
      <c r="A810">
        <v>18</v>
      </c>
      <c r="B810" t="str">
        <f t="shared" si="60"/>
        <v>Old Teenager</v>
      </c>
      <c r="C810" t="s">
        <v>19</v>
      </c>
      <c r="D810">
        <v>2.8</v>
      </c>
      <c r="E810" t="s">
        <v>20</v>
      </c>
      <c r="F810">
        <v>7</v>
      </c>
      <c r="G810">
        <v>2.9</v>
      </c>
      <c r="H810">
        <f t="shared" si="61"/>
        <v>5.6999999999999993</v>
      </c>
      <c r="I810">
        <v>3.91</v>
      </c>
      <c r="J810" t="str">
        <f t="shared" si="62"/>
        <v>first class</v>
      </c>
      <c r="K810">
        <v>1.1000000000000001</v>
      </c>
      <c r="L810" t="s">
        <v>22</v>
      </c>
      <c r="M810">
        <v>9</v>
      </c>
      <c r="N810">
        <v>9</v>
      </c>
      <c r="O810">
        <v>1</v>
      </c>
      <c r="P810">
        <v>0</v>
      </c>
      <c r="Q810">
        <f t="shared" si="63"/>
        <v>19</v>
      </c>
      <c r="S810" t="str">
        <f t="shared" si="64"/>
        <v>Mentally Strained</v>
      </c>
    </row>
    <row r="811" spans="1:19" x14ac:dyDescent="0.25">
      <c r="A811">
        <v>14</v>
      </c>
      <c r="B811" t="str">
        <f t="shared" si="60"/>
        <v>Young Teenager</v>
      </c>
      <c r="C811" t="s">
        <v>16</v>
      </c>
      <c r="D811">
        <v>3.9</v>
      </c>
      <c r="E811" t="s">
        <v>23</v>
      </c>
      <c r="F811">
        <v>4.8</v>
      </c>
      <c r="G811">
        <v>0.8</v>
      </c>
      <c r="H811">
        <f t="shared" si="61"/>
        <v>4.7</v>
      </c>
      <c r="I811">
        <v>3.32</v>
      </c>
      <c r="J811" t="str">
        <f t="shared" si="62"/>
        <v>Second class upper</v>
      </c>
      <c r="K811">
        <v>0.3</v>
      </c>
      <c r="L811" t="s">
        <v>21</v>
      </c>
      <c r="M811">
        <v>5</v>
      </c>
      <c r="N811">
        <v>2</v>
      </c>
      <c r="O811">
        <v>5</v>
      </c>
      <c r="P811">
        <v>0</v>
      </c>
      <c r="Q811">
        <f t="shared" si="63"/>
        <v>12</v>
      </c>
      <c r="S811" t="str">
        <f t="shared" si="64"/>
        <v>Mentally Strained</v>
      </c>
    </row>
    <row r="812" spans="1:19" x14ac:dyDescent="0.25">
      <c r="A812">
        <v>19</v>
      </c>
      <c r="B812" t="str">
        <f t="shared" si="60"/>
        <v>Old Teenager</v>
      </c>
      <c r="C812" t="s">
        <v>16</v>
      </c>
      <c r="D812">
        <v>3.9</v>
      </c>
      <c r="E812" t="s">
        <v>23</v>
      </c>
      <c r="F812">
        <v>4.8</v>
      </c>
      <c r="G812">
        <v>2.8</v>
      </c>
      <c r="H812">
        <f t="shared" si="61"/>
        <v>6.6999999999999993</v>
      </c>
      <c r="I812">
        <v>3.98</v>
      </c>
      <c r="J812" t="str">
        <f t="shared" si="62"/>
        <v>first class</v>
      </c>
      <c r="K812">
        <v>1.9</v>
      </c>
      <c r="L812" t="s">
        <v>22</v>
      </c>
      <c r="M812">
        <v>7</v>
      </c>
      <c r="N812">
        <v>5</v>
      </c>
      <c r="O812">
        <v>3</v>
      </c>
      <c r="P812">
        <v>0</v>
      </c>
      <c r="Q812">
        <f t="shared" si="63"/>
        <v>15</v>
      </c>
      <c r="S812" t="str">
        <f t="shared" si="64"/>
        <v>Mentally Strained</v>
      </c>
    </row>
    <row r="813" spans="1:19" x14ac:dyDescent="0.25">
      <c r="A813">
        <v>14</v>
      </c>
      <c r="B813" t="str">
        <f t="shared" si="60"/>
        <v>Young Teenager</v>
      </c>
      <c r="C813" t="s">
        <v>16</v>
      </c>
      <c r="D813">
        <v>7.4</v>
      </c>
      <c r="E813" t="s">
        <v>17</v>
      </c>
      <c r="F813">
        <v>8.9</v>
      </c>
      <c r="G813">
        <v>2.4</v>
      </c>
      <c r="H813">
        <f t="shared" si="61"/>
        <v>9.8000000000000007</v>
      </c>
      <c r="I813">
        <v>2.29</v>
      </c>
      <c r="J813" t="str">
        <f t="shared" si="62"/>
        <v>third class</v>
      </c>
      <c r="K813">
        <v>1.1000000000000001</v>
      </c>
      <c r="L813" t="s">
        <v>18</v>
      </c>
      <c r="M813">
        <v>10</v>
      </c>
      <c r="N813">
        <v>4</v>
      </c>
      <c r="O813">
        <v>8</v>
      </c>
      <c r="P813">
        <v>0</v>
      </c>
      <c r="Q813">
        <f t="shared" si="63"/>
        <v>22</v>
      </c>
      <c r="S813" t="str">
        <f t="shared" si="64"/>
        <v>Mentally Unstable</v>
      </c>
    </row>
    <row r="814" spans="1:19" x14ac:dyDescent="0.25">
      <c r="A814">
        <v>19</v>
      </c>
      <c r="B814" t="str">
        <f t="shared" si="60"/>
        <v>Old Teenager</v>
      </c>
      <c r="C814" t="s">
        <v>19</v>
      </c>
      <c r="D814">
        <v>5.4</v>
      </c>
      <c r="E814" t="s">
        <v>20</v>
      </c>
      <c r="F814">
        <v>7.4</v>
      </c>
      <c r="G814">
        <v>1.7</v>
      </c>
      <c r="H814">
        <f t="shared" si="61"/>
        <v>7.1000000000000005</v>
      </c>
      <c r="I814">
        <v>2.88</v>
      </c>
      <c r="J814" t="str">
        <f t="shared" si="62"/>
        <v>Second class lower</v>
      </c>
      <c r="K814">
        <v>0.6</v>
      </c>
      <c r="L814" t="s">
        <v>18</v>
      </c>
      <c r="M814">
        <v>6</v>
      </c>
      <c r="N814">
        <v>10</v>
      </c>
      <c r="O814">
        <v>9</v>
      </c>
      <c r="P814">
        <v>0</v>
      </c>
      <c r="Q814">
        <f t="shared" si="63"/>
        <v>25</v>
      </c>
      <c r="S814" t="str">
        <f t="shared" si="64"/>
        <v>Mentally Unstable</v>
      </c>
    </row>
    <row r="815" spans="1:19" x14ac:dyDescent="0.25">
      <c r="A815">
        <v>19</v>
      </c>
      <c r="B815" t="str">
        <f t="shared" si="60"/>
        <v>Old Teenager</v>
      </c>
      <c r="C815" t="s">
        <v>19</v>
      </c>
      <c r="D815">
        <v>6.6</v>
      </c>
      <c r="E815" t="s">
        <v>23</v>
      </c>
      <c r="F815">
        <v>6.8</v>
      </c>
      <c r="G815">
        <v>0.8</v>
      </c>
      <c r="H815">
        <f t="shared" si="61"/>
        <v>7.3999999999999995</v>
      </c>
      <c r="I815">
        <v>2.64</v>
      </c>
      <c r="J815" t="str">
        <f t="shared" si="62"/>
        <v>Second class lower</v>
      </c>
      <c r="K815">
        <v>1.5</v>
      </c>
      <c r="L815" t="s">
        <v>18</v>
      </c>
      <c r="M815">
        <v>5</v>
      </c>
      <c r="N815">
        <v>4</v>
      </c>
      <c r="O815">
        <v>6</v>
      </c>
      <c r="P815">
        <v>0</v>
      </c>
      <c r="Q815">
        <f t="shared" si="63"/>
        <v>15</v>
      </c>
      <c r="S815" t="str">
        <f t="shared" si="64"/>
        <v>Mentally Strained</v>
      </c>
    </row>
    <row r="816" spans="1:19" x14ac:dyDescent="0.25">
      <c r="A816">
        <v>17</v>
      </c>
      <c r="B816" t="str">
        <f t="shared" si="60"/>
        <v>Old Teenager</v>
      </c>
      <c r="C816" t="s">
        <v>16</v>
      </c>
      <c r="D816">
        <v>5.9</v>
      </c>
      <c r="E816" t="s">
        <v>17</v>
      </c>
      <c r="F816">
        <v>7.4</v>
      </c>
      <c r="G816">
        <v>1.7</v>
      </c>
      <c r="H816">
        <f t="shared" si="61"/>
        <v>7.6000000000000005</v>
      </c>
      <c r="I816">
        <v>2.5</v>
      </c>
      <c r="J816" t="str">
        <f t="shared" si="62"/>
        <v>Second class lower</v>
      </c>
      <c r="K816">
        <v>0.7</v>
      </c>
      <c r="L816" t="s">
        <v>21</v>
      </c>
      <c r="M816">
        <v>6</v>
      </c>
      <c r="N816">
        <v>7</v>
      </c>
      <c r="O816">
        <v>1</v>
      </c>
      <c r="P816">
        <v>0</v>
      </c>
      <c r="Q816">
        <f t="shared" si="63"/>
        <v>14</v>
      </c>
      <c r="S816" t="str">
        <f t="shared" si="64"/>
        <v>Mentally Strained</v>
      </c>
    </row>
    <row r="817" spans="1:19" x14ac:dyDescent="0.25">
      <c r="A817">
        <v>17</v>
      </c>
      <c r="B817" t="str">
        <f t="shared" si="60"/>
        <v>Old Teenager</v>
      </c>
      <c r="C817" t="s">
        <v>16</v>
      </c>
      <c r="D817">
        <v>3.3</v>
      </c>
      <c r="E817" t="s">
        <v>23</v>
      </c>
      <c r="F817">
        <v>5.2</v>
      </c>
      <c r="G817">
        <v>1.8</v>
      </c>
      <c r="H817">
        <f t="shared" si="61"/>
        <v>5.0999999999999996</v>
      </c>
      <c r="I817">
        <v>2.1</v>
      </c>
      <c r="J817" t="str">
        <f t="shared" si="62"/>
        <v>third class</v>
      </c>
      <c r="K817">
        <v>1.2</v>
      </c>
      <c r="L817" t="s">
        <v>18</v>
      </c>
      <c r="M817">
        <v>2</v>
      </c>
      <c r="N817">
        <v>3</v>
      </c>
      <c r="O817">
        <v>9</v>
      </c>
      <c r="P817">
        <v>0</v>
      </c>
      <c r="Q817">
        <f t="shared" si="63"/>
        <v>14</v>
      </c>
      <c r="S817" t="str">
        <f t="shared" si="64"/>
        <v>Mentally Strained</v>
      </c>
    </row>
    <row r="818" spans="1:19" x14ac:dyDescent="0.25">
      <c r="A818">
        <v>15</v>
      </c>
      <c r="B818" t="str">
        <f t="shared" si="60"/>
        <v>Young Teenager</v>
      </c>
      <c r="C818" t="s">
        <v>19</v>
      </c>
      <c r="D818">
        <v>2.8</v>
      </c>
      <c r="E818" t="s">
        <v>17</v>
      </c>
      <c r="F818">
        <v>7.7</v>
      </c>
      <c r="G818">
        <v>1</v>
      </c>
      <c r="H818">
        <f t="shared" si="61"/>
        <v>3.8</v>
      </c>
      <c r="I818">
        <v>3.73</v>
      </c>
      <c r="J818" t="str">
        <f t="shared" si="62"/>
        <v>first class</v>
      </c>
      <c r="K818">
        <v>0.5</v>
      </c>
      <c r="L818" t="s">
        <v>22</v>
      </c>
      <c r="M818">
        <v>6</v>
      </c>
      <c r="N818">
        <v>10</v>
      </c>
      <c r="O818">
        <v>1</v>
      </c>
      <c r="P818">
        <v>0</v>
      </c>
      <c r="Q818">
        <f t="shared" si="63"/>
        <v>17</v>
      </c>
      <c r="S818" t="str">
        <f t="shared" si="64"/>
        <v>Mentally Strained</v>
      </c>
    </row>
    <row r="819" spans="1:19" x14ac:dyDescent="0.25">
      <c r="A819">
        <v>14</v>
      </c>
      <c r="B819" t="str">
        <f t="shared" si="60"/>
        <v>Young Teenager</v>
      </c>
      <c r="C819" t="s">
        <v>19</v>
      </c>
      <c r="D819">
        <v>7.3</v>
      </c>
      <c r="E819" t="s">
        <v>20</v>
      </c>
      <c r="F819">
        <v>8.8000000000000007</v>
      </c>
      <c r="G819">
        <v>2.5</v>
      </c>
      <c r="H819">
        <f t="shared" si="61"/>
        <v>9.8000000000000007</v>
      </c>
      <c r="I819">
        <v>2.12</v>
      </c>
      <c r="J819" t="str">
        <f t="shared" si="62"/>
        <v>third class</v>
      </c>
      <c r="K819">
        <v>0.5</v>
      </c>
      <c r="L819" t="s">
        <v>21</v>
      </c>
      <c r="M819">
        <v>10</v>
      </c>
      <c r="N819">
        <v>10</v>
      </c>
      <c r="O819">
        <v>1</v>
      </c>
      <c r="P819">
        <v>0</v>
      </c>
      <c r="Q819">
        <f t="shared" si="63"/>
        <v>21</v>
      </c>
      <c r="S819" t="str">
        <f t="shared" si="64"/>
        <v>Mentally Unstable</v>
      </c>
    </row>
    <row r="820" spans="1:19" x14ac:dyDescent="0.25">
      <c r="A820">
        <v>18</v>
      </c>
      <c r="B820" t="str">
        <f t="shared" si="60"/>
        <v>Old Teenager</v>
      </c>
      <c r="C820" t="s">
        <v>16</v>
      </c>
      <c r="D820">
        <v>2.8</v>
      </c>
      <c r="E820" t="s">
        <v>17</v>
      </c>
      <c r="F820">
        <v>6.9</v>
      </c>
      <c r="G820">
        <v>2.2999999999999998</v>
      </c>
      <c r="H820">
        <f t="shared" si="61"/>
        <v>5.0999999999999996</v>
      </c>
      <c r="I820">
        <v>3.11</v>
      </c>
      <c r="J820" t="str">
        <f t="shared" si="62"/>
        <v>Second class upper</v>
      </c>
      <c r="K820">
        <v>0.1</v>
      </c>
      <c r="L820" t="s">
        <v>22</v>
      </c>
      <c r="M820">
        <v>7</v>
      </c>
      <c r="N820">
        <v>1</v>
      </c>
      <c r="O820">
        <v>9</v>
      </c>
      <c r="P820">
        <v>0</v>
      </c>
      <c r="Q820">
        <f t="shared" si="63"/>
        <v>17</v>
      </c>
      <c r="S820" t="str">
        <f t="shared" si="64"/>
        <v>Mentally Strained</v>
      </c>
    </row>
    <row r="821" spans="1:19" x14ac:dyDescent="0.25">
      <c r="A821">
        <v>18</v>
      </c>
      <c r="B821" t="str">
        <f t="shared" si="60"/>
        <v>Old Teenager</v>
      </c>
      <c r="C821" t="s">
        <v>19</v>
      </c>
      <c r="D821">
        <v>7.2</v>
      </c>
      <c r="E821" t="s">
        <v>20</v>
      </c>
      <c r="F821">
        <v>7.7</v>
      </c>
      <c r="G821">
        <v>1.2</v>
      </c>
      <c r="H821">
        <f t="shared" si="61"/>
        <v>8.4</v>
      </c>
      <c r="I821">
        <v>3.7</v>
      </c>
      <c r="J821" t="str">
        <f t="shared" si="62"/>
        <v>first class</v>
      </c>
      <c r="K821">
        <v>0.1</v>
      </c>
      <c r="L821" t="s">
        <v>18</v>
      </c>
      <c r="M821">
        <v>6</v>
      </c>
      <c r="N821">
        <v>3</v>
      </c>
      <c r="O821">
        <v>9</v>
      </c>
      <c r="P821">
        <v>0</v>
      </c>
      <c r="Q821">
        <f t="shared" si="63"/>
        <v>18</v>
      </c>
      <c r="S821" t="str">
        <f t="shared" si="64"/>
        <v>Mentally Strained</v>
      </c>
    </row>
    <row r="822" spans="1:19" x14ac:dyDescent="0.25">
      <c r="A822">
        <v>19</v>
      </c>
      <c r="B822" t="str">
        <f t="shared" si="60"/>
        <v>Old Teenager</v>
      </c>
      <c r="C822" t="s">
        <v>19</v>
      </c>
      <c r="D822">
        <v>7.1</v>
      </c>
      <c r="E822" t="s">
        <v>20</v>
      </c>
      <c r="F822">
        <v>6.3</v>
      </c>
      <c r="G822">
        <v>0.8</v>
      </c>
      <c r="H822">
        <f t="shared" si="61"/>
        <v>7.8999999999999995</v>
      </c>
      <c r="I822">
        <v>3.66</v>
      </c>
      <c r="J822" t="str">
        <f t="shared" si="62"/>
        <v>first class</v>
      </c>
      <c r="K822">
        <v>0.5</v>
      </c>
      <c r="L822" t="s">
        <v>21</v>
      </c>
      <c r="M822">
        <v>3</v>
      </c>
      <c r="N822">
        <v>7</v>
      </c>
      <c r="O822">
        <v>7</v>
      </c>
      <c r="P822">
        <v>0</v>
      </c>
      <c r="Q822">
        <f t="shared" si="63"/>
        <v>17</v>
      </c>
      <c r="S822" t="str">
        <f t="shared" si="64"/>
        <v>Mentally Strained</v>
      </c>
    </row>
    <row r="823" spans="1:19" x14ac:dyDescent="0.25">
      <c r="A823">
        <v>13</v>
      </c>
      <c r="B823" t="str">
        <f t="shared" si="60"/>
        <v>Young Teenager</v>
      </c>
      <c r="C823" t="s">
        <v>19</v>
      </c>
      <c r="D823">
        <v>4.3</v>
      </c>
      <c r="E823" t="s">
        <v>20</v>
      </c>
      <c r="F823">
        <v>4.4000000000000004</v>
      </c>
      <c r="G823">
        <v>0.9</v>
      </c>
      <c r="H823">
        <f t="shared" si="61"/>
        <v>5.2</v>
      </c>
      <c r="I823">
        <v>2.35</v>
      </c>
      <c r="J823" t="str">
        <f t="shared" si="62"/>
        <v>third class</v>
      </c>
      <c r="K823">
        <v>1.5</v>
      </c>
      <c r="L823" t="s">
        <v>21</v>
      </c>
      <c r="M823">
        <v>3</v>
      </c>
      <c r="N823">
        <v>1</v>
      </c>
      <c r="O823">
        <v>7</v>
      </c>
      <c r="P823">
        <v>0</v>
      </c>
      <c r="Q823">
        <f t="shared" si="63"/>
        <v>11</v>
      </c>
      <c r="S823" t="str">
        <f t="shared" si="64"/>
        <v>Mentally Strained</v>
      </c>
    </row>
    <row r="824" spans="1:19" x14ac:dyDescent="0.25">
      <c r="A824">
        <v>19</v>
      </c>
      <c r="B824" t="str">
        <f t="shared" si="60"/>
        <v>Old Teenager</v>
      </c>
      <c r="C824" t="s">
        <v>16</v>
      </c>
      <c r="D824">
        <v>1.6</v>
      </c>
      <c r="E824" t="s">
        <v>23</v>
      </c>
      <c r="F824">
        <v>4.4000000000000004</v>
      </c>
      <c r="G824">
        <v>1.4</v>
      </c>
      <c r="H824">
        <f t="shared" si="61"/>
        <v>3</v>
      </c>
      <c r="I824">
        <v>2.0299999999999998</v>
      </c>
      <c r="J824" t="str">
        <f t="shared" si="62"/>
        <v>third class</v>
      </c>
      <c r="K824">
        <v>1.1000000000000001</v>
      </c>
      <c r="L824" t="s">
        <v>21</v>
      </c>
      <c r="M824">
        <v>2</v>
      </c>
      <c r="N824">
        <v>9</v>
      </c>
      <c r="O824">
        <v>5</v>
      </c>
      <c r="P824">
        <v>0</v>
      </c>
      <c r="Q824">
        <f t="shared" si="63"/>
        <v>16</v>
      </c>
      <c r="S824" t="str">
        <f t="shared" si="64"/>
        <v>Mentally Strained</v>
      </c>
    </row>
    <row r="825" spans="1:19" x14ac:dyDescent="0.25">
      <c r="A825">
        <v>19</v>
      </c>
      <c r="B825" t="str">
        <f t="shared" si="60"/>
        <v>Old Teenager</v>
      </c>
      <c r="C825" t="s">
        <v>19</v>
      </c>
      <c r="D825">
        <v>1.4</v>
      </c>
      <c r="E825" t="s">
        <v>23</v>
      </c>
      <c r="F825">
        <v>8</v>
      </c>
      <c r="G825">
        <v>2.5</v>
      </c>
      <c r="H825">
        <f t="shared" si="61"/>
        <v>3.9</v>
      </c>
      <c r="I825">
        <v>3.54</v>
      </c>
      <c r="J825" t="str">
        <f t="shared" si="62"/>
        <v>Second class upper</v>
      </c>
      <c r="K825">
        <v>1.8</v>
      </c>
      <c r="L825" t="s">
        <v>18</v>
      </c>
      <c r="M825">
        <v>4</v>
      </c>
      <c r="N825">
        <v>8</v>
      </c>
      <c r="O825">
        <v>3</v>
      </c>
      <c r="P825">
        <v>0</v>
      </c>
      <c r="Q825">
        <f t="shared" si="63"/>
        <v>15</v>
      </c>
      <c r="S825" t="str">
        <f t="shared" si="64"/>
        <v>Mentally Strained</v>
      </c>
    </row>
    <row r="826" spans="1:19" x14ac:dyDescent="0.25">
      <c r="A826">
        <v>18</v>
      </c>
      <c r="B826" t="str">
        <f t="shared" si="60"/>
        <v>Old Teenager</v>
      </c>
      <c r="C826" t="s">
        <v>19</v>
      </c>
      <c r="D826">
        <v>3.2</v>
      </c>
      <c r="E826" t="s">
        <v>17</v>
      </c>
      <c r="F826">
        <v>6.8</v>
      </c>
      <c r="G826">
        <v>2.2999999999999998</v>
      </c>
      <c r="H826">
        <f t="shared" si="61"/>
        <v>5.5</v>
      </c>
      <c r="I826">
        <v>3.16</v>
      </c>
      <c r="J826" t="str">
        <f t="shared" si="62"/>
        <v>Second class upper</v>
      </c>
      <c r="K826">
        <v>1.8</v>
      </c>
      <c r="L826" t="s">
        <v>18</v>
      </c>
      <c r="M826">
        <v>4</v>
      </c>
      <c r="N826">
        <v>8</v>
      </c>
      <c r="O826">
        <v>5</v>
      </c>
      <c r="P826">
        <v>0</v>
      </c>
      <c r="Q826">
        <f t="shared" si="63"/>
        <v>17</v>
      </c>
      <c r="S826" t="str">
        <f t="shared" si="64"/>
        <v>Mentally Strained</v>
      </c>
    </row>
    <row r="827" spans="1:19" x14ac:dyDescent="0.25">
      <c r="A827">
        <v>17</v>
      </c>
      <c r="B827" t="str">
        <f t="shared" si="60"/>
        <v>Old Teenager</v>
      </c>
      <c r="C827" t="s">
        <v>16</v>
      </c>
      <c r="D827">
        <v>1.5</v>
      </c>
      <c r="E827" t="s">
        <v>23</v>
      </c>
      <c r="F827">
        <v>8</v>
      </c>
      <c r="G827">
        <v>0.5</v>
      </c>
      <c r="H827">
        <f t="shared" si="61"/>
        <v>2</v>
      </c>
      <c r="I827">
        <v>3.01</v>
      </c>
      <c r="J827" t="str">
        <f t="shared" si="62"/>
        <v>Second class upper</v>
      </c>
      <c r="K827">
        <v>0.4</v>
      </c>
      <c r="L827" t="s">
        <v>22</v>
      </c>
      <c r="M827">
        <v>10</v>
      </c>
      <c r="N827">
        <v>2</v>
      </c>
      <c r="O827">
        <v>3</v>
      </c>
      <c r="P827">
        <v>0</v>
      </c>
      <c r="Q827">
        <f t="shared" si="63"/>
        <v>15</v>
      </c>
      <c r="S827" t="str">
        <f t="shared" si="64"/>
        <v>Mentally Strained</v>
      </c>
    </row>
    <row r="828" spans="1:19" x14ac:dyDescent="0.25">
      <c r="A828">
        <v>18</v>
      </c>
      <c r="B828" t="str">
        <f t="shared" si="60"/>
        <v>Old Teenager</v>
      </c>
      <c r="C828" t="s">
        <v>16</v>
      </c>
      <c r="D828">
        <v>7.5</v>
      </c>
      <c r="E828" t="s">
        <v>20</v>
      </c>
      <c r="F828">
        <v>5.0999999999999996</v>
      </c>
      <c r="G828">
        <v>2.6</v>
      </c>
      <c r="H828">
        <f t="shared" si="61"/>
        <v>10.1</v>
      </c>
      <c r="I828">
        <v>3.82</v>
      </c>
      <c r="J828" t="str">
        <f t="shared" si="62"/>
        <v>first class</v>
      </c>
      <c r="K828">
        <v>0.7</v>
      </c>
      <c r="L828" t="s">
        <v>18</v>
      </c>
      <c r="M828">
        <v>7</v>
      </c>
      <c r="N828">
        <v>3</v>
      </c>
      <c r="O828">
        <v>8</v>
      </c>
      <c r="P828">
        <v>0</v>
      </c>
      <c r="Q828">
        <f t="shared" si="63"/>
        <v>18</v>
      </c>
      <c r="S828" t="str">
        <f t="shared" si="64"/>
        <v>Mentally Strained</v>
      </c>
    </row>
    <row r="829" spans="1:19" x14ac:dyDescent="0.25">
      <c r="A829">
        <v>14</v>
      </c>
      <c r="B829" t="str">
        <f t="shared" si="60"/>
        <v>Young Teenager</v>
      </c>
      <c r="C829" t="s">
        <v>19</v>
      </c>
      <c r="D829">
        <v>3.5</v>
      </c>
      <c r="E829" t="s">
        <v>17</v>
      </c>
      <c r="F829">
        <v>4.5999999999999996</v>
      </c>
      <c r="G829">
        <v>0.7</v>
      </c>
      <c r="H829">
        <f t="shared" si="61"/>
        <v>4.2</v>
      </c>
      <c r="I829">
        <v>2.74</v>
      </c>
      <c r="J829" t="str">
        <f t="shared" si="62"/>
        <v>Second class lower</v>
      </c>
      <c r="K829">
        <v>1</v>
      </c>
      <c r="L829" t="s">
        <v>18</v>
      </c>
      <c r="M829">
        <v>2</v>
      </c>
      <c r="N829">
        <v>7</v>
      </c>
      <c r="O829">
        <v>8</v>
      </c>
      <c r="P829">
        <v>0</v>
      </c>
      <c r="Q829">
        <f t="shared" si="63"/>
        <v>17</v>
      </c>
      <c r="S829" t="str">
        <f t="shared" si="64"/>
        <v>Mentally Strained</v>
      </c>
    </row>
    <row r="830" spans="1:19" x14ac:dyDescent="0.25">
      <c r="A830">
        <v>17</v>
      </c>
      <c r="B830" t="str">
        <f t="shared" si="60"/>
        <v>Old Teenager</v>
      </c>
      <c r="C830" t="s">
        <v>16</v>
      </c>
      <c r="D830">
        <v>4.4000000000000004</v>
      </c>
      <c r="E830" t="s">
        <v>23</v>
      </c>
      <c r="F830">
        <v>8.1999999999999993</v>
      </c>
      <c r="G830">
        <v>2.7</v>
      </c>
      <c r="H830">
        <f t="shared" si="61"/>
        <v>7.1000000000000005</v>
      </c>
      <c r="I830">
        <v>3.13</v>
      </c>
      <c r="J830" t="str">
        <f t="shared" si="62"/>
        <v>Second class upper</v>
      </c>
      <c r="K830">
        <v>0.3</v>
      </c>
      <c r="L830" t="s">
        <v>22</v>
      </c>
      <c r="M830">
        <v>3</v>
      </c>
      <c r="N830">
        <v>1</v>
      </c>
      <c r="O830">
        <v>2</v>
      </c>
      <c r="P830">
        <v>0</v>
      </c>
      <c r="Q830">
        <f t="shared" si="63"/>
        <v>6</v>
      </c>
      <c r="S830" t="str">
        <f t="shared" si="64"/>
        <v>Mentally Sound</v>
      </c>
    </row>
    <row r="831" spans="1:19" x14ac:dyDescent="0.25">
      <c r="A831">
        <v>17</v>
      </c>
      <c r="B831" t="str">
        <f t="shared" si="60"/>
        <v>Old Teenager</v>
      </c>
      <c r="C831" t="s">
        <v>16</v>
      </c>
      <c r="D831">
        <v>4.5999999999999996</v>
      </c>
      <c r="E831" t="s">
        <v>20</v>
      </c>
      <c r="F831">
        <v>5.0999999999999996</v>
      </c>
      <c r="G831">
        <v>2.5</v>
      </c>
      <c r="H831">
        <f t="shared" si="61"/>
        <v>7.1</v>
      </c>
      <c r="I831">
        <v>2.13</v>
      </c>
      <c r="J831" t="str">
        <f t="shared" si="62"/>
        <v>third class</v>
      </c>
      <c r="K831">
        <v>1</v>
      </c>
      <c r="L831" t="s">
        <v>22</v>
      </c>
      <c r="M831">
        <v>2</v>
      </c>
      <c r="N831">
        <v>5</v>
      </c>
      <c r="O831">
        <v>6</v>
      </c>
      <c r="P831">
        <v>0</v>
      </c>
      <c r="Q831">
        <f t="shared" si="63"/>
        <v>13</v>
      </c>
      <c r="S831" t="str">
        <f t="shared" si="64"/>
        <v>Mentally Strained</v>
      </c>
    </row>
    <row r="832" spans="1:19" x14ac:dyDescent="0.25">
      <c r="A832">
        <v>13</v>
      </c>
      <c r="B832" t="str">
        <f t="shared" si="60"/>
        <v>Young Teenager</v>
      </c>
      <c r="C832" t="s">
        <v>16</v>
      </c>
      <c r="D832">
        <v>5.9</v>
      </c>
      <c r="E832" t="s">
        <v>20</v>
      </c>
      <c r="F832">
        <v>6.6</v>
      </c>
      <c r="G832">
        <v>2.6</v>
      </c>
      <c r="H832">
        <f t="shared" si="61"/>
        <v>8.5</v>
      </c>
      <c r="I832">
        <v>3.58</v>
      </c>
      <c r="J832" t="str">
        <f t="shared" si="62"/>
        <v>Second class upper</v>
      </c>
      <c r="K832">
        <v>1.6</v>
      </c>
      <c r="L832" t="s">
        <v>22</v>
      </c>
      <c r="M832">
        <v>7</v>
      </c>
      <c r="N832">
        <v>7</v>
      </c>
      <c r="O832">
        <v>10</v>
      </c>
      <c r="P832">
        <v>0</v>
      </c>
      <c r="Q832">
        <f t="shared" si="63"/>
        <v>24</v>
      </c>
      <c r="S832" t="str">
        <f t="shared" si="64"/>
        <v>Mentally Unstable</v>
      </c>
    </row>
    <row r="833" spans="1:19" x14ac:dyDescent="0.25">
      <c r="A833">
        <v>16</v>
      </c>
      <c r="B833" t="str">
        <f t="shared" si="60"/>
        <v>Old Teenager</v>
      </c>
      <c r="C833" t="s">
        <v>19</v>
      </c>
      <c r="D833">
        <v>7.8</v>
      </c>
      <c r="E833" t="s">
        <v>20</v>
      </c>
      <c r="F833">
        <v>4.7</v>
      </c>
      <c r="G833">
        <v>1.1000000000000001</v>
      </c>
      <c r="H833">
        <f t="shared" si="61"/>
        <v>8.9</v>
      </c>
      <c r="I833">
        <v>3.53</v>
      </c>
      <c r="J833" t="str">
        <f t="shared" si="62"/>
        <v>Second class upper</v>
      </c>
      <c r="K833">
        <v>2</v>
      </c>
      <c r="L833" t="s">
        <v>22</v>
      </c>
      <c r="M833">
        <v>9</v>
      </c>
      <c r="N833">
        <v>3</v>
      </c>
      <c r="O833">
        <v>8</v>
      </c>
      <c r="P833">
        <v>0</v>
      </c>
      <c r="Q833">
        <f t="shared" si="63"/>
        <v>20</v>
      </c>
      <c r="S833" t="str">
        <f t="shared" si="64"/>
        <v>Mentally Unstable</v>
      </c>
    </row>
    <row r="834" spans="1:19" x14ac:dyDescent="0.25">
      <c r="A834">
        <v>15</v>
      </c>
      <c r="B834" t="str">
        <f t="shared" si="60"/>
        <v>Young Teenager</v>
      </c>
      <c r="C834" t="s">
        <v>19</v>
      </c>
      <c r="D834">
        <v>4.8</v>
      </c>
      <c r="E834" t="s">
        <v>20</v>
      </c>
      <c r="F834">
        <v>7.3</v>
      </c>
      <c r="G834">
        <v>1.9</v>
      </c>
      <c r="H834">
        <f t="shared" si="61"/>
        <v>6.6999999999999993</v>
      </c>
      <c r="I834">
        <v>2.76</v>
      </c>
      <c r="J834" t="str">
        <f t="shared" si="62"/>
        <v>Second class lower</v>
      </c>
      <c r="K834">
        <v>0.9</v>
      </c>
      <c r="L834" t="s">
        <v>21</v>
      </c>
      <c r="M834">
        <v>2</v>
      </c>
      <c r="N834">
        <v>10</v>
      </c>
      <c r="O834">
        <v>1</v>
      </c>
      <c r="P834">
        <v>0</v>
      </c>
      <c r="Q834">
        <f t="shared" si="63"/>
        <v>13</v>
      </c>
      <c r="S834" t="str">
        <f t="shared" si="64"/>
        <v>Mentally Strained</v>
      </c>
    </row>
    <row r="835" spans="1:19" x14ac:dyDescent="0.25">
      <c r="A835">
        <v>16</v>
      </c>
      <c r="B835" t="str">
        <f t="shared" ref="B835:B898" si="65">IF(A835&lt;=15,"Young Teenager","Old Teenager")</f>
        <v>Old Teenager</v>
      </c>
      <c r="C835" t="s">
        <v>19</v>
      </c>
      <c r="D835">
        <v>7.4</v>
      </c>
      <c r="E835" t="s">
        <v>20</v>
      </c>
      <c r="F835">
        <v>4.5999999999999996</v>
      </c>
      <c r="G835">
        <v>1</v>
      </c>
      <c r="H835">
        <f t="shared" ref="H835:H898" si="66">SUM(D835,G835)</f>
        <v>8.4</v>
      </c>
      <c r="I835">
        <v>2.23</v>
      </c>
      <c r="J835" t="str">
        <f t="shared" ref="J835:J898" si="67">IF(I835&lt;=2.49,"third class",IF(I835&lt;3,"Second class lower",IF(I835&lt;3.6,"Second class upper","first class")))</f>
        <v>third class</v>
      </c>
      <c r="K835">
        <v>1.1000000000000001</v>
      </c>
      <c r="L835" t="s">
        <v>18</v>
      </c>
      <c r="M835">
        <v>2</v>
      </c>
      <c r="N835">
        <v>4</v>
      </c>
      <c r="O835">
        <v>5</v>
      </c>
      <c r="P835">
        <v>0</v>
      </c>
      <c r="Q835">
        <f t="shared" ref="Q835:Q898" si="68">SUM(M835:P835)</f>
        <v>11</v>
      </c>
      <c r="S835" t="str">
        <f t="shared" ref="S835:S898" si="69">IF(Q835&lt;10,"Mentally Sound",IF(Q835&gt;=20,"Mentally Unstable","Mentally Strained"))</f>
        <v>Mentally Strained</v>
      </c>
    </row>
    <row r="836" spans="1:19" x14ac:dyDescent="0.25">
      <c r="A836">
        <v>18</v>
      </c>
      <c r="B836" t="str">
        <f t="shared" si="65"/>
        <v>Old Teenager</v>
      </c>
      <c r="C836" t="s">
        <v>16</v>
      </c>
      <c r="D836">
        <v>2.7</v>
      </c>
      <c r="E836" t="s">
        <v>17</v>
      </c>
      <c r="F836">
        <v>7.9</v>
      </c>
      <c r="G836">
        <v>1.2</v>
      </c>
      <c r="H836">
        <f t="shared" si="66"/>
        <v>3.9000000000000004</v>
      </c>
      <c r="I836">
        <v>2.75</v>
      </c>
      <c r="J836" t="str">
        <f t="shared" si="67"/>
        <v>Second class lower</v>
      </c>
      <c r="K836">
        <v>1.9</v>
      </c>
      <c r="L836" t="s">
        <v>22</v>
      </c>
      <c r="M836">
        <v>5</v>
      </c>
      <c r="N836">
        <v>8</v>
      </c>
      <c r="O836">
        <v>3</v>
      </c>
      <c r="P836">
        <v>0</v>
      </c>
      <c r="Q836">
        <f t="shared" si="68"/>
        <v>16</v>
      </c>
      <c r="S836" t="str">
        <f t="shared" si="69"/>
        <v>Mentally Strained</v>
      </c>
    </row>
    <row r="837" spans="1:19" x14ac:dyDescent="0.25">
      <c r="A837">
        <v>13</v>
      </c>
      <c r="B837" t="str">
        <f t="shared" si="65"/>
        <v>Young Teenager</v>
      </c>
      <c r="C837" t="s">
        <v>19</v>
      </c>
      <c r="D837">
        <v>5.3</v>
      </c>
      <c r="E837" t="s">
        <v>20</v>
      </c>
      <c r="F837">
        <v>6.4</v>
      </c>
      <c r="G837">
        <v>1.1000000000000001</v>
      </c>
      <c r="H837">
        <f t="shared" si="66"/>
        <v>6.4</v>
      </c>
      <c r="I837">
        <v>3.32</v>
      </c>
      <c r="J837" t="str">
        <f t="shared" si="67"/>
        <v>Second class upper</v>
      </c>
      <c r="K837">
        <v>1.9</v>
      </c>
      <c r="L837" t="s">
        <v>22</v>
      </c>
      <c r="M837">
        <v>8</v>
      </c>
      <c r="N837">
        <v>5</v>
      </c>
      <c r="O837">
        <v>10</v>
      </c>
      <c r="P837">
        <v>0</v>
      </c>
      <c r="Q837">
        <f t="shared" si="68"/>
        <v>23</v>
      </c>
      <c r="S837" t="str">
        <f t="shared" si="69"/>
        <v>Mentally Unstable</v>
      </c>
    </row>
    <row r="838" spans="1:19" x14ac:dyDescent="0.25">
      <c r="A838">
        <v>16</v>
      </c>
      <c r="B838" t="str">
        <f t="shared" si="65"/>
        <v>Old Teenager</v>
      </c>
      <c r="C838" t="s">
        <v>19</v>
      </c>
      <c r="D838">
        <v>3.6</v>
      </c>
      <c r="E838" t="s">
        <v>23</v>
      </c>
      <c r="F838">
        <v>4.4000000000000004</v>
      </c>
      <c r="G838">
        <v>2.4</v>
      </c>
      <c r="H838">
        <f t="shared" si="66"/>
        <v>6</v>
      </c>
      <c r="I838">
        <v>2.5299999999999998</v>
      </c>
      <c r="J838" t="str">
        <f t="shared" si="67"/>
        <v>Second class lower</v>
      </c>
      <c r="K838">
        <v>0.7</v>
      </c>
      <c r="L838" t="s">
        <v>22</v>
      </c>
      <c r="M838">
        <v>1</v>
      </c>
      <c r="N838">
        <v>7</v>
      </c>
      <c r="O838">
        <v>5</v>
      </c>
      <c r="P838">
        <v>0</v>
      </c>
      <c r="Q838">
        <f t="shared" si="68"/>
        <v>13</v>
      </c>
      <c r="S838" t="str">
        <f t="shared" si="69"/>
        <v>Mentally Strained</v>
      </c>
    </row>
    <row r="839" spans="1:19" x14ac:dyDescent="0.25">
      <c r="A839">
        <v>18</v>
      </c>
      <c r="B839" t="str">
        <f t="shared" si="65"/>
        <v>Old Teenager</v>
      </c>
      <c r="C839" t="s">
        <v>16</v>
      </c>
      <c r="D839">
        <v>2.5</v>
      </c>
      <c r="E839" t="s">
        <v>23</v>
      </c>
      <c r="F839">
        <v>5.7</v>
      </c>
      <c r="G839">
        <v>2.1</v>
      </c>
      <c r="H839">
        <f t="shared" si="66"/>
        <v>4.5999999999999996</v>
      </c>
      <c r="I839">
        <v>3.33</v>
      </c>
      <c r="J839" t="str">
        <f t="shared" si="67"/>
        <v>Second class upper</v>
      </c>
      <c r="K839">
        <v>0.6</v>
      </c>
      <c r="L839" t="s">
        <v>18</v>
      </c>
      <c r="M839">
        <v>8</v>
      </c>
      <c r="N839">
        <v>4</v>
      </c>
      <c r="O839">
        <v>6</v>
      </c>
      <c r="P839">
        <v>0</v>
      </c>
      <c r="Q839">
        <f t="shared" si="68"/>
        <v>18</v>
      </c>
      <c r="S839" t="str">
        <f t="shared" si="69"/>
        <v>Mentally Strained</v>
      </c>
    </row>
    <row r="840" spans="1:19" x14ac:dyDescent="0.25">
      <c r="A840">
        <v>15</v>
      </c>
      <c r="B840" t="str">
        <f t="shared" si="65"/>
        <v>Young Teenager</v>
      </c>
      <c r="C840" t="s">
        <v>16</v>
      </c>
      <c r="D840">
        <v>4.5</v>
      </c>
      <c r="E840" t="s">
        <v>23</v>
      </c>
      <c r="F840">
        <v>7</v>
      </c>
      <c r="G840">
        <v>1.5</v>
      </c>
      <c r="H840">
        <f t="shared" si="66"/>
        <v>6</v>
      </c>
      <c r="I840">
        <v>3.16</v>
      </c>
      <c r="J840" t="str">
        <f t="shared" si="67"/>
        <v>Second class upper</v>
      </c>
      <c r="K840">
        <v>1.7</v>
      </c>
      <c r="L840" t="s">
        <v>22</v>
      </c>
      <c r="M840">
        <v>4</v>
      </c>
      <c r="N840">
        <v>7</v>
      </c>
      <c r="O840">
        <v>10</v>
      </c>
      <c r="P840">
        <v>0</v>
      </c>
      <c r="Q840">
        <f t="shared" si="68"/>
        <v>21</v>
      </c>
      <c r="S840" t="str">
        <f t="shared" si="69"/>
        <v>Mentally Unstable</v>
      </c>
    </row>
    <row r="841" spans="1:19" x14ac:dyDescent="0.25">
      <c r="A841">
        <v>18</v>
      </c>
      <c r="B841" t="str">
        <f t="shared" si="65"/>
        <v>Old Teenager</v>
      </c>
      <c r="C841" t="s">
        <v>19</v>
      </c>
      <c r="D841">
        <v>1.9</v>
      </c>
      <c r="E841" t="s">
        <v>23</v>
      </c>
      <c r="F841">
        <v>5.0999999999999996</v>
      </c>
      <c r="G841">
        <v>2.9</v>
      </c>
      <c r="H841">
        <f t="shared" si="66"/>
        <v>4.8</v>
      </c>
      <c r="I841">
        <v>2.62</v>
      </c>
      <c r="J841" t="str">
        <f t="shared" si="67"/>
        <v>Second class lower</v>
      </c>
      <c r="K841">
        <v>1</v>
      </c>
      <c r="L841" t="s">
        <v>18</v>
      </c>
      <c r="M841">
        <v>4</v>
      </c>
      <c r="N841">
        <v>3</v>
      </c>
      <c r="O841">
        <v>2</v>
      </c>
      <c r="P841">
        <v>0</v>
      </c>
      <c r="Q841">
        <f t="shared" si="68"/>
        <v>9</v>
      </c>
      <c r="S841" t="str">
        <f t="shared" si="69"/>
        <v>Mentally Sound</v>
      </c>
    </row>
    <row r="842" spans="1:19" x14ac:dyDescent="0.25">
      <c r="A842">
        <v>17</v>
      </c>
      <c r="B842" t="str">
        <f t="shared" si="65"/>
        <v>Old Teenager</v>
      </c>
      <c r="C842" t="s">
        <v>16</v>
      </c>
      <c r="D842">
        <v>3.8</v>
      </c>
      <c r="E842" t="s">
        <v>17</v>
      </c>
      <c r="F842">
        <v>7.7</v>
      </c>
      <c r="G842">
        <v>0.7</v>
      </c>
      <c r="H842">
        <f t="shared" si="66"/>
        <v>4.5</v>
      </c>
      <c r="I842">
        <v>3.45</v>
      </c>
      <c r="J842" t="str">
        <f t="shared" si="67"/>
        <v>Second class upper</v>
      </c>
      <c r="K842">
        <v>1</v>
      </c>
      <c r="L842" t="s">
        <v>18</v>
      </c>
      <c r="M842">
        <v>2</v>
      </c>
      <c r="N842">
        <v>8</v>
      </c>
      <c r="O842">
        <v>9</v>
      </c>
      <c r="P842">
        <v>0</v>
      </c>
      <c r="Q842">
        <f t="shared" si="68"/>
        <v>19</v>
      </c>
      <c r="S842" t="str">
        <f t="shared" si="69"/>
        <v>Mentally Strained</v>
      </c>
    </row>
    <row r="843" spans="1:19" x14ac:dyDescent="0.25">
      <c r="A843">
        <v>18</v>
      </c>
      <c r="B843" t="str">
        <f t="shared" si="65"/>
        <v>Old Teenager</v>
      </c>
      <c r="C843" t="s">
        <v>19</v>
      </c>
      <c r="D843">
        <v>3.9</v>
      </c>
      <c r="E843" t="s">
        <v>23</v>
      </c>
      <c r="F843">
        <v>4</v>
      </c>
      <c r="G843">
        <v>1.8</v>
      </c>
      <c r="H843">
        <f t="shared" si="66"/>
        <v>5.7</v>
      </c>
      <c r="I843">
        <v>2.19</v>
      </c>
      <c r="J843" t="str">
        <f t="shared" si="67"/>
        <v>third class</v>
      </c>
      <c r="K843">
        <v>1.4</v>
      </c>
      <c r="L843" t="s">
        <v>21</v>
      </c>
      <c r="M843">
        <v>1</v>
      </c>
      <c r="N843">
        <v>2</v>
      </c>
      <c r="O843">
        <v>5</v>
      </c>
      <c r="P843">
        <v>0</v>
      </c>
      <c r="Q843">
        <f t="shared" si="68"/>
        <v>8</v>
      </c>
      <c r="S843" t="str">
        <f t="shared" si="69"/>
        <v>Mentally Sound</v>
      </c>
    </row>
    <row r="844" spans="1:19" x14ac:dyDescent="0.25">
      <c r="A844">
        <v>17</v>
      </c>
      <c r="B844" t="str">
        <f t="shared" si="65"/>
        <v>Old Teenager</v>
      </c>
      <c r="C844" t="s">
        <v>19</v>
      </c>
      <c r="D844">
        <v>1.1000000000000001</v>
      </c>
      <c r="E844" t="s">
        <v>23</v>
      </c>
      <c r="F844">
        <v>8.6999999999999993</v>
      </c>
      <c r="G844">
        <v>2.1</v>
      </c>
      <c r="H844">
        <f t="shared" si="66"/>
        <v>3.2</v>
      </c>
      <c r="I844">
        <v>3.01</v>
      </c>
      <c r="J844" t="str">
        <f t="shared" si="67"/>
        <v>Second class upper</v>
      </c>
      <c r="K844">
        <v>0.7</v>
      </c>
      <c r="L844" t="s">
        <v>22</v>
      </c>
      <c r="M844">
        <v>1</v>
      </c>
      <c r="N844">
        <v>1</v>
      </c>
      <c r="O844">
        <v>3</v>
      </c>
      <c r="P844">
        <v>0</v>
      </c>
      <c r="Q844">
        <f t="shared" si="68"/>
        <v>5</v>
      </c>
      <c r="S844" t="str">
        <f t="shared" si="69"/>
        <v>Mentally Sound</v>
      </c>
    </row>
    <row r="845" spans="1:19" x14ac:dyDescent="0.25">
      <c r="A845">
        <v>15</v>
      </c>
      <c r="B845" t="str">
        <f t="shared" si="65"/>
        <v>Young Teenager</v>
      </c>
      <c r="C845" t="s">
        <v>19</v>
      </c>
      <c r="D845">
        <v>3.9</v>
      </c>
      <c r="E845" t="s">
        <v>23</v>
      </c>
      <c r="F845">
        <v>8.6999999999999993</v>
      </c>
      <c r="G845">
        <v>1.1000000000000001</v>
      </c>
      <c r="H845">
        <f t="shared" si="66"/>
        <v>5</v>
      </c>
      <c r="I845">
        <v>2.82</v>
      </c>
      <c r="J845" t="str">
        <f t="shared" si="67"/>
        <v>Second class lower</v>
      </c>
      <c r="K845">
        <v>0.3</v>
      </c>
      <c r="L845" t="s">
        <v>21</v>
      </c>
      <c r="M845">
        <v>5</v>
      </c>
      <c r="N845">
        <v>10</v>
      </c>
      <c r="O845">
        <v>6</v>
      </c>
      <c r="P845">
        <v>0</v>
      </c>
      <c r="Q845">
        <f t="shared" si="68"/>
        <v>21</v>
      </c>
      <c r="S845" t="str">
        <f t="shared" si="69"/>
        <v>Mentally Unstable</v>
      </c>
    </row>
    <row r="846" spans="1:19" x14ac:dyDescent="0.25">
      <c r="A846">
        <v>16</v>
      </c>
      <c r="B846" t="str">
        <f t="shared" si="65"/>
        <v>Old Teenager</v>
      </c>
      <c r="C846" t="s">
        <v>16</v>
      </c>
      <c r="D846">
        <v>8</v>
      </c>
      <c r="E846" t="s">
        <v>17</v>
      </c>
      <c r="F846">
        <v>8.1</v>
      </c>
      <c r="G846">
        <v>2.5</v>
      </c>
      <c r="H846">
        <f t="shared" si="66"/>
        <v>10.5</v>
      </c>
      <c r="I846">
        <v>2.7</v>
      </c>
      <c r="J846" t="str">
        <f t="shared" si="67"/>
        <v>Second class lower</v>
      </c>
      <c r="K846">
        <v>1.7</v>
      </c>
      <c r="L846" t="s">
        <v>22</v>
      </c>
      <c r="M846">
        <v>4</v>
      </c>
      <c r="N846">
        <v>5</v>
      </c>
      <c r="O846">
        <v>7</v>
      </c>
      <c r="P846">
        <v>0</v>
      </c>
      <c r="Q846">
        <f t="shared" si="68"/>
        <v>16</v>
      </c>
      <c r="S846" t="str">
        <f t="shared" si="69"/>
        <v>Mentally Strained</v>
      </c>
    </row>
    <row r="847" spans="1:19" x14ac:dyDescent="0.25">
      <c r="A847">
        <v>14</v>
      </c>
      <c r="B847" t="str">
        <f t="shared" si="65"/>
        <v>Young Teenager</v>
      </c>
      <c r="C847" t="s">
        <v>19</v>
      </c>
      <c r="D847">
        <v>1.2</v>
      </c>
      <c r="E847" t="s">
        <v>20</v>
      </c>
      <c r="F847">
        <v>8.5</v>
      </c>
      <c r="G847">
        <v>2.2999999999999998</v>
      </c>
      <c r="H847">
        <f t="shared" si="66"/>
        <v>3.5</v>
      </c>
      <c r="I847">
        <v>3.91</v>
      </c>
      <c r="J847" t="str">
        <f t="shared" si="67"/>
        <v>first class</v>
      </c>
      <c r="K847">
        <v>1.8</v>
      </c>
      <c r="L847" t="s">
        <v>21</v>
      </c>
      <c r="M847">
        <v>1</v>
      </c>
      <c r="N847">
        <v>8</v>
      </c>
      <c r="O847">
        <v>1</v>
      </c>
      <c r="P847">
        <v>0</v>
      </c>
      <c r="Q847">
        <f t="shared" si="68"/>
        <v>10</v>
      </c>
      <c r="S847" t="str">
        <f t="shared" si="69"/>
        <v>Mentally Strained</v>
      </c>
    </row>
    <row r="848" spans="1:19" x14ac:dyDescent="0.25">
      <c r="A848">
        <v>15</v>
      </c>
      <c r="B848" t="str">
        <f t="shared" si="65"/>
        <v>Young Teenager</v>
      </c>
      <c r="C848" t="s">
        <v>16</v>
      </c>
      <c r="D848">
        <v>2.2000000000000002</v>
      </c>
      <c r="E848" t="s">
        <v>17</v>
      </c>
      <c r="F848">
        <v>6.1</v>
      </c>
      <c r="G848">
        <v>0.9</v>
      </c>
      <c r="H848">
        <f t="shared" si="66"/>
        <v>3.1</v>
      </c>
      <c r="I848">
        <v>3.81</v>
      </c>
      <c r="J848" t="str">
        <f t="shared" si="67"/>
        <v>first class</v>
      </c>
      <c r="K848">
        <v>0.1</v>
      </c>
      <c r="L848" t="s">
        <v>21</v>
      </c>
      <c r="M848">
        <v>2</v>
      </c>
      <c r="N848">
        <v>7</v>
      </c>
      <c r="O848">
        <v>3</v>
      </c>
      <c r="P848">
        <v>0</v>
      </c>
      <c r="Q848">
        <f t="shared" si="68"/>
        <v>12</v>
      </c>
      <c r="S848" t="str">
        <f t="shared" si="69"/>
        <v>Mentally Strained</v>
      </c>
    </row>
    <row r="849" spans="1:19" x14ac:dyDescent="0.25">
      <c r="A849">
        <v>15</v>
      </c>
      <c r="B849" t="str">
        <f t="shared" si="65"/>
        <v>Young Teenager</v>
      </c>
      <c r="C849" t="s">
        <v>19</v>
      </c>
      <c r="D849">
        <v>4.2</v>
      </c>
      <c r="E849" t="s">
        <v>20</v>
      </c>
      <c r="F849">
        <v>6.8</v>
      </c>
      <c r="G849">
        <v>1.4</v>
      </c>
      <c r="H849">
        <f t="shared" si="66"/>
        <v>5.6</v>
      </c>
      <c r="I849">
        <v>2.0099999999999998</v>
      </c>
      <c r="J849" t="str">
        <f t="shared" si="67"/>
        <v>third class</v>
      </c>
      <c r="K849">
        <v>1</v>
      </c>
      <c r="L849" t="s">
        <v>18</v>
      </c>
      <c r="M849">
        <v>6</v>
      </c>
      <c r="N849">
        <v>6</v>
      </c>
      <c r="O849">
        <v>4</v>
      </c>
      <c r="P849">
        <v>0</v>
      </c>
      <c r="Q849">
        <f t="shared" si="68"/>
        <v>16</v>
      </c>
      <c r="S849" t="str">
        <f t="shared" si="69"/>
        <v>Mentally Strained</v>
      </c>
    </row>
    <row r="850" spans="1:19" x14ac:dyDescent="0.25">
      <c r="A850">
        <v>19</v>
      </c>
      <c r="B850" t="str">
        <f t="shared" si="65"/>
        <v>Old Teenager</v>
      </c>
      <c r="C850" t="s">
        <v>16</v>
      </c>
      <c r="D850">
        <v>6</v>
      </c>
      <c r="E850" t="s">
        <v>23</v>
      </c>
      <c r="F850">
        <v>5.6</v>
      </c>
      <c r="G850">
        <v>1.1000000000000001</v>
      </c>
      <c r="H850">
        <f t="shared" si="66"/>
        <v>7.1</v>
      </c>
      <c r="I850">
        <v>2.4300000000000002</v>
      </c>
      <c r="J850" t="str">
        <f t="shared" si="67"/>
        <v>third class</v>
      </c>
      <c r="K850">
        <v>1.7</v>
      </c>
      <c r="L850" t="s">
        <v>22</v>
      </c>
      <c r="M850">
        <v>1</v>
      </c>
      <c r="N850">
        <v>3</v>
      </c>
      <c r="O850">
        <v>3</v>
      </c>
      <c r="P850">
        <v>0</v>
      </c>
      <c r="Q850">
        <f t="shared" si="68"/>
        <v>7</v>
      </c>
      <c r="S850" t="str">
        <f t="shared" si="69"/>
        <v>Mentally Sound</v>
      </c>
    </row>
    <row r="851" spans="1:19" x14ac:dyDescent="0.25">
      <c r="A851">
        <v>19</v>
      </c>
      <c r="B851" t="str">
        <f t="shared" si="65"/>
        <v>Old Teenager</v>
      </c>
      <c r="C851" t="s">
        <v>16</v>
      </c>
      <c r="D851">
        <v>5.4</v>
      </c>
      <c r="E851" t="s">
        <v>17</v>
      </c>
      <c r="F851">
        <v>4.9000000000000004</v>
      </c>
      <c r="G851">
        <v>0.6</v>
      </c>
      <c r="H851">
        <f t="shared" si="66"/>
        <v>6</v>
      </c>
      <c r="I851">
        <v>3.17</v>
      </c>
      <c r="J851" t="str">
        <f t="shared" si="67"/>
        <v>Second class upper</v>
      </c>
      <c r="K851">
        <v>0</v>
      </c>
      <c r="L851" t="s">
        <v>18</v>
      </c>
      <c r="M851">
        <v>5</v>
      </c>
      <c r="N851">
        <v>6</v>
      </c>
      <c r="O851">
        <v>10</v>
      </c>
      <c r="P851">
        <v>0</v>
      </c>
      <c r="Q851">
        <f t="shared" si="68"/>
        <v>21</v>
      </c>
      <c r="S851" t="str">
        <f t="shared" si="69"/>
        <v>Mentally Unstable</v>
      </c>
    </row>
    <row r="852" spans="1:19" x14ac:dyDescent="0.25">
      <c r="A852">
        <v>15</v>
      </c>
      <c r="B852" t="str">
        <f t="shared" si="65"/>
        <v>Young Teenager</v>
      </c>
      <c r="C852" t="s">
        <v>19</v>
      </c>
      <c r="D852">
        <v>2.7</v>
      </c>
      <c r="E852" t="s">
        <v>20</v>
      </c>
      <c r="F852">
        <v>7.6</v>
      </c>
      <c r="G852">
        <v>2.5</v>
      </c>
      <c r="H852">
        <f t="shared" si="66"/>
        <v>5.2</v>
      </c>
      <c r="I852">
        <v>2.37</v>
      </c>
      <c r="J852" t="str">
        <f t="shared" si="67"/>
        <v>third class</v>
      </c>
      <c r="K852">
        <v>1.9</v>
      </c>
      <c r="L852" t="s">
        <v>21</v>
      </c>
      <c r="M852">
        <v>1</v>
      </c>
      <c r="N852">
        <v>8</v>
      </c>
      <c r="O852">
        <v>7</v>
      </c>
      <c r="P852">
        <v>0</v>
      </c>
      <c r="Q852">
        <f t="shared" si="68"/>
        <v>16</v>
      </c>
      <c r="S852" t="str">
        <f t="shared" si="69"/>
        <v>Mentally Strained</v>
      </c>
    </row>
    <row r="853" spans="1:19" x14ac:dyDescent="0.25">
      <c r="A853">
        <v>19</v>
      </c>
      <c r="B853" t="str">
        <f t="shared" si="65"/>
        <v>Old Teenager</v>
      </c>
      <c r="C853" t="s">
        <v>19</v>
      </c>
      <c r="D853">
        <v>1.9</v>
      </c>
      <c r="E853" t="s">
        <v>23</v>
      </c>
      <c r="F853">
        <v>6.2</v>
      </c>
      <c r="G853">
        <v>0.9</v>
      </c>
      <c r="H853">
        <f t="shared" si="66"/>
        <v>2.8</v>
      </c>
      <c r="I853">
        <v>2.4700000000000002</v>
      </c>
      <c r="J853" t="str">
        <f t="shared" si="67"/>
        <v>third class</v>
      </c>
      <c r="K853">
        <v>1.4</v>
      </c>
      <c r="L853" t="s">
        <v>18</v>
      </c>
      <c r="M853">
        <v>5</v>
      </c>
      <c r="N853">
        <v>6</v>
      </c>
      <c r="O853">
        <v>7</v>
      </c>
      <c r="P853">
        <v>0</v>
      </c>
      <c r="Q853">
        <f t="shared" si="68"/>
        <v>18</v>
      </c>
      <c r="S853" t="str">
        <f t="shared" si="69"/>
        <v>Mentally Strained</v>
      </c>
    </row>
    <row r="854" spans="1:19" x14ac:dyDescent="0.25">
      <c r="A854">
        <v>14</v>
      </c>
      <c r="B854" t="str">
        <f t="shared" si="65"/>
        <v>Young Teenager</v>
      </c>
      <c r="C854" t="s">
        <v>16</v>
      </c>
      <c r="D854">
        <v>1.5</v>
      </c>
      <c r="E854" t="s">
        <v>23</v>
      </c>
      <c r="F854">
        <v>6.8</v>
      </c>
      <c r="G854">
        <v>0.8</v>
      </c>
      <c r="H854">
        <f t="shared" si="66"/>
        <v>2.2999999999999998</v>
      </c>
      <c r="I854">
        <v>3.14</v>
      </c>
      <c r="J854" t="str">
        <f t="shared" si="67"/>
        <v>Second class upper</v>
      </c>
      <c r="K854">
        <v>0</v>
      </c>
      <c r="L854" t="s">
        <v>22</v>
      </c>
      <c r="M854">
        <v>4</v>
      </c>
      <c r="N854">
        <v>5</v>
      </c>
      <c r="O854">
        <v>8</v>
      </c>
      <c r="P854">
        <v>0</v>
      </c>
      <c r="Q854">
        <f t="shared" si="68"/>
        <v>17</v>
      </c>
      <c r="S854" t="str">
        <f t="shared" si="69"/>
        <v>Mentally Strained</v>
      </c>
    </row>
    <row r="855" spans="1:19" x14ac:dyDescent="0.25">
      <c r="A855">
        <v>17</v>
      </c>
      <c r="B855" t="str">
        <f t="shared" si="65"/>
        <v>Old Teenager</v>
      </c>
      <c r="C855" t="s">
        <v>19</v>
      </c>
      <c r="D855">
        <v>2.6</v>
      </c>
      <c r="E855" t="s">
        <v>20</v>
      </c>
      <c r="F855">
        <v>4.8</v>
      </c>
      <c r="G855">
        <v>0.7</v>
      </c>
      <c r="H855">
        <f t="shared" si="66"/>
        <v>3.3</v>
      </c>
      <c r="I855">
        <v>2.52</v>
      </c>
      <c r="J855" t="str">
        <f t="shared" si="67"/>
        <v>Second class lower</v>
      </c>
      <c r="K855">
        <v>1.8</v>
      </c>
      <c r="L855" t="s">
        <v>22</v>
      </c>
      <c r="M855">
        <v>9</v>
      </c>
      <c r="N855">
        <v>6</v>
      </c>
      <c r="O855">
        <v>6</v>
      </c>
      <c r="P855">
        <v>0</v>
      </c>
      <c r="Q855">
        <f t="shared" si="68"/>
        <v>21</v>
      </c>
      <c r="S855" t="str">
        <f t="shared" si="69"/>
        <v>Mentally Unstable</v>
      </c>
    </row>
    <row r="856" spans="1:19" x14ac:dyDescent="0.25">
      <c r="A856">
        <v>16</v>
      </c>
      <c r="B856" t="str">
        <f t="shared" si="65"/>
        <v>Old Teenager</v>
      </c>
      <c r="C856" t="s">
        <v>16</v>
      </c>
      <c r="D856">
        <v>1.2</v>
      </c>
      <c r="E856" t="s">
        <v>17</v>
      </c>
      <c r="F856">
        <v>7.3</v>
      </c>
      <c r="G856">
        <v>1</v>
      </c>
      <c r="H856">
        <f t="shared" si="66"/>
        <v>2.2000000000000002</v>
      </c>
      <c r="I856">
        <v>2.36</v>
      </c>
      <c r="J856" t="str">
        <f t="shared" si="67"/>
        <v>third class</v>
      </c>
      <c r="K856">
        <v>1.1000000000000001</v>
      </c>
      <c r="L856" t="s">
        <v>22</v>
      </c>
      <c r="M856">
        <v>5</v>
      </c>
      <c r="N856">
        <v>3</v>
      </c>
      <c r="O856">
        <v>6</v>
      </c>
      <c r="P856">
        <v>0</v>
      </c>
      <c r="Q856">
        <f t="shared" si="68"/>
        <v>14</v>
      </c>
      <c r="S856" t="str">
        <f t="shared" si="69"/>
        <v>Mentally Strained</v>
      </c>
    </row>
    <row r="857" spans="1:19" x14ac:dyDescent="0.25">
      <c r="A857">
        <v>18</v>
      </c>
      <c r="B857" t="str">
        <f t="shared" si="65"/>
        <v>Old Teenager</v>
      </c>
      <c r="C857" t="s">
        <v>19</v>
      </c>
      <c r="D857">
        <v>1.8</v>
      </c>
      <c r="E857" t="s">
        <v>23</v>
      </c>
      <c r="F857">
        <v>7.8</v>
      </c>
      <c r="G857">
        <v>2</v>
      </c>
      <c r="H857">
        <f t="shared" si="66"/>
        <v>3.8</v>
      </c>
      <c r="I857">
        <v>2.67</v>
      </c>
      <c r="J857" t="str">
        <f t="shared" si="67"/>
        <v>Second class lower</v>
      </c>
      <c r="K857">
        <v>0.8</v>
      </c>
      <c r="L857" t="s">
        <v>18</v>
      </c>
      <c r="M857">
        <v>4</v>
      </c>
      <c r="N857">
        <v>6</v>
      </c>
      <c r="O857">
        <v>3</v>
      </c>
      <c r="P857">
        <v>0</v>
      </c>
      <c r="Q857">
        <f t="shared" si="68"/>
        <v>13</v>
      </c>
      <c r="S857" t="str">
        <f t="shared" si="69"/>
        <v>Mentally Strained</v>
      </c>
    </row>
    <row r="858" spans="1:19" x14ac:dyDescent="0.25">
      <c r="A858">
        <v>19</v>
      </c>
      <c r="B858" t="str">
        <f t="shared" si="65"/>
        <v>Old Teenager</v>
      </c>
      <c r="C858" t="s">
        <v>16</v>
      </c>
      <c r="D858">
        <v>4.8</v>
      </c>
      <c r="E858" t="s">
        <v>23</v>
      </c>
      <c r="F858">
        <v>7.5</v>
      </c>
      <c r="G858">
        <v>1</v>
      </c>
      <c r="H858">
        <f t="shared" si="66"/>
        <v>5.8</v>
      </c>
      <c r="I858">
        <v>2.68</v>
      </c>
      <c r="J858" t="str">
        <f t="shared" si="67"/>
        <v>Second class lower</v>
      </c>
      <c r="K858">
        <v>1.5</v>
      </c>
      <c r="L858" t="s">
        <v>18</v>
      </c>
      <c r="M858">
        <v>9</v>
      </c>
      <c r="N858">
        <v>4</v>
      </c>
      <c r="O858">
        <v>6</v>
      </c>
      <c r="P858">
        <v>0</v>
      </c>
      <c r="Q858">
        <f t="shared" si="68"/>
        <v>19</v>
      </c>
      <c r="S858" t="str">
        <f t="shared" si="69"/>
        <v>Mentally Strained</v>
      </c>
    </row>
    <row r="859" spans="1:19" x14ac:dyDescent="0.25">
      <c r="A859">
        <v>19</v>
      </c>
      <c r="B859" t="str">
        <f t="shared" si="65"/>
        <v>Old Teenager</v>
      </c>
      <c r="C859" t="s">
        <v>16</v>
      </c>
      <c r="D859">
        <v>2.1</v>
      </c>
      <c r="E859" t="s">
        <v>23</v>
      </c>
      <c r="F859">
        <v>5.6</v>
      </c>
      <c r="G859">
        <v>2.4</v>
      </c>
      <c r="H859">
        <f t="shared" si="66"/>
        <v>4.5</v>
      </c>
      <c r="I859">
        <v>3.56</v>
      </c>
      <c r="J859" t="str">
        <f t="shared" si="67"/>
        <v>Second class upper</v>
      </c>
      <c r="K859">
        <v>1</v>
      </c>
      <c r="L859" t="s">
        <v>21</v>
      </c>
      <c r="M859">
        <v>9</v>
      </c>
      <c r="N859">
        <v>3</v>
      </c>
      <c r="O859">
        <v>4</v>
      </c>
      <c r="P859">
        <v>0</v>
      </c>
      <c r="Q859">
        <f t="shared" si="68"/>
        <v>16</v>
      </c>
      <c r="S859" t="str">
        <f t="shared" si="69"/>
        <v>Mentally Strained</v>
      </c>
    </row>
    <row r="860" spans="1:19" x14ac:dyDescent="0.25">
      <c r="A860">
        <v>15</v>
      </c>
      <c r="B860" t="str">
        <f t="shared" si="65"/>
        <v>Young Teenager</v>
      </c>
      <c r="C860" t="s">
        <v>16</v>
      </c>
      <c r="D860">
        <v>4.4000000000000004</v>
      </c>
      <c r="E860" t="s">
        <v>17</v>
      </c>
      <c r="F860">
        <v>6</v>
      </c>
      <c r="G860">
        <v>0.5</v>
      </c>
      <c r="H860">
        <f t="shared" si="66"/>
        <v>4.9000000000000004</v>
      </c>
      <c r="I860">
        <v>3.33</v>
      </c>
      <c r="J860" t="str">
        <f t="shared" si="67"/>
        <v>Second class upper</v>
      </c>
      <c r="K860">
        <v>0.7</v>
      </c>
      <c r="L860" t="s">
        <v>22</v>
      </c>
      <c r="M860">
        <v>1</v>
      </c>
      <c r="N860">
        <v>6</v>
      </c>
      <c r="O860">
        <v>10</v>
      </c>
      <c r="P860">
        <v>0</v>
      </c>
      <c r="Q860">
        <f t="shared" si="68"/>
        <v>17</v>
      </c>
      <c r="S860" t="str">
        <f t="shared" si="69"/>
        <v>Mentally Strained</v>
      </c>
    </row>
    <row r="861" spans="1:19" x14ac:dyDescent="0.25">
      <c r="A861">
        <v>14</v>
      </c>
      <c r="B861" t="str">
        <f t="shared" si="65"/>
        <v>Young Teenager</v>
      </c>
      <c r="C861" t="s">
        <v>16</v>
      </c>
      <c r="D861">
        <v>2.8</v>
      </c>
      <c r="E861" t="s">
        <v>23</v>
      </c>
      <c r="F861">
        <v>4.3</v>
      </c>
      <c r="G861">
        <v>3</v>
      </c>
      <c r="H861">
        <f t="shared" si="66"/>
        <v>5.8</v>
      </c>
      <c r="I861">
        <v>2.14</v>
      </c>
      <c r="J861" t="str">
        <f t="shared" si="67"/>
        <v>third class</v>
      </c>
      <c r="K861">
        <v>1.9</v>
      </c>
      <c r="L861" t="s">
        <v>22</v>
      </c>
      <c r="M861">
        <v>9</v>
      </c>
      <c r="N861">
        <v>3</v>
      </c>
      <c r="O861">
        <v>7</v>
      </c>
      <c r="P861">
        <v>0</v>
      </c>
      <c r="Q861">
        <f t="shared" si="68"/>
        <v>19</v>
      </c>
      <c r="S861" t="str">
        <f t="shared" si="69"/>
        <v>Mentally Strained</v>
      </c>
    </row>
    <row r="862" spans="1:19" x14ac:dyDescent="0.25">
      <c r="A862">
        <v>15</v>
      </c>
      <c r="B862" t="str">
        <f t="shared" si="65"/>
        <v>Young Teenager</v>
      </c>
      <c r="C862" t="s">
        <v>16</v>
      </c>
      <c r="D862">
        <v>3.5</v>
      </c>
      <c r="E862" t="s">
        <v>20</v>
      </c>
      <c r="F862">
        <v>4.5</v>
      </c>
      <c r="G862">
        <v>2.7</v>
      </c>
      <c r="H862">
        <f t="shared" si="66"/>
        <v>6.2</v>
      </c>
      <c r="I862">
        <v>2.4700000000000002</v>
      </c>
      <c r="J862" t="str">
        <f t="shared" si="67"/>
        <v>third class</v>
      </c>
      <c r="K862">
        <v>1.4</v>
      </c>
      <c r="L862" t="s">
        <v>18</v>
      </c>
      <c r="M862">
        <v>1</v>
      </c>
      <c r="N862">
        <v>5</v>
      </c>
      <c r="O862">
        <v>10</v>
      </c>
      <c r="P862">
        <v>0</v>
      </c>
      <c r="Q862">
        <f t="shared" si="68"/>
        <v>16</v>
      </c>
      <c r="S862" t="str">
        <f t="shared" si="69"/>
        <v>Mentally Strained</v>
      </c>
    </row>
    <row r="863" spans="1:19" x14ac:dyDescent="0.25">
      <c r="A863">
        <v>15</v>
      </c>
      <c r="B863" t="str">
        <f t="shared" si="65"/>
        <v>Young Teenager</v>
      </c>
      <c r="C863" t="s">
        <v>16</v>
      </c>
      <c r="D863">
        <v>6.8</v>
      </c>
      <c r="E863" t="s">
        <v>23</v>
      </c>
      <c r="F863">
        <v>6.6</v>
      </c>
      <c r="G863">
        <v>2.1</v>
      </c>
      <c r="H863">
        <f t="shared" si="66"/>
        <v>8.9</v>
      </c>
      <c r="I863">
        <v>3.43</v>
      </c>
      <c r="J863" t="str">
        <f t="shared" si="67"/>
        <v>Second class upper</v>
      </c>
      <c r="K863">
        <v>1.7</v>
      </c>
      <c r="L863" t="s">
        <v>18</v>
      </c>
      <c r="M863">
        <v>10</v>
      </c>
      <c r="N863">
        <v>10</v>
      </c>
      <c r="O863">
        <v>8</v>
      </c>
      <c r="P863">
        <v>0</v>
      </c>
      <c r="Q863">
        <f t="shared" si="68"/>
        <v>28</v>
      </c>
      <c r="S863" t="str">
        <f t="shared" si="69"/>
        <v>Mentally Unstable</v>
      </c>
    </row>
    <row r="864" spans="1:19" x14ac:dyDescent="0.25">
      <c r="A864">
        <v>14</v>
      </c>
      <c r="B864" t="str">
        <f t="shared" si="65"/>
        <v>Young Teenager</v>
      </c>
      <c r="C864" t="s">
        <v>16</v>
      </c>
      <c r="D864">
        <v>7</v>
      </c>
      <c r="E864" t="s">
        <v>17</v>
      </c>
      <c r="F864">
        <v>5.2</v>
      </c>
      <c r="G864">
        <v>1.4</v>
      </c>
      <c r="H864">
        <f t="shared" si="66"/>
        <v>8.4</v>
      </c>
      <c r="I864">
        <v>3.27</v>
      </c>
      <c r="J864" t="str">
        <f t="shared" si="67"/>
        <v>Second class upper</v>
      </c>
      <c r="K864">
        <v>1.7</v>
      </c>
      <c r="L864" t="s">
        <v>22</v>
      </c>
      <c r="M864">
        <v>5</v>
      </c>
      <c r="N864">
        <v>7</v>
      </c>
      <c r="O864">
        <v>8</v>
      </c>
      <c r="P864">
        <v>0</v>
      </c>
      <c r="Q864">
        <f t="shared" si="68"/>
        <v>20</v>
      </c>
      <c r="S864" t="str">
        <f t="shared" si="69"/>
        <v>Mentally Unstable</v>
      </c>
    </row>
    <row r="865" spans="1:19" x14ac:dyDescent="0.25">
      <c r="A865">
        <v>17</v>
      </c>
      <c r="B865" t="str">
        <f t="shared" si="65"/>
        <v>Old Teenager</v>
      </c>
      <c r="C865" t="s">
        <v>19</v>
      </c>
      <c r="D865">
        <v>7.5</v>
      </c>
      <c r="E865" t="s">
        <v>23</v>
      </c>
      <c r="F865">
        <v>8.1</v>
      </c>
      <c r="G865">
        <v>2.8</v>
      </c>
      <c r="H865">
        <f t="shared" si="66"/>
        <v>10.3</v>
      </c>
      <c r="I865">
        <v>2.58</v>
      </c>
      <c r="J865" t="str">
        <f t="shared" si="67"/>
        <v>Second class lower</v>
      </c>
      <c r="K865">
        <v>0.5</v>
      </c>
      <c r="L865" t="s">
        <v>22</v>
      </c>
      <c r="M865">
        <v>2</v>
      </c>
      <c r="N865">
        <v>2</v>
      </c>
      <c r="O865">
        <v>3</v>
      </c>
      <c r="P865">
        <v>0</v>
      </c>
      <c r="Q865">
        <f t="shared" si="68"/>
        <v>7</v>
      </c>
      <c r="S865" t="str">
        <f t="shared" si="69"/>
        <v>Mentally Sound</v>
      </c>
    </row>
    <row r="866" spans="1:19" x14ac:dyDescent="0.25">
      <c r="A866">
        <v>17</v>
      </c>
      <c r="B866" t="str">
        <f t="shared" si="65"/>
        <v>Old Teenager</v>
      </c>
      <c r="C866" t="s">
        <v>19</v>
      </c>
      <c r="D866">
        <v>2.5</v>
      </c>
      <c r="E866" t="s">
        <v>17</v>
      </c>
      <c r="F866">
        <v>4.4000000000000004</v>
      </c>
      <c r="G866">
        <v>2</v>
      </c>
      <c r="H866">
        <f t="shared" si="66"/>
        <v>4.5</v>
      </c>
      <c r="I866">
        <v>3.29</v>
      </c>
      <c r="J866" t="str">
        <f t="shared" si="67"/>
        <v>Second class upper</v>
      </c>
      <c r="K866">
        <v>0.7</v>
      </c>
      <c r="L866" t="s">
        <v>18</v>
      </c>
      <c r="M866">
        <v>4</v>
      </c>
      <c r="N866">
        <v>6</v>
      </c>
      <c r="O866">
        <v>5</v>
      </c>
      <c r="P866">
        <v>0</v>
      </c>
      <c r="Q866">
        <f t="shared" si="68"/>
        <v>15</v>
      </c>
      <c r="S866" t="str">
        <f t="shared" si="69"/>
        <v>Mentally Strained</v>
      </c>
    </row>
    <row r="867" spans="1:19" x14ac:dyDescent="0.25">
      <c r="A867">
        <v>15</v>
      </c>
      <c r="B867" t="str">
        <f t="shared" si="65"/>
        <v>Young Teenager</v>
      </c>
      <c r="C867" t="s">
        <v>16</v>
      </c>
      <c r="D867">
        <v>6.5</v>
      </c>
      <c r="E867" t="s">
        <v>20</v>
      </c>
      <c r="F867">
        <v>5.4</v>
      </c>
      <c r="G867">
        <v>2.1</v>
      </c>
      <c r="H867">
        <f t="shared" si="66"/>
        <v>8.6</v>
      </c>
      <c r="I867">
        <v>3.44</v>
      </c>
      <c r="J867" t="str">
        <f t="shared" si="67"/>
        <v>Second class upper</v>
      </c>
      <c r="K867">
        <v>1.8</v>
      </c>
      <c r="L867" t="s">
        <v>18</v>
      </c>
      <c r="M867">
        <v>7</v>
      </c>
      <c r="N867">
        <v>3</v>
      </c>
      <c r="O867">
        <v>6</v>
      </c>
      <c r="P867">
        <v>0</v>
      </c>
      <c r="Q867">
        <f t="shared" si="68"/>
        <v>16</v>
      </c>
      <c r="S867" t="str">
        <f t="shared" si="69"/>
        <v>Mentally Strained</v>
      </c>
    </row>
    <row r="868" spans="1:19" x14ac:dyDescent="0.25">
      <c r="A868">
        <v>13</v>
      </c>
      <c r="B868" t="str">
        <f t="shared" si="65"/>
        <v>Young Teenager</v>
      </c>
      <c r="C868" t="s">
        <v>16</v>
      </c>
      <c r="D868">
        <v>7.7</v>
      </c>
      <c r="E868" t="s">
        <v>17</v>
      </c>
      <c r="F868">
        <v>4.4000000000000004</v>
      </c>
      <c r="G868">
        <v>2</v>
      </c>
      <c r="H868">
        <f t="shared" si="66"/>
        <v>9.6999999999999993</v>
      </c>
      <c r="I868">
        <v>3.09</v>
      </c>
      <c r="J868" t="str">
        <f t="shared" si="67"/>
        <v>Second class upper</v>
      </c>
      <c r="K868">
        <v>1</v>
      </c>
      <c r="L868" t="s">
        <v>21</v>
      </c>
      <c r="M868">
        <v>8</v>
      </c>
      <c r="N868">
        <v>7</v>
      </c>
      <c r="O868">
        <v>8</v>
      </c>
      <c r="P868">
        <v>1</v>
      </c>
      <c r="Q868">
        <f t="shared" si="68"/>
        <v>24</v>
      </c>
      <c r="S868" t="str">
        <f t="shared" si="69"/>
        <v>Mentally Unstable</v>
      </c>
    </row>
    <row r="869" spans="1:19" x14ac:dyDescent="0.25">
      <c r="A869">
        <v>18</v>
      </c>
      <c r="B869" t="str">
        <f t="shared" si="65"/>
        <v>Old Teenager</v>
      </c>
      <c r="C869" t="s">
        <v>19</v>
      </c>
      <c r="D869">
        <v>3.2</v>
      </c>
      <c r="E869" t="s">
        <v>23</v>
      </c>
      <c r="F869">
        <v>7.8</v>
      </c>
      <c r="G869">
        <v>0.7</v>
      </c>
      <c r="H869">
        <f t="shared" si="66"/>
        <v>3.9000000000000004</v>
      </c>
      <c r="I869">
        <v>3.46</v>
      </c>
      <c r="J869" t="str">
        <f t="shared" si="67"/>
        <v>Second class upper</v>
      </c>
      <c r="K869">
        <v>1.3</v>
      </c>
      <c r="L869" t="s">
        <v>18</v>
      </c>
      <c r="M869">
        <v>5</v>
      </c>
      <c r="N869">
        <v>10</v>
      </c>
      <c r="O869">
        <v>6</v>
      </c>
      <c r="P869">
        <v>0</v>
      </c>
      <c r="Q869">
        <f t="shared" si="68"/>
        <v>21</v>
      </c>
      <c r="S869" t="str">
        <f t="shared" si="69"/>
        <v>Mentally Unstable</v>
      </c>
    </row>
    <row r="870" spans="1:19" x14ac:dyDescent="0.25">
      <c r="A870">
        <v>16</v>
      </c>
      <c r="B870" t="str">
        <f t="shared" si="65"/>
        <v>Old Teenager</v>
      </c>
      <c r="C870" t="s">
        <v>19</v>
      </c>
      <c r="D870">
        <v>5.3</v>
      </c>
      <c r="E870" t="s">
        <v>20</v>
      </c>
      <c r="F870">
        <v>4.3</v>
      </c>
      <c r="G870">
        <v>1.5</v>
      </c>
      <c r="H870">
        <f t="shared" si="66"/>
        <v>6.8</v>
      </c>
      <c r="I870">
        <v>2.54</v>
      </c>
      <c r="J870" t="str">
        <f t="shared" si="67"/>
        <v>Second class lower</v>
      </c>
      <c r="K870">
        <v>0.3</v>
      </c>
      <c r="L870" t="s">
        <v>21</v>
      </c>
      <c r="M870">
        <v>7</v>
      </c>
      <c r="N870">
        <v>7</v>
      </c>
      <c r="O870">
        <v>10</v>
      </c>
      <c r="P870">
        <v>1</v>
      </c>
      <c r="Q870">
        <f t="shared" si="68"/>
        <v>25</v>
      </c>
      <c r="S870" t="str">
        <f t="shared" si="69"/>
        <v>Mentally Unstable</v>
      </c>
    </row>
    <row r="871" spans="1:19" x14ac:dyDescent="0.25">
      <c r="A871">
        <v>14</v>
      </c>
      <c r="B871" t="str">
        <f t="shared" si="65"/>
        <v>Young Teenager</v>
      </c>
      <c r="C871" t="s">
        <v>16</v>
      </c>
      <c r="D871">
        <v>5</v>
      </c>
      <c r="E871" t="s">
        <v>20</v>
      </c>
      <c r="F871">
        <v>5.2</v>
      </c>
      <c r="G871">
        <v>0.5</v>
      </c>
      <c r="H871">
        <f t="shared" si="66"/>
        <v>5.5</v>
      </c>
      <c r="I871">
        <v>3.55</v>
      </c>
      <c r="J871" t="str">
        <f t="shared" si="67"/>
        <v>Second class upper</v>
      </c>
      <c r="K871">
        <v>0.4</v>
      </c>
      <c r="L871" t="s">
        <v>18</v>
      </c>
      <c r="M871">
        <v>10</v>
      </c>
      <c r="N871">
        <v>6</v>
      </c>
      <c r="O871">
        <v>8</v>
      </c>
      <c r="P871">
        <v>0</v>
      </c>
      <c r="Q871">
        <f t="shared" si="68"/>
        <v>24</v>
      </c>
      <c r="S871" t="str">
        <f t="shared" si="69"/>
        <v>Mentally Unstable</v>
      </c>
    </row>
    <row r="872" spans="1:19" x14ac:dyDescent="0.25">
      <c r="A872">
        <v>19</v>
      </c>
      <c r="B872" t="str">
        <f t="shared" si="65"/>
        <v>Old Teenager</v>
      </c>
      <c r="C872" t="s">
        <v>16</v>
      </c>
      <c r="D872">
        <v>6.1</v>
      </c>
      <c r="E872" t="s">
        <v>17</v>
      </c>
      <c r="F872">
        <v>7.1</v>
      </c>
      <c r="G872">
        <v>2.2999999999999998</v>
      </c>
      <c r="H872">
        <f t="shared" si="66"/>
        <v>8.3999999999999986</v>
      </c>
      <c r="I872">
        <v>3.22</v>
      </c>
      <c r="J872" t="str">
        <f t="shared" si="67"/>
        <v>Second class upper</v>
      </c>
      <c r="K872">
        <v>0.5</v>
      </c>
      <c r="L872" t="s">
        <v>18</v>
      </c>
      <c r="M872">
        <v>4</v>
      </c>
      <c r="N872">
        <v>3</v>
      </c>
      <c r="O872">
        <v>7</v>
      </c>
      <c r="P872">
        <v>0</v>
      </c>
      <c r="Q872">
        <f t="shared" si="68"/>
        <v>14</v>
      </c>
      <c r="S872" t="str">
        <f t="shared" si="69"/>
        <v>Mentally Strained</v>
      </c>
    </row>
    <row r="873" spans="1:19" x14ac:dyDescent="0.25">
      <c r="A873">
        <v>17</v>
      </c>
      <c r="B873" t="str">
        <f t="shared" si="65"/>
        <v>Old Teenager</v>
      </c>
      <c r="C873" t="s">
        <v>16</v>
      </c>
      <c r="D873">
        <v>4.2</v>
      </c>
      <c r="E873" t="s">
        <v>20</v>
      </c>
      <c r="F873">
        <v>7.3</v>
      </c>
      <c r="G873">
        <v>2.6</v>
      </c>
      <c r="H873">
        <f t="shared" si="66"/>
        <v>6.8000000000000007</v>
      </c>
      <c r="I873">
        <v>3.2</v>
      </c>
      <c r="J873" t="str">
        <f t="shared" si="67"/>
        <v>Second class upper</v>
      </c>
      <c r="K873">
        <v>0.2</v>
      </c>
      <c r="L873" t="s">
        <v>21</v>
      </c>
      <c r="M873">
        <v>7</v>
      </c>
      <c r="N873">
        <v>1</v>
      </c>
      <c r="O873">
        <v>3</v>
      </c>
      <c r="P873">
        <v>0</v>
      </c>
      <c r="Q873">
        <f t="shared" si="68"/>
        <v>11</v>
      </c>
      <c r="S873" t="str">
        <f t="shared" si="69"/>
        <v>Mentally Strained</v>
      </c>
    </row>
    <row r="874" spans="1:19" x14ac:dyDescent="0.25">
      <c r="A874">
        <v>15</v>
      </c>
      <c r="B874" t="str">
        <f t="shared" si="65"/>
        <v>Young Teenager</v>
      </c>
      <c r="C874" t="s">
        <v>16</v>
      </c>
      <c r="D874">
        <v>4.7</v>
      </c>
      <c r="E874" t="s">
        <v>17</v>
      </c>
      <c r="F874">
        <v>8.1999999999999993</v>
      </c>
      <c r="G874">
        <v>2.2999999999999998</v>
      </c>
      <c r="H874">
        <f t="shared" si="66"/>
        <v>7</v>
      </c>
      <c r="I874">
        <v>3.35</v>
      </c>
      <c r="J874" t="str">
        <f t="shared" si="67"/>
        <v>Second class upper</v>
      </c>
      <c r="K874">
        <v>0.6</v>
      </c>
      <c r="L874" t="s">
        <v>18</v>
      </c>
      <c r="M874">
        <v>6</v>
      </c>
      <c r="N874">
        <v>2</v>
      </c>
      <c r="O874">
        <v>5</v>
      </c>
      <c r="P874">
        <v>0</v>
      </c>
      <c r="Q874">
        <f t="shared" si="68"/>
        <v>13</v>
      </c>
      <c r="S874" t="str">
        <f t="shared" si="69"/>
        <v>Mentally Strained</v>
      </c>
    </row>
    <row r="875" spans="1:19" x14ac:dyDescent="0.25">
      <c r="A875">
        <v>18</v>
      </c>
      <c r="B875" t="str">
        <f t="shared" si="65"/>
        <v>Old Teenager</v>
      </c>
      <c r="C875" t="s">
        <v>16</v>
      </c>
      <c r="D875">
        <v>1.6</v>
      </c>
      <c r="E875" t="s">
        <v>20</v>
      </c>
      <c r="F875">
        <v>5.8</v>
      </c>
      <c r="G875">
        <v>0.6</v>
      </c>
      <c r="H875">
        <f t="shared" si="66"/>
        <v>2.2000000000000002</v>
      </c>
      <c r="I875">
        <v>3.63</v>
      </c>
      <c r="J875" t="str">
        <f t="shared" si="67"/>
        <v>first class</v>
      </c>
      <c r="K875">
        <v>1.1000000000000001</v>
      </c>
      <c r="L875" t="s">
        <v>21</v>
      </c>
      <c r="M875">
        <v>6</v>
      </c>
      <c r="N875">
        <v>9</v>
      </c>
      <c r="O875">
        <v>7</v>
      </c>
      <c r="P875">
        <v>0</v>
      </c>
      <c r="Q875">
        <f t="shared" si="68"/>
        <v>22</v>
      </c>
      <c r="S875" t="str">
        <f t="shared" si="69"/>
        <v>Mentally Unstable</v>
      </c>
    </row>
    <row r="876" spans="1:19" x14ac:dyDescent="0.25">
      <c r="A876">
        <v>14</v>
      </c>
      <c r="B876" t="str">
        <f t="shared" si="65"/>
        <v>Young Teenager</v>
      </c>
      <c r="C876" t="s">
        <v>19</v>
      </c>
      <c r="D876">
        <v>1.7</v>
      </c>
      <c r="E876" t="s">
        <v>20</v>
      </c>
      <c r="F876">
        <v>6.5</v>
      </c>
      <c r="G876">
        <v>2.7</v>
      </c>
      <c r="H876">
        <f t="shared" si="66"/>
        <v>4.4000000000000004</v>
      </c>
      <c r="I876">
        <v>2.06</v>
      </c>
      <c r="J876" t="str">
        <f t="shared" si="67"/>
        <v>third class</v>
      </c>
      <c r="K876">
        <v>0.1</v>
      </c>
      <c r="L876" t="s">
        <v>22</v>
      </c>
      <c r="M876">
        <v>9</v>
      </c>
      <c r="N876">
        <v>5</v>
      </c>
      <c r="O876">
        <v>9</v>
      </c>
      <c r="P876">
        <v>0</v>
      </c>
      <c r="Q876">
        <f t="shared" si="68"/>
        <v>23</v>
      </c>
      <c r="S876" t="str">
        <f t="shared" si="69"/>
        <v>Mentally Unstable</v>
      </c>
    </row>
    <row r="877" spans="1:19" x14ac:dyDescent="0.25">
      <c r="A877">
        <v>18</v>
      </c>
      <c r="B877" t="str">
        <f t="shared" si="65"/>
        <v>Old Teenager</v>
      </c>
      <c r="C877" t="s">
        <v>16</v>
      </c>
      <c r="D877">
        <v>4.5999999999999996</v>
      </c>
      <c r="E877" t="s">
        <v>17</v>
      </c>
      <c r="F877">
        <v>4.0999999999999996</v>
      </c>
      <c r="G877">
        <v>1.4</v>
      </c>
      <c r="H877">
        <f t="shared" si="66"/>
        <v>6</v>
      </c>
      <c r="I877">
        <v>2.2799999999999998</v>
      </c>
      <c r="J877" t="str">
        <f t="shared" si="67"/>
        <v>third class</v>
      </c>
      <c r="K877">
        <v>0.4</v>
      </c>
      <c r="L877" t="s">
        <v>22</v>
      </c>
      <c r="M877">
        <v>4</v>
      </c>
      <c r="N877">
        <v>10</v>
      </c>
      <c r="O877">
        <v>10</v>
      </c>
      <c r="P877">
        <v>0</v>
      </c>
      <c r="Q877">
        <f t="shared" si="68"/>
        <v>24</v>
      </c>
      <c r="S877" t="str">
        <f t="shared" si="69"/>
        <v>Mentally Unstable</v>
      </c>
    </row>
    <row r="878" spans="1:19" x14ac:dyDescent="0.25">
      <c r="A878">
        <v>13</v>
      </c>
      <c r="B878" t="str">
        <f t="shared" si="65"/>
        <v>Young Teenager</v>
      </c>
      <c r="C878" t="s">
        <v>19</v>
      </c>
      <c r="D878">
        <v>2.5</v>
      </c>
      <c r="E878" t="s">
        <v>20</v>
      </c>
      <c r="F878">
        <v>6.8</v>
      </c>
      <c r="G878">
        <v>2.8</v>
      </c>
      <c r="H878">
        <f t="shared" si="66"/>
        <v>5.3</v>
      </c>
      <c r="I878">
        <v>2.77</v>
      </c>
      <c r="J878" t="str">
        <f t="shared" si="67"/>
        <v>Second class lower</v>
      </c>
      <c r="K878">
        <v>0.5</v>
      </c>
      <c r="L878" t="s">
        <v>18</v>
      </c>
      <c r="M878">
        <v>2</v>
      </c>
      <c r="N878">
        <v>6</v>
      </c>
      <c r="O878">
        <v>10</v>
      </c>
      <c r="P878">
        <v>0</v>
      </c>
      <c r="Q878">
        <f t="shared" si="68"/>
        <v>18</v>
      </c>
      <c r="S878" t="str">
        <f t="shared" si="69"/>
        <v>Mentally Strained</v>
      </c>
    </row>
    <row r="879" spans="1:19" x14ac:dyDescent="0.25">
      <c r="A879">
        <v>16</v>
      </c>
      <c r="B879" t="str">
        <f t="shared" si="65"/>
        <v>Old Teenager</v>
      </c>
      <c r="C879" t="s">
        <v>19</v>
      </c>
      <c r="D879">
        <v>4.2</v>
      </c>
      <c r="E879" t="s">
        <v>20</v>
      </c>
      <c r="F879">
        <v>6.3</v>
      </c>
      <c r="G879">
        <v>1.2</v>
      </c>
      <c r="H879">
        <f t="shared" si="66"/>
        <v>5.4</v>
      </c>
      <c r="I879">
        <v>3.72</v>
      </c>
      <c r="J879" t="str">
        <f t="shared" si="67"/>
        <v>first class</v>
      </c>
      <c r="K879">
        <v>1.9</v>
      </c>
      <c r="L879" t="s">
        <v>18</v>
      </c>
      <c r="M879">
        <v>5</v>
      </c>
      <c r="N879">
        <v>3</v>
      </c>
      <c r="O879">
        <v>7</v>
      </c>
      <c r="P879">
        <v>0</v>
      </c>
      <c r="Q879">
        <f t="shared" si="68"/>
        <v>15</v>
      </c>
      <c r="S879" t="str">
        <f t="shared" si="69"/>
        <v>Mentally Strained</v>
      </c>
    </row>
    <row r="880" spans="1:19" x14ac:dyDescent="0.25">
      <c r="A880">
        <v>19</v>
      </c>
      <c r="B880" t="str">
        <f t="shared" si="65"/>
        <v>Old Teenager</v>
      </c>
      <c r="C880" t="s">
        <v>19</v>
      </c>
      <c r="D880">
        <v>1.2</v>
      </c>
      <c r="E880" t="s">
        <v>20</v>
      </c>
      <c r="F880">
        <v>4.8</v>
      </c>
      <c r="G880">
        <v>1.7</v>
      </c>
      <c r="H880">
        <f t="shared" si="66"/>
        <v>2.9</v>
      </c>
      <c r="I880">
        <v>2.16</v>
      </c>
      <c r="J880" t="str">
        <f t="shared" si="67"/>
        <v>third class</v>
      </c>
      <c r="K880">
        <v>0.6</v>
      </c>
      <c r="L880" t="s">
        <v>22</v>
      </c>
      <c r="M880">
        <v>10</v>
      </c>
      <c r="N880">
        <v>10</v>
      </c>
      <c r="O880">
        <v>10</v>
      </c>
      <c r="P880">
        <v>0</v>
      </c>
      <c r="Q880">
        <f t="shared" si="68"/>
        <v>30</v>
      </c>
      <c r="S880" t="str">
        <f t="shared" si="69"/>
        <v>Mentally Unstable</v>
      </c>
    </row>
    <row r="881" spans="1:19" x14ac:dyDescent="0.25">
      <c r="A881">
        <v>15</v>
      </c>
      <c r="B881" t="str">
        <f t="shared" si="65"/>
        <v>Young Teenager</v>
      </c>
      <c r="C881" t="s">
        <v>16</v>
      </c>
      <c r="D881">
        <v>2.7</v>
      </c>
      <c r="E881" t="s">
        <v>17</v>
      </c>
      <c r="F881">
        <v>7.2</v>
      </c>
      <c r="G881">
        <v>2.9</v>
      </c>
      <c r="H881">
        <f t="shared" si="66"/>
        <v>5.6</v>
      </c>
      <c r="I881">
        <v>3.27</v>
      </c>
      <c r="J881" t="str">
        <f t="shared" si="67"/>
        <v>Second class upper</v>
      </c>
      <c r="K881">
        <v>0.8</v>
      </c>
      <c r="L881" t="s">
        <v>22</v>
      </c>
      <c r="M881">
        <v>5</v>
      </c>
      <c r="N881">
        <v>2</v>
      </c>
      <c r="O881">
        <v>9</v>
      </c>
      <c r="P881">
        <v>0</v>
      </c>
      <c r="Q881">
        <f t="shared" si="68"/>
        <v>16</v>
      </c>
      <c r="S881" t="str">
        <f t="shared" si="69"/>
        <v>Mentally Strained</v>
      </c>
    </row>
    <row r="882" spans="1:19" x14ac:dyDescent="0.25">
      <c r="A882">
        <v>13</v>
      </c>
      <c r="B882" t="str">
        <f t="shared" si="65"/>
        <v>Young Teenager</v>
      </c>
      <c r="C882" t="s">
        <v>16</v>
      </c>
      <c r="D882">
        <v>1.5</v>
      </c>
      <c r="E882" t="s">
        <v>23</v>
      </c>
      <c r="F882">
        <v>5.2</v>
      </c>
      <c r="G882">
        <v>0.8</v>
      </c>
      <c r="H882">
        <f t="shared" si="66"/>
        <v>2.2999999999999998</v>
      </c>
      <c r="I882">
        <v>2.16</v>
      </c>
      <c r="J882" t="str">
        <f t="shared" si="67"/>
        <v>third class</v>
      </c>
      <c r="K882">
        <v>0.9</v>
      </c>
      <c r="L882" t="s">
        <v>22</v>
      </c>
      <c r="M882">
        <v>10</v>
      </c>
      <c r="N882">
        <v>6</v>
      </c>
      <c r="O882">
        <v>8</v>
      </c>
      <c r="P882">
        <v>0</v>
      </c>
      <c r="Q882">
        <f t="shared" si="68"/>
        <v>24</v>
      </c>
      <c r="S882" t="str">
        <f t="shared" si="69"/>
        <v>Mentally Unstable</v>
      </c>
    </row>
    <row r="883" spans="1:19" x14ac:dyDescent="0.25">
      <c r="A883">
        <v>15</v>
      </c>
      <c r="B883" t="str">
        <f t="shared" si="65"/>
        <v>Young Teenager</v>
      </c>
      <c r="C883" t="s">
        <v>16</v>
      </c>
      <c r="D883">
        <v>3.2</v>
      </c>
      <c r="E883" t="s">
        <v>17</v>
      </c>
      <c r="F883">
        <v>5.6</v>
      </c>
      <c r="G883">
        <v>0.7</v>
      </c>
      <c r="H883">
        <f t="shared" si="66"/>
        <v>3.9000000000000004</v>
      </c>
      <c r="I883">
        <v>3.1</v>
      </c>
      <c r="J883" t="str">
        <f t="shared" si="67"/>
        <v>Second class upper</v>
      </c>
      <c r="K883">
        <v>1.5</v>
      </c>
      <c r="L883" t="s">
        <v>21</v>
      </c>
      <c r="M883">
        <v>6</v>
      </c>
      <c r="N883">
        <v>3</v>
      </c>
      <c r="O883">
        <v>1</v>
      </c>
      <c r="P883">
        <v>0</v>
      </c>
      <c r="Q883">
        <f t="shared" si="68"/>
        <v>10</v>
      </c>
      <c r="S883" t="str">
        <f t="shared" si="69"/>
        <v>Mentally Strained</v>
      </c>
    </row>
    <row r="884" spans="1:19" x14ac:dyDescent="0.25">
      <c r="A884">
        <v>19</v>
      </c>
      <c r="B884" t="str">
        <f t="shared" si="65"/>
        <v>Old Teenager</v>
      </c>
      <c r="C884" t="s">
        <v>19</v>
      </c>
      <c r="D884">
        <v>7.3</v>
      </c>
      <c r="E884" t="s">
        <v>23</v>
      </c>
      <c r="F884">
        <v>7.4</v>
      </c>
      <c r="G884">
        <v>1.5</v>
      </c>
      <c r="H884">
        <f t="shared" si="66"/>
        <v>8.8000000000000007</v>
      </c>
      <c r="I884">
        <v>2.84</v>
      </c>
      <c r="J884" t="str">
        <f t="shared" si="67"/>
        <v>Second class lower</v>
      </c>
      <c r="K884">
        <v>1</v>
      </c>
      <c r="L884" t="s">
        <v>22</v>
      </c>
      <c r="M884">
        <v>9</v>
      </c>
      <c r="N884">
        <v>8</v>
      </c>
      <c r="O884">
        <v>5</v>
      </c>
      <c r="P884">
        <v>0</v>
      </c>
      <c r="Q884">
        <f t="shared" si="68"/>
        <v>22</v>
      </c>
      <c r="S884" t="str">
        <f t="shared" si="69"/>
        <v>Mentally Unstable</v>
      </c>
    </row>
    <row r="885" spans="1:19" x14ac:dyDescent="0.25">
      <c r="A885">
        <v>16</v>
      </c>
      <c r="B885" t="str">
        <f t="shared" si="65"/>
        <v>Old Teenager</v>
      </c>
      <c r="C885" t="s">
        <v>16</v>
      </c>
      <c r="D885">
        <v>2</v>
      </c>
      <c r="E885" t="s">
        <v>17</v>
      </c>
      <c r="F885">
        <v>8.1999999999999993</v>
      </c>
      <c r="G885">
        <v>1</v>
      </c>
      <c r="H885">
        <f t="shared" si="66"/>
        <v>3</v>
      </c>
      <c r="I885">
        <v>3.15</v>
      </c>
      <c r="J885" t="str">
        <f t="shared" si="67"/>
        <v>Second class upper</v>
      </c>
      <c r="K885">
        <v>0.9</v>
      </c>
      <c r="L885" t="s">
        <v>22</v>
      </c>
      <c r="M885">
        <v>9</v>
      </c>
      <c r="N885">
        <v>7</v>
      </c>
      <c r="O885">
        <v>10</v>
      </c>
      <c r="P885">
        <v>0</v>
      </c>
      <c r="Q885">
        <f t="shared" si="68"/>
        <v>26</v>
      </c>
      <c r="S885" t="str">
        <f t="shared" si="69"/>
        <v>Mentally Unstable</v>
      </c>
    </row>
    <row r="886" spans="1:19" x14ac:dyDescent="0.25">
      <c r="A886">
        <v>19</v>
      </c>
      <c r="B886" t="str">
        <f t="shared" si="65"/>
        <v>Old Teenager</v>
      </c>
      <c r="C886" t="s">
        <v>16</v>
      </c>
      <c r="D886">
        <v>2.5</v>
      </c>
      <c r="E886" t="s">
        <v>20</v>
      </c>
      <c r="F886">
        <v>7.1</v>
      </c>
      <c r="G886">
        <v>1.9</v>
      </c>
      <c r="H886">
        <f t="shared" si="66"/>
        <v>4.4000000000000004</v>
      </c>
      <c r="I886">
        <v>2.35</v>
      </c>
      <c r="J886" t="str">
        <f t="shared" si="67"/>
        <v>third class</v>
      </c>
      <c r="K886">
        <v>1.1000000000000001</v>
      </c>
      <c r="L886" t="s">
        <v>18</v>
      </c>
      <c r="M886">
        <v>4</v>
      </c>
      <c r="N886">
        <v>4</v>
      </c>
      <c r="O886">
        <v>8</v>
      </c>
      <c r="P886">
        <v>0</v>
      </c>
      <c r="Q886">
        <f t="shared" si="68"/>
        <v>16</v>
      </c>
      <c r="S886" t="str">
        <f t="shared" si="69"/>
        <v>Mentally Strained</v>
      </c>
    </row>
    <row r="887" spans="1:19" x14ac:dyDescent="0.25">
      <c r="A887">
        <v>16</v>
      </c>
      <c r="B887" t="str">
        <f t="shared" si="65"/>
        <v>Old Teenager</v>
      </c>
      <c r="C887" t="s">
        <v>19</v>
      </c>
      <c r="D887">
        <v>7.7</v>
      </c>
      <c r="E887" t="s">
        <v>17</v>
      </c>
      <c r="F887">
        <v>4.7</v>
      </c>
      <c r="G887">
        <v>2.9</v>
      </c>
      <c r="H887">
        <f t="shared" si="66"/>
        <v>10.6</v>
      </c>
      <c r="I887">
        <v>2.17</v>
      </c>
      <c r="J887" t="str">
        <f t="shared" si="67"/>
        <v>third class</v>
      </c>
      <c r="K887">
        <v>1.2</v>
      </c>
      <c r="L887" t="s">
        <v>22</v>
      </c>
      <c r="M887">
        <v>5</v>
      </c>
      <c r="N887">
        <v>7</v>
      </c>
      <c r="O887">
        <v>6</v>
      </c>
      <c r="P887">
        <v>0</v>
      </c>
      <c r="Q887">
        <f t="shared" si="68"/>
        <v>18</v>
      </c>
      <c r="S887" t="str">
        <f t="shared" si="69"/>
        <v>Mentally Strained</v>
      </c>
    </row>
    <row r="888" spans="1:19" x14ac:dyDescent="0.25">
      <c r="A888">
        <v>19</v>
      </c>
      <c r="B888" t="str">
        <f t="shared" si="65"/>
        <v>Old Teenager</v>
      </c>
      <c r="C888" t="s">
        <v>19</v>
      </c>
      <c r="D888">
        <v>3.9</v>
      </c>
      <c r="E888" t="s">
        <v>23</v>
      </c>
      <c r="F888">
        <v>7.9</v>
      </c>
      <c r="G888">
        <v>2.1</v>
      </c>
      <c r="H888">
        <f t="shared" si="66"/>
        <v>6</v>
      </c>
      <c r="I888">
        <v>3.52</v>
      </c>
      <c r="J888" t="str">
        <f t="shared" si="67"/>
        <v>Second class upper</v>
      </c>
      <c r="K888">
        <v>0.6</v>
      </c>
      <c r="L888" t="s">
        <v>21</v>
      </c>
      <c r="M888">
        <v>3</v>
      </c>
      <c r="N888">
        <v>2</v>
      </c>
      <c r="O888">
        <v>4</v>
      </c>
      <c r="P888">
        <v>0</v>
      </c>
      <c r="Q888">
        <f t="shared" si="68"/>
        <v>9</v>
      </c>
      <c r="S888" t="str">
        <f t="shared" si="69"/>
        <v>Mentally Sound</v>
      </c>
    </row>
    <row r="889" spans="1:19" x14ac:dyDescent="0.25">
      <c r="A889">
        <v>16</v>
      </c>
      <c r="B889" t="str">
        <f t="shared" si="65"/>
        <v>Old Teenager</v>
      </c>
      <c r="C889" t="s">
        <v>19</v>
      </c>
      <c r="D889">
        <v>3.5</v>
      </c>
      <c r="E889" t="s">
        <v>20</v>
      </c>
      <c r="F889">
        <v>6.1</v>
      </c>
      <c r="G889">
        <v>2.7</v>
      </c>
      <c r="H889">
        <f t="shared" si="66"/>
        <v>6.2</v>
      </c>
      <c r="I889">
        <v>3.83</v>
      </c>
      <c r="J889" t="str">
        <f t="shared" si="67"/>
        <v>first class</v>
      </c>
      <c r="K889">
        <v>0.1</v>
      </c>
      <c r="L889" t="s">
        <v>22</v>
      </c>
      <c r="M889">
        <v>4</v>
      </c>
      <c r="N889">
        <v>5</v>
      </c>
      <c r="O889">
        <v>10</v>
      </c>
      <c r="P889">
        <v>0</v>
      </c>
      <c r="Q889">
        <f t="shared" si="68"/>
        <v>19</v>
      </c>
      <c r="S889" t="str">
        <f t="shared" si="69"/>
        <v>Mentally Strained</v>
      </c>
    </row>
    <row r="890" spans="1:19" x14ac:dyDescent="0.25">
      <c r="A890">
        <v>17</v>
      </c>
      <c r="B890" t="str">
        <f t="shared" si="65"/>
        <v>Old Teenager</v>
      </c>
      <c r="C890" t="s">
        <v>16</v>
      </c>
      <c r="D890">
        <v>4.9000000000000004</v>
      </c>
      <c r="E890" t="s">
        <v>17</v>
      </c>
      <c r="F890">
        <v>6.4</v>
      </c>
      <c r="G890">
        <v>2.5</v>
      </c>
      <c r="H890">
        <f t="shared" si="66"/>
        <v>7.4</v>
      </c>
      <c r="I890">
        <v>2.64</v>
      </c>
      <c r="J890" t="str">
        <f t="shared" si="67"/>
        <v>Second class lower</v>
      </c>
      <c r="K890">
        <v>1.9</v>
      </c>
      <c r="L890" t="s">
        <v>22</v>
      </c>
      <c r="M890">
        <v>6</v>
      </c>
      <c r="N890">
        <v>2</v>
      </c>
      <c r="O890">
        <v>10</v>
      </c>
      <c r="P890">
        <v>0</v>
      </c>
      <c r="Q890">
        <f t="shared" si="68"/>
        <v>18</v>
      </c>
      <c r="S890" t="str">
        <f t="shared" si="69"/>
        <v>Mentally Strained</v>
      </c>
    </row>
    <row r="891" spans="1:19" x14ac:dyDescent="0.25">
      <c r="A891">
        <v>14</v>
      </c>
      <c r="B891" t="str">
        <f t="shared" si="65"/>
        <v>Young Teenager</v>
      </c>
      <c r="C891" t="s">
        <v>16</v>
      </c>
      <c r="D891">
        <v>3.4</v>
      </c>
      <c r="E891" t="s">
        <v>23</v>
      </c>
      <c r="F891">
        <v>5.8</v>
      </c>
      <c r="G891">
        <v>3</v>
      </c>
      <c r="H891">
        <f t="shared" si="66"/>
        <v>6.4</v>
      </c>
      <c r="I891">
        <v>3.32</v>
      </c>
      <c r="J891" t="str">
        <f t="shared" si="67"/>
        <v>Second class upper</v>
      </c>
      <c r="K891">
        <v>0.6</v>
      </c>
      <c r="L891" t="s">
        <v>22</v>
      </c>
      <c r="M891">
        <v>1</v>
      </c>
      <c r="N891">
        <v>4</v>
      </c>
      <c r="O891">
        <v>4</v>
      </c>
      <c r="P891">
        <v>0</v>
      </c>
      <c r="Q891">
        <f t="shared" si="68"/>
        <v>9</v>
      </c>
      <c r="S891" t="str">
        <f t="shared" si="69"/>
        <v>Mentally Sound</v>
      </c>
    </row>
    <row r="892" spans="1:19" x14ac:dyDescent="0.25">
      <c r="A892">
        <v>18</v>
      </c>
      <c r="B892" t="str">
        <f t="shared" si="65"/>
        <v>Old Teenager</v>
      </c>
      <c r="C892" t="s">
        <v>16</v>
      </c>
      <c r="D892">
        <v>2.5</v>
      </c>
      <c r="E892" t="s">
        <v>20</v>
      </c>
      <c r="F892">
        <v>4.5999999999999996</v>
      </c>
      <c r="G892">
        <v>2.2000000000000002</v>
      </c>
      <c r="H892">
        <f t="shared" si="66"/>
        <v>4.7</v>
      </c>
      <c r="I892">
        <v>2.0499999999999998</v>
      </c>
      <c r="J892" t="str">
        <f t="shared" si="67"/>
        <v>third class</v>
      </c>
      <c r="K892">
        <v>0.7</v>
      </c>
      <c r="L892" t="s">
        <v>22</v>
      </c>
      <c r="M892">
        <v>9</v>
      </c>
      <c r="N892">
        <v>5</v>
      </c>
      <c r="O892">
        <v>10</v>
      </c>
      <c r="P892">
        <v>0</v>
      </c>
      <c r="Q892">
        <f t="shared" si="68"/>
        <v>24</v>
      </c>
      <c r="S892" t="str">
        <f t="shared" si="69"/>
        <v>Mentally Unstable</v>
      </c>
    </row>
    <row r="893" spans="1:19" x14ac:dyDescent="0.25">
      <c r="A893">
        <v>16</v>
      </c>
      <c r="B893" t="str">
        <f t="shared" si="65"/>
        <v>Old Teenager</v>
      </c>
      <c r="C893" t="s">
        <v>16</v>
      </c>
      <c r="D893">
        <v>4.8</v>
      </c>
      <c r="E893" t="s">
        <v>23</v>
      </c>
      <c r="F893">
        <v>5.4</v>
      </c>
      <c r="G893">
        <v>0.9</v>
      </c>
      <c r="H893">
        <f t="shared" si="66"/>
        <v>5.7</v>
      </c>
      <c r="I893">
        <v>2.06</v>
      </c>
      <c r="J893" t="str">
        <f t="shared" si="67"/>
        <v>third class</v>
      </c>
      <c r="K893">
        <v>1.9</v>
      </c>
      <c r="L893" t="s">
        <v>18</v>
      </c>
      <c r="M893">
        <v>8</v>
      </c>
      <c r="N893">
        <v>3</v>
      </c>
      <c r="O893">
        <v>2</v>
      </c>
      <c r="P893">
        <v>0</v>
      </c>
      <c r="Q893">
        <f t="shared" si="68"/>
        <v>13</v>
      </c>
      <c r="S893" t="str">
        <f t="shared" si="69"/>
        <v>Mentally Strained</v>
      </c>
    </row>
    <row r="894" spans="1:19" x14ac:dyDescent="0.25">
      <c r="A894">
        <v>19</v>
      </c>
      <c r="B894" t="str">
        <f t="shared" si="65"/>
        <v>Old Teenager</v>
      </c>
      <c r="C894" t="s">
        <v>16</v>
      </c>
      <c r="D894">
        <v>7.4</v>
      </c>
      <c r="E894" t="s">
        <v>20</v>
      </c>
      <c r="F894">
        <v>6.1</v>
      </c>
      <c r="G894">
        <v>1.1000000000000001</v>
      </c>
      <c r="H894">
        <f t="shared" si="66"/>
        <v>8.5</v>
      </c>
      <c r="I894">
        <v>2.15</v>
      </c>
      <c r="J894" t="str">
        <f t="shared" si="67"/>
        <v>third class</v>
      </c>
      <c r="K894">
        <v>1.6</v>
      </c>
      <c r="L894" t="s">
        <v>21</v>
      </c>
      <c r="M894">
        <v>4</v>
      </c>
      <c r="N894">
        <v>4</v>
      </c>
      <c r="O894">
        <v>1</v>
      </c>
      <c r="P894">
        <v>0</v>
      </c>
      <c r="Q894">
        <f t="shared" si="68"/>
        <v>9</v>
      </c>
      <c r="S894" t="str">
        <f t="shared" si="69"/>
        <v>Mentally Sound</v>
      </c>
    </row>
    <row r="895" spans="1:19" x14ac:dyDescent="0.25">
      <c r="A895">
        <v>16</v>
      </c>
      <c r="B895" t="str">
        <f t="shared" si="65"/>
        <v>Old Teenager</v>
      </c>
      <c r="C895" t="s">
        <v>19</v>
      </c>
      <c r="D895">
        <v>2.1</v>
      </c>
      <c r="E895" t="s">
        <v>17</v>
      </c>
      <c r="F895">
        <v>4.8</v>
      </c>
      <c r="G895">
        <v>1.3</v>
      </c>
      <c r="H895">
        <f t="shared" si="66"/>
        <v>3.4000000000000004</v>
      </c>
      <c r="I895">
        <v>2.29</v>
      </c>
      <c r="J895" t="str">
        <f t="shared" si="67"/>
        <v>third class</v>
      </c>
      <c r="K895">
        <v>1.8</v>
      </c>
      <c r="L895" t="s">
        <v>21</v>
      </c>
      <c r="M895">
        <v>6</v>
      </c>
      <c r="N895">
        <v>9</v>
      </c>
      <c r="O895">
        <v>2</v>
      </c>
      <c r="P895">
        <v>0</v>
      </c>
      <c r="Q895">
        <f t="shared" si="68"/>
        <v>17</v>
      </c>
      <c r="S895" t="str">
        <f t="shared" si="69"/>
        <v>Mentally Strained</v>
      </c>
    </row>
    <row r="896" spans="1:19" x14ac:dyDescent="0.25">
      <c r="A896">
        <v>19</v>
      </c>
      <c r="B896" t="str">
        <f t="shared" si="65"/>
        <v>Old Teenager</v>
      </c>
      <c r="C896" t="s">
        <v>16</v>
      </c>
      <c r="D896">
        <v>2.1</v>
      </c>
      <c r="E896" t="s">
        <v>20</v>
      </c>
      <c r="F896">
        <v>6.8</v>
      </c>
      <c r="G896">
        <v>2.2000000000000002</v>
      </c>
      <c r="H896">
        <f t="shared" si="66"/>
        <v>4.3000000000000007</v>
      </c>
      <c r="I896">
        <v>2.33</v>
      </c>
      <c r="J896" t="str">
        <f t="shared" si="67"/>
        <v>third class</v>
      </c>
      <c r="K896">
        <v>1</v>
      </c>
      <c r="L896" t="s">
        <v>22</v>
      </c>
      <c r="M896">
        <v>7</v>
      </c>
      <c r="N896">
        <v>6</v>
      </c>
      <c r="O896">
        <v>7</v>
      </c>
      <c r="P896">
        <v>0</v>
      </c>
      <c r="Q896">
        <f t="shared" si="68"/>
        <v>20</v>
      </c>
      <c r="S896" t="str">
        <f t="shared" si="69"/>
        <v>Mentally Unstable</v>
      </c>
    </row>
    <row r="897" spans="1:19" x14ac:dyDescent="0.25">
      <c r="A897">
        <v>16</v>
      </c>
      <c r="B897" t="str">
        <f t="shared" si="65"/>
        <v>Old Teenager</v>
      </c>
      <c r="C897" t="s">
        <v>16</v>
      </c>
      <c r="D897">
        <v>1.8</v>
      </c>
      <c r="E897" t="s">
        <v>17</v>
      </c>
      <c r="F897">
        <v>4.9000000000000004</v>
      </c>
      <c r="G897">
        <v>2.2999999999999998</v>
      </c>
      <c r="H897">
        <f t="shared" si="66"/>
        <v>4.0999999999999996</v>
      </c>
      <c r="I897">
        <v>2.67</v>
      </c>
      <c r="J897" t="str">
        <f t="shared" si="67"/>
        <v>Second class lower</v>
      </c>
      <c r="K897">
        <v>1.4</v>
      </c>
      <c r="L897" t="s">
        <v>22</v>
      </c>
      <c r="M897">
        <v>3</v>
      </c>
      <c r="N897">
        <v>8</v>
      </c>
      <c r="O897">
        <v>6</v>
      </c>
      <c r="P897">
        <v>0</v>
      </c>
      <c r="Q897">
        <f t="shared" si="68"/>
        <v>17</v>
      </c>
      <c r="S897" t="str">
        <f t="shared" si="69"/>
        <v>Mentally Strained</v>
      </c>
    </row>
    <row r="898" spans="1:19" x14ac:dyDescent="0.25">
      <c r="A898">
        <v>18</v>
      </c>
      <c r="B898" t="str">
        <f t="shared" si="65"/>
        <v>Old Teenager</v>
      </c>
      <c r="C898" t="s">
        <v>16</v>
      </c>
      <c r="D898">
        <v>6.8</v>
      </c>
      <c r="E898" t="s">
        <v>23</v>
      </c>
      <c r="F898">
        <v>5.4</v>
      </c>
      <c r="G898">
        <v>0.9</v>
      </c>
      <c r="H898">
        <f t="shared" si="66"/>
        <v>7.7</v>
      </c>
      <c r="I898">
        <v>2.64</v>
      </c>
      <c r="J898" t="str">
        <f t="shared" si="67"/>
        <v>Second class lower</v>
      </c>
      <c r="K898">
        <v>0.3</v>
      </c>
      <c r="L898" t="s">
        <v>21</v>
      </c>
      <c r="M898">
        <v>9</v>
      </c>
      <c r="N898">
        <v>1</v>
      </c>
      <c r="O898">
        <v>8</v>
      </c>
      <c r="P898">
        <v>0</v>
      </c>
      <c r="Q898">
        <f t="shared" si="68"/>
        <v>18</v>
      </c>
      <c r="S898" t="str">
        <f t="shared" si="69"/>
        <v>Mentally Strained</v>
      </c>
    </row>
    <row r="899" spans="1:19" x14ac:dyDescent="0.25">
      <c r="A899">
        <v>18</v>
      </c>
      <c r="B899" t="str">
        <f t="shared" ref="B899:B962" si="70">IF(A899&lt;=15,"Young Teenager","Old Teenager")</f>
        <v>Old Teenager</v>
      </c>
      <c r="C899" t="s">
        <v>16</v>
      </c>
      <c r="D899">
        <v>7.9</v>
      </c>
      <c r="E899" t="s">
        <v>17</v>
      </c>
      <c r="F899">
        <v>4.0999999999999996</v>
      </c>
      <c r="G899">
        <v>2.8</v>
      </c>
      <c r="H899">
        <f t="shared" ref="H899:H962" si="71">SUM(D899,G899)</f>
        <v>10.7</v>
      </c>
      <c r="I899">
        <v>3.25</v>
      </c>
      <c r="J899" t="str">
        <f t="shared" ref="J899:J962" si="72">IF(I899&lt;=2.49,"third class",IF(I899&lt;3,"Second class lower",IF(I899&lt;3.6,"Second class upper","first class")))</f>
        <v>Second class upper</v>
      </c>
      <c r="K899">
        <v>1.4</v>
      </c>
      <c r="L899" t="s">
        <v>21</v>
      </c>
      <c r="M899">
        <v>4</v>
      </c>
      <c r="N899">
        <v>2</v>
      </c>
      <c r="O899">
        <v>4</v>
      </c>
      <c r="P899">
        <v>0</v>
      </c>
      <c r="Q899">
        <f t="shared" ref="Q899:Q962" si="73">SUM(M899:P899)</f>
        <v>10</v>
      </c>
      <c r="S899" t="str">
        <f t="shared" ref="S899:S962" si="74">IF(Q899&lt;10,"Mentally Sound",IF(Q899&gt;=20,"Mentally Unstable","Mentally Strained"))</f>
        <v>Mentally Strained</v>
      </c>
    </row>
    <row r="900" spans="1:19" x14ac:dyDescent="0.25">
      <c r="A900">
        <v>15</v>
      </c>
      <c r="B900" t="str">
        <f t="shared" si="70"/>
        <v>Young Teenager</v>
      </c>
      <c r="C900" t="s">
        <v>16</v>
      </c>
      <c r="D900">
        <v>7.6</v>
      </c>
      <c r="E900" t="s">
        <v>23</v>
      </c>
      <c r="F900">
        <v>6</v>
      </c>
      <c r="G900">
        <v>2.9</v>
      </c>
      <c r="H900">
        <f t="shared" si="71"/>
        <v>10.5</v>
      </c>
      <c r="I900">
        <v>2.72</v>
      </c>
      <c r="J900" t="str">
        <f t="shared" si="72"/>
        <v>Second class lower</v>
      </c>
      <c r="K900">
        <v>1.8</v>
      </c>
      <c r="L900" t="s">
        <v>21</v>
      </c>
      <c r="M900">
        <v>1</v>
      </c>
      <c r="N900">
        <v>9</v>
      </c>
      <c r="O900">
        <v>6</v>
      </c>
      <c r="P900">
        <v>0</v>
      </c>
      <c r="Q900">
        <f t="shared" si="73"/>
        <v>16</v>
      </c>
      <c r="S900" t="str">
        <f t="shared" si="74"/>
        <v>Mentally Strained</v>
      </c>
    </row>
    <row r="901" spans="1:19" x14ac:dyDescent="0.25">
      <c r="A901">
        <v>18</v>
      </c>
      <c r="B901" t="str">
        <f t="shared" si="70"/>
        <v>Old Teenager</v>
      </c>
      <c r="C901" t="s">
        <v>16</v>
      </c>
      <c r="D901">
        <v>6.1</v>
      </c>
      <c r="E901" t="s">
        <v>20</v>
      </c>
      <c r="F901">
        <v>5.8</v>
      </c>
      <c r="G901">
        <v>1.8</v>
      </c>
      <c r="H901">
        <f t="shared" si="71"/>
        <v>7.8999999999999995</v>
      </c>
      <c r="I901">
        <v>3.59</v>
      </c>
      <c r="J901" t="str">
        <f t="shared" si="72"/>
        <v>Second class upper</v>
      </c>
      <c r="K901">
        <v>0.2</v>
      </c>
      <c r="L901" t="s">
        <v>18</v>
      </c>
      <c r="M901">
        <v>2</v>
      </c>
      <c r="N901">
        <v>5</v>
      </c>
      <c r="O901">
        <v>4</v>
      </c>
      <c r="P901">
        <v>0</v>
      </c>
      <c r="Q901">
        <f t="shared" si="73"/>
        <v>11</v>
      </c>
      <c r="S901" t="str">
        <f t="shared" si="74"/>
        <v>Mentally Strained</v>
      </c>
    </row>
    <row r="902" spans="1:19" x14ac:dyDescent="0.25">
      <c r="A902">
        <v>16</v>
      </c>
      <c r="B902" t="str">
        <f t="shared" si="70"/>
        <v>Old Teenager</v>
      </c>
      <c r="C902" t="s">
        <v>19</v>
      </c>
      <c r="D902">
        <v>1.4</v>
      </c>
      <c r="E902" t="s">
        <v>23</v>
      </c>
      <c r="F902">
        <v>5.7</v>
      </c>
      <c r="G902">
        <v>1.8</v>
      </c>
      <c r="H902">
        <f t="shared" si="71"/>
        <v>3.2</v>
      </c>
      <c r="I902">
        <v>2</v>
      </c>
      <c r="J902" t="str">
        <f t="shared" si="72"/>
        <v>third class</v>
      </c>
      <c r="K902">
        <v>1.4</v>
      </c>
      <c r="L902" t="s">
        <v>18</v>
      </c>
      <c r="M902">
        <v>4</v>
      </c>
      <c r="N902">
        <v>8</v>
      </c>
      <c r="O902">
        <v>7</v>
      </c>
      <c r="P902">
        <v>0</v>
      </c>
      <c r="Q902">
        <f t="shared" si="73"/>
        <v>19</v>
      </c>
      <c r="S902" t="str">
        <f t="shared" si="74"/>
        <v>Mentally Strained</v>
      </c>
    </row>
    <row r="903" spans="1:19" x14ac:dyDescent="0.25">
      <c r="A903">
        <v>19</v>
      </c>
      <c r="B903" t="str">
        <f t="shared" si="70"/>
        <v>Old Teenager</v>
      </c>
      <c r="C903" t="s">
        <v>16</v>
      </c>
      <c r="D903">
        <v>6.3</v>
      </c>
      <c r="E903" t="s">
        <v>20</v>
      </c>
      <c r="F903">
        <v>5.7</v>
      </c>
      <c r="G903">
        <v>1.4</v>
      </c>
      <c r="H903">
        <f t="shared" si="71"/>
        <v>7.6999999999999993</v>
      </c>
      <c r="I903">
        <v>2.0299999999999998</v>
      </c>
      <c r="J903" t="str">
        <f t="shared" si="72"/>
        <v>third class</v>
      </c>
      <c r="K903">
        <v>1.1000000000000001</v>
      </c>
      <c r="L903" t="s">
        <v>18</v>
      </c>
      <c r="M903">
        <v>4</v>
      </c>
      <c r="N903">
        <v>6</v>
      </c>
      <c r="O903">
        <v>1</v>
      </c>
      <c r="P903">
        <v>0</v>
      </c>
      <c r="Q903">
        <f t="shared" si="73"/>
        <v>11</v>
      </c>
      <c r="S903" t="str">
        <f t="shared" si="74"/>
        <v>Mentally Strained</v>
      </c>
    </row>
    <row r="904" spans="1:19" x14ac:dyDescent="0.25">
      <c r="A904">
        <v>13</v>
      </c>
      <c r="B904" t="str">
        <f t="shared" si="70"/>
        <v>Young Teenager</v>
      </c>
      <c r="C904" t="s">
        <v>16</v>
      </c>
      <c r="D904">
        <v>1.3</v>
      </c>
      <c r="E904" t="s">
        <v>17</v>
      </c>
      <c r="F904">
        <v>5.7</v>
      </c>
      <c r="G904">
        <v>1.1000000000000001</v>
      </c>
      <c r="H904">
        <f t="shared" si="71"/>
        <v>2.4000000000000004</v>
      </c>
      <c r="I904">
        <v>3.74</v>
      </c>
      <c r="J904" t="str">
        <f t="shared" si="72"/>
        <v>first class</v>
      </c>
      <c r="K904">
        <v>1.3</v>
      </c>
      <c r="L904" t="s">
        <v>18</v>
      </c>
      <c r="M904">
        <v>9</v>
      </c>
      <c r="N904">
        <v>5</v>
      </c>
      <c r="O904">
        <v>10</v>
      </c>
      <c r="P904">
        <v>0</v>
      </c>
      <c r="Q904">
        <f t="shared" si="73"/>
        <v>24</v>
      </c>
      <c r="S904" t="str">
        <f t="shared" si="74"/>
        <v>Mentally Unstable</v>
      </c>
    </row>
    <row r="905" spans="1:19" x14ac:dyDescent="0.25">
      <c r="A905">
        <v>17</v>
      </c>
      <c r="B905" t="str">
        <f t="shared" si="70"/>
        <v>Old Teenager</v>
      </c>
      <c r="C905" t="s">
        <v>16</v>
      </c>
      <c r="D905">
        <v>5.0999999999999996</v>
      </c>
      <c r="E905" t="s">
        <v>20</v>
      </c>
      <c r="F905">
        <v>5.0999999999999996</v>
      </c>
      <c r="G905">
        <v>2.9</v>
      </c>
      <c r="H905">
        <f t="shared" si="71"/>
        <v>8</v>
      </c>
      <c r="I905">
        <v>3.99</v>
      </c>
      <c r="J905" t="str">
        <f t="shared" si="72"/>
        <v>first class</v>
      </c>
      <c r="K905">
        <v>0.6</v>
      </c>
      <c r="L905" t="s">
        <v>22</v>
      </c>
      <c r="M905">
        <v>4</v>
      </c>
      <c r="N905">
        <v>2</v>
      </c>
      <c r="O905">
        <v>9</v>
      </c>
      <c r="P905">
        <v>0</v>
      </c>
      <c r="Q905">
        <f t="shared" si="73"/>
        <v>15</v>
      </c>
      <c r="S905" t="str">
        <f t="shared" si="74"/>
        <v>Mentally Strained</v>
      </c>
    </row>
    <row r="906" spans="1:19" x14ac:dyDescent="0.25">
      <c r="A906">
        <v>19</v>
      </c>
      <c r="B906" t="str">
        <f t="shared" si="70"/>
        <v>Old Teenager</v>
      </c>
      <c r="C906" t="s">
        <v>19</v>
      </c>
      <c r="D906">
        <v>4</v>
      </c>
      <c r="E906" t="s">
        <v>17</v>
      </c>
      <c r="F906">
        <v>8.1999999999999993</v>
      </c>
      <c r="G906">
        <v>1.4</v>
      </c>
      <c r="H906">
        <f t="shared" si="71"/>
        <v>5.4</v>
      </c>
      <c r="I906">
        <v>3.63</v>
      </c>
      <c r="J906" t="str">
        <f t="shared" si="72"/>
        <v>first class</v>
      </c>
      <c r="K906">
        <v>1.3</v>
      </c>
      <c r="L906" t="s">
        <v>18</v>
      </c>
      <c r="M906">
        <v>5</v>
      </c>
      <c r="N906">
        <v>3</v>
      </c>
      <c r="O906">
        <v>10</v>
      </c>
      <c r="P906">
        <v>0</v>
      </c>
      <c r="Q906">
        <f t="shared" si="73"/>
        <v>18</v>
      </c>
      <c r="S906" t="str">
        <f t="shared" si="74"/>
        <v>Mentally Strained</v>
      </c>
    </row>
    <row r="907" spans="1:19" x14ac:dyDescent="0.25">
      <c r="A907">
        <v>17</v>
      </c>
      <c r="B907" t="str">
        <f t="shared" si="70"/>
        <v>Old Teenager</v>
      </c>
      <c r="C907" t="s">
        <v>19</v>
      </c>
      <c r="D907">
        <v>7.6</v>
      </c>
      <c r="E907" t="s">
        <v>17</v>
      </c>
      <c r="F907">
        <v>7.3</v>
      </c>
      <c r="G907">
        <v>1.9</v>
      </c>
      <c r="H907">
        <f t="shared" si="71"/>
        <v>9.5</v>
      </c>
      <c r="I907">
        <v>3.05</v>
      </c>
      <c r="J907" t="str">
        <f t="shared" si="72"/>
        <v>Second class upper</v>
      </c>
      <c r="K907">
        <v>1.1000000000000001</v>
      </c>
      <c r="L907" t="s">
        <v>22</v>
      </c>
      <c r="M907">
        <v>10</v>
      </c>
      <c r="N907">
        <v>8</v>
      </c>
      <c r="O907">
        <v>1</v>
      </c>
      <c r="P907">
        <v>0</v>
      </c>
      <c r="Q907">
        <f t="shared" si="73"/>
        <v>19</v>
      </c>
      <c r="S907" t="str">
        <f t="shared" si="74"/>
        <v>Mentally Strained</v>
      </c>
    </row>
    <row r="908" spans="1:19" x14ac:dyDescent="0.25">
      <c r="A908">
        <v>19</v>
      </c>
      <c r="B908" t="str">
        <f t="shared" si="70"/>
        <v>Old Teenager</v>
      </c>
      <c r="C908" t="s">
        <v>16</v>
      </c>
      <c r="D908">
        <v>3.8</v>
      </c>
      <c r="E908" t="s">
        <v>20</v>
      </c>
      <c r="F908">
        <v>7.4</v>
      </c>
      <c r="G908">
        <v>2.6</v>
      </c>
      <c r="H908">
        <f t="shared" si="71"/>
        <v>6.4</v>
      </c>
      <c r="I908">
        <v>2.25</v>
      </c>
      <c r="J908" t="str">
        <f t="shared" si="72"/>
        <v>third class</v>
      </c>
      <c r="K908">
        <v>0.5</v>
      </c>
      <c r="L908" t="s">
        <v>18</v>
      </c>
      <c r="M908">
        <v>7</v>
      </c>
      <c r="N908">
        <v>4</v>
      </c>
      <c r="O908">
        <v>8</v>
      </c>
      <c r="P908">
        <v>0</v>
      </c>
      <c r="Q908">
        <f t="shared" si="73"/>
        <v>19</v>
      </c>
      <c r="S908" t="str">
        <f t="shared" si="74"/>
        <v>Mentally Strained</v>
      </c>
    </row>
    <row r="909" spans="1:19" x14ac:dyDescent="0.25">
      <c r="A909">
        <v>17</v>
      </c>
      <c r="B909" t="str">
        <f t="shared" si="70"/>
        <v>Old Teenager</v>
      </c>
      <c r="C909" t="s">
        <v>16</v>
      </c>
      <c r="D909">
        <v>5.2</v>
      </c>
      <c r="E909" t="s">
        <v>17</v>
      </c>
      <c r="F909">
        <v>4.7</v>
      </c>
      <c r="G909">
        <v>2.4</v>
      </c>
      <c r="H909">
        <f t="shared" si="71"/>
        <v>7.6</v>
      </c>
      <c r="I909">
        <v>2.77</v>
      </c>
      <c r="J909" t="str">
        <f t="shared" si="72"/>
        <v>Second class lower</v>
      </c>
      <c r="K909">
        <v>1.3</v>
      </c>
      <c r="L909" t="s">
        <v>21</v>
      </c>
      <c r="M909">
        <v>9</v>
      </c>
      <c r="N909">
        <v>6</v>
      </c>
      <c r="O909">
        <v>9</v>
      </c>
      <c r="P909">
        <v>0</v>
      </c>
      <c r="Q909">
        <f t="shared" si="73"/>
        <v>24</v>
      </c>
      <c r="S909" t="str">
        <f t="shared" si="74"/>
        <v>Mentally Unstable</v>
      </c>
    </row>
    <row r="910" spans="1:19" x14ac:dyDescent="0.25">
      <c r="A910">
        <v>13</v>
      </c>
      <c r="B910" t="str">
        <f t="shared" si="70"/>
        <v>Young Teenager</v>
      </c>
      <c r="C910" t="s">
        <v>16</v>
      </c>
      <c r="D910">
        <v>5</v>
      </c>
      <c r="E910" t="s">
        <v>23</v>
      </c>
      <c r="F910">
        <v>8.6</v>
      </c>
      <c r="G910">
        <v>0.7</v>
      </c>
      <c r="H910">
        <f t="shared" si="71"/>
        <v>5.7</v>
      </c>
      <c r="I910">
        <v>2.99</v>
      </c>
      <c r="J910" t="str">
        <f t="shared" si="72"/>
        <v>Second class lower</v>
      </c>
      <c r="K910">
        <v>1.5</v>
      </c>
      <c r="L910" t="s">
        <v>18</v>
      </c>
      <c r="M910">
        <v>3</v>
      </c>
      <c r="N910">
        <v>8</v>
      </c>
      <c r="O910">
        <v>3</v>
      </c>
      <c r="P910">
        <v>0</v>
      </c>
      <c r="Q910">
        <f t="shared" si="73"/>
        <v>14</v>
      </c>
      <c r="S910" t="str">
        <f t="shared" si="74"/>
        <v>Mentally Strained</v>
      </c>
    </row>
    <row r="911" spans="1:19" x14ac:dyDescent="0.25">
      <c r="A911">
        <v>19</v>
      </c>
      <c r="B911" t="str">
        <f t="shared" si="70"/>
        <v>Old Teenager</v>
      </c>
      <c r="C911" t="s">
        <v>19</v>
      </c>
      <c r="D911">
        <v>7.4</v>
      </c>
      <c r="E911" t="s">
        <v>23</v>
      </c>
      <c r="F911">
        <v>8.3000000000000007</v>
      </c>
      <c r="G911">
        <v>1.4</v>
      </c>
      <c r="H911">
        <f t="shared" si="71"/>
        <v>8.8000000000000007</v>
      </c>
      <c r="I911">
        <v>3.64</v>
      </c>
      <c r="J911" t="str">
        <f t="shared" si="72"/>
        <v>first class</v>
      </c>
      <c r="K911">
        <v>0.4</v>
      </c>
      <c r="L911" t="s">
        <v>18</v>
      </c>
      <c r="M911">
        <v>6</v>
      </c>
      <c r="N911">
        <v>9</v>
      </c>
      <c r="O911">
        <v>6</v>
      </c>
      <c r="P911">
        <v>0</v>
      </c>
      <c r="Q911">
        <f t="shared" si="73"/>
        <v>21</v>
      </c>
      <c r="S911" t="str">
        <f t="shared" si="74"/>
        <v>Mentally Unstable</v>
      </c>
    </row>
    <row r="912" spans="1:19" x14ac:dyDescent="0.25">
      <c r="A912">
        <v>16</v>
      </c>
      <c r="B912" t="str">
        <f t="shared" si="70"/>
        <v>Old Teenager</v>
      </c>
      <c r="C912" t="s">
        <v>16</v>
      </c>
      <c r="D912">
        <v>6.1</v>
      </c>
      <c r="E912" t="s">
        <v>20</v>
      </c>
      <c r="F912">
        <v>6.8</v>
      </c>
      <c r="G912">
        <v>0.8</v>
      </c>
      <c r="H912">
        <f t="shared" si="71"/>
        <v>6.8999999999999995</v>
      </c>
      <c r="I912">
        <v>2.61</v>
      </c>
      <c r="J912" t="str">
        <f t="shared" si="72"/>
        <v>Second class lower</v>
      </c>
      <c r="K912">
        <v>0.9</v>
      </c>
      <c r="L912" t="s">
        <v>18</v>
      </c>
      <c r="M912">
        <v>10</v>
      </c>
      <c r="N912">
        <v>10</v>
      </c>
      <c r="O912">
        <v>4</v>
      </c>
      <c r="P912">
        <v>0</v>
      </c>
      <c r="Q912">
        <f t="shared" si="73"/>
        <v>24</v>
      </c>
      <c r="S912" t="str">
        <f t="shared" si="74"/>
        <v>Mentally Unstable</v>
      </c>
    </row>
    <row r="913" spans="1:19" x14ac:dyDescent="0.25">
      <c r="A913">
        <v>13</v>
      </c>
      <c r="B913" t="str">
        <f t="shared" si="70"/>
        <v>Young Teenager</v>
      </c>
      <c r="C913" t="s">
        <v>19</v>
      </c>
      <c r="D913">
        <v>7.4</v>
      </c>
      <c r="E913" t="s">
        <v>23</v>
      </c>
      <c r="F913">
        <v>6.7</v>
      </c>
      <c r="G913">
        <v>2</v>
      </c>
      <c r="H913">
        <f t="shared" si="71"/>
        <v>9.4</v>
      </c>
      <c r="I913">
        <v>2.42</v>
      </c>
      <c r="J913" t="str">
        <f t="shared" si="72"/>
        <v>third class</v>
      </c>
      <c r="K913">
        <v>1.5</v>
      </c>
      <c r="L913" t="s">
        <v>18</v>
      </c>
      <c r="M913">
        <v>10</v>
      </c>
      <c r="N913">
        <v>1</v>
      </c>
      <c r="O913">
        <v>1</v>
      </c>
      <c r="P913">
        <v>0</v>
      </c>
      <c r="Q913">
        <f t="shared" si="73"/>
        <v>12</v>
      </c>
      <c r="S913" t="str">
        <f t="shared" si="74"/>
        <v>Mentally Strained</v>
      </c>
    </row>
    <row r="914" spans="1:19" x14ac:dyDescent="0.25">
      <c r="A914">
        <v>16</v>
      </c>
      <c r="B914" t="str">
        <f t="shared" si="70"/>
        <v>Old Teenager</v>
      </c>
      <c r="C914" t="s">
        <v>16</v>
      </c>
      <c r="D914">
        <v>3.5</v>
      </c>
      <c r="E914" t="s">
        <v>23</v>
      </c>
      <c r="F914">
        <v>4.4000000000000004</v>
      </c>
      <c r="G914">
        <v>1.5</v>
      </c>
      <c r="H914">
        <f t="shared" si="71"/>
        <v>5</v>
      </c>
      <c r="I914">
        <v>2.7</v>
      </c>
      <c r="J914" t="str">
        <f t="shared" si="72"/>
        <v>Second class lower</v>
      </c>
      <c r="K914">
        <v>0.8</v>
      </c>
      <c r="L914" t="s">
        <v>21</v>
      </c>
      <c r="M914">
        <v>2</v>
      </c>
      <c r="N914">
        <v>10</v>
      </c>
      <c r="O914">
        <v>8</v>
      </c>
      <c r="P914">
        <v>0</v>
      </c>
      <c r="Q914">
        <f t="shared" si="73"/>
        <v>20</v>
      </c>
      <c r="S914" t="str">
        <f t="shared" si="74"/>
        <v>Mentally Unstable</v>
      </c>
    </row>
    <row r="915" spans="1:19" x14ac:dyDescent="0.25">
      <c r="A915">
        <v>14</v>
      </c>
      <c r="B915" t="str">
        <f t="shared" si="70"/>
        <v>Young Teenager</v>
      </c>
      <c r="C915" t="s">
        <v>16</v>
      </c>
      <c r="D915">
        <v>5.0999999999999996</v>
      </c>
      <c r="E915" t="s">
        <v>17</v>
      </c>
      <c r="F915">
        <v>6.3</v>
      </c>
      <c r="G915">
        <v>1.6</v>
      </c>
      <c r="H915">
        <f t="shared" si="71"/>
        <v>6.6999999999999993</v>
      </c>
      <c r="I915">
        <v>2.7</v>
      </c>
      <c r="J915" t="str">
        <f t="shared" si="72"/>
        <v>Second class lower</v>
      </c>
      <c r="K915">
        <v>0.1</v>
      </c>
      <c r="L915" t="s">
        <v>22</v>
      </c>
      <c r="M915">
        <v>7</v>
      </c>
      <c r="N915">
        <v>2</v>
      </c>
      <c r="O915">
        <v>7</v>
      </c>
      <c r="P915">
        <v>0</v>
      </c>
      <c r="Q915">
        <f t="shared" si="73"/>
        <v>16</v>
      </c>
      <c r="S915" t="str">
        <f t="shared" si="74"/>
        <v>Mentally Strained</v>
      </c>
    </row>
    <row r="916" spans="1:19" x14ac:dyDescent="0.25">
      <c r="A916">
        <v>17</v>
      </c>
      <c r="B916" t="str">
        <f t="shared" si="70"/>
        <v>Old Teenager</v>
      </c>
      <c r="C916" t="s">
        <v>16</v>
      </c>
      <c r="D916">
        <v>4.8</v>
      </c>
      <c r="E916" t="s">
        <v>20</v>
      </c>
      <c r="F916">
        <v>6</v>
      </c>
      <c r="G916">
        <v>2.1</v>
      </c>
      <c r="H916">
        <f t="shared" si="71"/>
        <v>6.9</v>
      </c>
      <c r="I916">
        <v>2.39</v>
      </c>
      <c r="J916" t="str">
        <f t="shared" si="72"/>
        <v>third class</v>
      </c>
      <c r="K916">
        <v>1.8</v>
      </c>
      <c r="L916" t="s">
        <v>21</v>
      </c>
      <c r="M916">
        <v>5</v>
      </c>
      <c r="N916">
        <v>8</v>
      </c>
      <c r="O916">
        <v>7</v>
      </c>
      <c r="P916">
        <v>0</v>
      </c>
      <c r="Q916">
        <f t="shared" si="73"/>
        <v>20</v>
      </c>
      <c r="S916" t="str">
        <f t="shared" si="74"/>
        <v>Mentally Unstable</v>
      </c>
    </row>
    <row r="917" spans="1:19" x14ac:dyDescent="0.25">
      <c r="A917">
        <v>14</v>
      </c>
      <c r="B917" t="str">
        <f t="shared" si="70"/>
        <v>Young Teenager</v>
      </c>
      <c r="C917" t="s">
        <v>16</v>
      </c>
      <c r="D917">
        <v>7.5</v>
      </c>
      <c r="E917" t="s">
        <v>23</v>
      </c>
      <c r="F917">
        <v>7.6</v>
      </c>
      <c r="G917">
        <v>2.8</v>
      </c>
      <c r="H917">
        <f t="shared" si="71"/>
        <v>10.3</v>
      </c>
      <c r="I917">
        <v>3.1</v>
      </c>
      <c r="J917" t="str">
        <f t="shared" si="72"/>
        <v>Second class upper</v>
      </c>
      <c r="K917">
        <v>0.7</v>
      </c>
      <c r="L917" t="s">
        <v>22</v>
      </c>
      <c r="M917">
        <v>3</v>
      </c>
      <c r="N917">
        <v>1</v>
      </c>
      <c r="O917">
        <v>2</v>
      </c>
      <c r="P917">
        <v>0</v>
      </c>
      <c r="Q917">
        <f t="shared" si="73"/>
        <v>6</v>
      </c>
      <c r="S917" t="str">
        <f t="shared" si="74"/>
        <v>Mentally Sound</v>
      </c>
    </row>
    <row r="918" spans="1:19" x14ac:dyDescent="0.25">
      <c r="A918">
        <v>19</v>
      </c>
      <c r="B918" t="str">
        <f t="shared" si="70"/>
        <v>Old Teenager</v>
      </c>
      <c r="C918" t="s">
        <v>16</v>
      </c>
      <c r="D918">
        <v>4.7</v>
      </c>
      <c r="E918" t="s">
        <v>23</v>
      </c>
      <c r="F918">
        <v>8.6999999999999993</v>
      </c>
      <c r="G918">
        <v>2</v>
      </c>
      <c r="H918">
        <f t="shared" si="71"/>
        <v>6.7</v>
      </c>
      <c r="I918">
        <v>3.23</v>
      </c>
      <c r="J918" t="str">
        <f t="shared" si="72"/>
        <v>Second class upper</v>
      </c>
      <c r="K918">
        <v>1.7</v>
      </c>
      <c r="L918" t="s">
        <v>18</v>
      </c>
      <c r="M918">
        <v>4</v>
      </c>
      <c r="N918">
        <v>10</v>
      </c>
      <c r="O918">
        <v>3</v>
      </c>
      <c r="P918">
        <v>0</v>
      </c>
      <c r="Q918">
        <f t="shared" si="73"/>
        <v>17</v>
      </c>
      <c r="S918" t="str">
        <f t="shared" si="74"/>
        <v>Mentally Strained</v>
      </c>
    </row>
    <row r="919" spans="1:19" x14ac:dyDescent="0.25">
      <c r="A919">
        <v>19</v>
      </c>
      <c r="B919" t="str">
        <f t="shared" si="70"/>
        <v>Old Teenager</v>
      </c>
      <c r="C919" t="s">
        <v>16</v>
      </c>
      <c r="D919">
        <v>3.3</v>
      </c>
      <c r="E919" t="s">
        <v>20</v>
      </c>
      <c r="F919">
        <v>8.5</v>
      </c>
      <c r="G919">
        <v>1.2</v>
      </c>
      <c r="H919">
        <f t="shared" si="71"/>
        <v>4.5</v>
      </c>
      <c r="I919">
        <v>3.29</v>
      </c>
      <c r="J919" t="str">
        <f t="shared" si="72"/>
        <v>Second class upper</v>
      </c>
      <c r="K919">
        <v>0.5</v>
      </c>
      <c r="L919" t="s">
        <v>22</v>
      </c>
      <c r="M919">
        <v>6</v>
      </c>
      <c r="N919">
        <v>2</v>
      </c>
      <c r="O919">
        <v>9</v>
      </c>
      <c r="P919">
        <v>0</v>
      </c>
      <c r="Q919">
        <f t="shared" si="73"/>
        <v>17</v>
      </c>
      <c r="S919" t="str">
        <f t="shared" si="74"/>
        <v>Mentally Strained</v>
      </c>
    </row>
    <row r="920" spans="1:19" x14ac:dyDescent="0.25">
      <c r="A920">
        <v>16</v>
      </c>
      <c r="B920" t="str">
        <f t="shared" si="70"/>
        <v>Old Teenager</v>
      </c>
      <c r="C920" t="s">
        <v>19</v>
      </c>
      <c r="D920">
        <v>6.9</v>
      </c>
      <c r="E920" t="s">
        <v>17</v>
      </c>
      <c r="F920">
        <v>5.8</v>
      </c>
      <c r="G920">
        <v>0.6</v>
      </c>
      <c r="H920">
        <f t="shared" si="71"/>
        <v>7.5</v>
      </c>
      <c r="I920">
        <v>3.65</v>
      </c>
      <c r="J920" t="str">
        <f t="shared" si="72"/>
        <v>first class</v>
      </c>
      <c r="K920">
        <v>0.5</v>
      </c>
      <c r="L920" t="s">
        <v>21</v>
      </c>
      <c r="M920">
        <v>10</v>
      </c>
      <c r="N920">
        <v>8</v>
      </c>
      <c r="O920">
        <v>10</v>
      </c>
      <c r="P920">
        <v>1</v>
      </c>
      <c r="Q920">
        <f t="shared" si="73"/>
        <v>29</v>
      </c>
      <c r="S920" t="str">
        <f t="shared" si="74"/>
        <v>Mentally Unstable</v>
      </c>
    </row>
    <row r="921" spans="1:19" x14ac:dyDescent="0.25">
      <c r="A921">
        <v>15</v>
      </c>
      <c r="B921" t="str">
        <f t="shared" si="70"/>
        <v>Young Teenager</v>
      </c>
      <c r="C921" t="s">
        <v>16</v>
      </c>
      <c r="D921">
        <v>5.4</v>
      </c>
      <c r="E921" t="s">
        <v>17</v>
      </c>
      <c r="F921">
        <v>4.2</v>
      </c>
      <c r="G921">
        <v>1.5</v>
      </c>
      <c r="H921">
        <f t="shared" si="71"/>
        <v>6.9</v>
      </c>
      <c r="I921">
        <v>2.72</v>
      </c>
      <c r="J921" t="str">
        <f t="shared" si="72"/>
        <v>Second class lower</v>
      </c>
      <c r="K921">
        <v>0.4</v>
      </c>
      <c r="L921" t="s">
        <v>21</v>
      </c>
      <c r="M921">
        <v>1</v>
      </c>
      <c r="N921">
        <v>6</v>
      </c>
      <c r="O921">
        <v>5</v>
      </c>
      <c r="P921">
        <v>0</v>
      </c>
      <c r="Q921">
        <f t="shared" si="73"/>
        <v>12</v>
      </c>
      <c r="S921" t="str">
        <f t="shared" si="74"/>
        <v>Mentally Strained</v>
      </c>
    </row>
    <row r="922" spans="1:19" x14ac:dyDescent="0.25">
      <c r="A922">
        <v>13</v>
      </c>
      <c r="B922" t="str">
        <f t="shared" si="70"/>
        <v>Young Teenager</v>
      </c>
      <c r="C922" t="s">
        <v>19</v>
      </c>
      <c r="D922">
        <v>5.2</v>
      </c>
      <c r="E922" t="s">
        <v>23</v>
      </c>
      <c r="F922">
        <v>7.7</v>
      </c>
      <c r="G922">
        <v>2.7</v>
      </c>
      <c r="H922">
        <f t="shared" si="71"/>
        <v>7.9</v>
      </c>
      <c r="I922">
        <v>2.84</v>
      </c>
      <c r="J922" t="str">
        <f t="shared" si="72"/>
        <v>Second class lower</v>
      </c>
      <c r="K922">
        <v>0.8</v>
      </c>
      <c r="L922" t="s">
        <v>21</v>
      </c>
      <c r="M922">
        <v>2</v>
      </c>
      <c r="N922">
        <v>5</v>
      </c>
      <c r="O922">
        <v>5</v>
      </c>
      <c r="P922">
        <v>0</v>
      </c>
      <c r="Q922">
        <f t="shared" si="73"/>
        <v>12</v>
      </c>
      <c r="S922" t="str">
        <f t="shared" si="74"/>
        <v>Mentally Strained</v>
      </c>
    </row>
    <row r="923" spans="1:19" x14ac:dyDescent="0.25">
      <c r="A923">
        <v>15</v>
      </c>
      <c r="B923" t="str">
        <f t="shared" si="70"/>
        <v>Young Teenager</v>
      </c>
      <c r="C923" t="s">
        <v>19</v>
      </c>
      <c r="D923">
        <v>3.3</v>
      </c>
      <c r="E923" t="s">
        <v>17</v>
      </c>
      <c r="F923">
        <v>6.5</v>
      </c>
      <c r="G923">
        <v>1.3</v>
      </c>
      <c r="H923">
        <f t="shared" si="71"/>
        <v>4.5999999999999996</v>
      </c>
      <c r="I923">
        <v>2.44</v>
      </c>
      <c r="J923" t="str">
        <f t="shared" si="72"/>
        <v>third class</v>
      </c>
      <c r="K923">
        <v>0.3</v>
      </c>
      <c r="L923" t="s">
        <v>22</v>
      </c>
      <c r="M923">
        <v>7</v>
      </c>
      <c r="N923">
        <v>6</v>
      </c>
      <c r="O923">
        <v>7</v>
      </c>
      <c r="P923">
        <v>0</v>
      </c>
      <c r="Q923">
        <f t="shared" si="73"/>
        <v>20</v>
      </c>
      <c r="S923" t="str">
        <f t="shared" si="74"/>
        <v>Mentally Unstable</v>
      </c>
    </row>
    <row r="924" spans="1:19" x14ac:dyDescent="0.25">
      <c r="A924">
        <v>15</v>
      </c>
      <c r="B924" t="str">
        <f t="shared" si="70"/>
        <v>Young Teenager</v>
      </c>
      <c r="C924" t="s">
        <v>19</v>
      </c>
      <c r="D924">
        <v>7.3</v>
      </c>
      <c r="E924" t="s">
        <v>23</v>
      </c>
      <c r="F924">
        <v>7.6</v>
      </c>
      <c r="G924">
        <v>1.9</v>
      </c>
      <c r="H924">
        <f t="shared" si="71"/>
        <v>9.1999999999999993</v>
      </c>
      <c r="I924">
        <v>2.31</v>
      </c>
      <c r="J924" t="str">
        <f t="shared" si="72"/>
        <v>third class</v>
      </c>
      <c r="K924">
        <v>0.8</v>
      </c>
      <c r="L924" t="s">
        <v>22</v>
      </c>
      <c r="M924">
        <v>8</v>
      </c>
      <c r="N924">
        <v>7</v>
      </c>
      <c r="O924">
        <v>5</v>
      </c>
      <c r="P924">
        <v>0</v>
      </c>
      <c r="Q924">
        <f t="shared" si="73"/>
        <v>20</v>
      </c>
      <c r="S924" t="str">
        <f t="shared" si="74"/>
        <v>Mentally Unstable</v>
      </c>
    </row>
    <row r="925" spans="1:19" x14ac:dyDescent="0.25">
      <c r="A925">
        <v>17</v>
      </c>
      <c r="B925" t="str">
        <f t="shared" si="70"/>
        <v>Old Teenager</v>
      </c>
      <c r="C925" t="s">
        <v>16</v>
      </c>
      <c r="D925">
        <v>7.6</v>
      </c>
      <c r="E925" t="s">
        <v>23</v>
      </c>
      <c r="F925">
        <v>4.9000000000000004</v>
      </c>
      <c r="G925">
        <v>0.6</v>
      </c>
      <c r="H925">
        <f t="shared" si="71"/>
        <v>8.1999999999999993</v>
      </c>
      <c r="I925">
        <v>2.56</v>
      </c>
      <c r="J925" t="str">
        <f t="shared" si="72"/>
        <v>Second class lower</v>
      </c>
      <c r="K925">
        <v>0.8</v>
      </c>
      <c r="L925" t="s">
        <v>18</v>
      </c>
      <c r="M925">
        <v>4</v>
      </c>
      <c r="N925">
        <v>1</v>
      </c>
      <c r="O925">
        <v>9</v>
      </c>
      <c r="P925">
        <v>0</v>
      </c>
      <c r="Q925">
        <f t="shared" si="73"/>
        <v>14</v>
      </c>
      <c r="S925" t="str">
        <f t="shared" si="74"/>
        <v>Mentally Strained</v>
      </c>
    </row>
    <row r="926" spans="1:19" x14ac:dyDescent="0.25">
      <c r="A926">
        <v>17</v>
      </c>
      <c r="B926" t="str">
        <f t="shared" si="70"/>
        <v>Old Teenager</v>
      </c>
      <c r="C926" t="s">
        <v>16</v>
      </c>
      <c r="D926">
        <v>1.7</v>
      </c>
      <c r="E926" t="s">
        <v>23</v>
      </c>
      <c r="F926">
        <v>7</v>
      </c>
      <c r="G926">
        <v>0.8</v>
      </c>
      <c r="H926">
        <f t="shared" si="71"/>
        <v>2.5</v>
      </c>
      <c r="I926">
        <v>3.39</v>
      </c>
      <c r="J926" t="str">
        <f t="shared" si="72"/>
        <v>Second class upper</v>
      </c>
      <c r="K926">
        <v>0.9</v>
      </c>
      <c r="L926" t="s">
        <v>21</v>
      </c>
      <c r="M926">
        <v>7</v>
      </c>
      <c r="N926">
        <v>7</v>
      </c>
      <c r="O926">
        <v>10</v>
      </c>
      <c r="P926">
        <v>0</v>
      </c>
      <c r="Q926">
        <f t="shared" si="73"/>
        <v>24</v>
      </c>
      <c r="S926" t="str">
        <f t="shared" si="74"/>
        <v>Mentally Unstable</v>
      </c>
    </row>
    <row r="927" spans="1:19" x14ac:dyDescent="0.25">
      <c r="A927">
        <v>18</v>
      </c>
      <c r="B927" t="str">
        <f t="shared" si="70"/>
        <v>Old Teenager</v>
      </c>
      <c r="C927" t="s">
        <v>16</v>
      </c>
      <c r="D927">
        <v>1.5</v>
      </c>
      <c r="E927" t="s">
        <v>23</v>
      </c>
      <c r="F927">
        <v>5.6</v>
      </c>
      <c r="G927">
        <v>2.9</v>
      </c>
      <c r="H927">
        <f t="shared" si="71"/>
        <v>4.4000000000000004</v>
      </c>
      <c r="I927">
        <v>2.57</v>
      </c>
      <c r="J927" t="str">
        <f t="shared" si="72"/>
        <v>Second class lower</v>
      </c>
      <c r="K927">
        <v>0.6</v>
      </c>
      <c r="L927" t="s">
        <v>21</v>
      </c>
      <c r="M927">
        <v>5</v>
      </c>
      <c r="N927">
        <v>8</v>
      </c>
      <c r="O927">
        <v>4</v>
      </c>
      <c r="P927">
        <v>0</v>
      </c>
      <c r="Q927">
        <f t="shared" si="73"/>
        <v>17</v>
      </c>
      <c r="S927" t="str">
        <f t="shared" si="74"/>
        <v>Mentally Strained</v>
      </c>
    </row>
    <row r="928" spans="1:19" x14ac:dyDescent="0.25">
      <c r="A928">
        <v>17</v>
      </c>
      <c r="B928" t="str">
        <f t="shared" si="70"/>
        <v>Old Teenager</v>
      </c>
      <c r="C928" t="s">
        <v>16</v>
      </c>
      <c r="D928">
        <v>7.3</v>
      </c>
      <c r="E928" t="s">
        <v>23</v>
      </c>
      <c r="F928">
        <v>8.5</v>
      </c>
      <c r="G928">
        <v>1.5</v>
      </c>
      <c r="H928">
        <f t="shared" si="71"/>
        <v>8.8000000000000007</v>
      </c>
      <c r="I928">
        <v>3.54</v>
      </c>
      <c r="J928" t="str">
        <f t="shared" si="72"/>
        <v>Second class upper</v>
      </c>
      <c r="K928">
        <v>1.2</v>
      </c>
      <c r="L928" t="s">
        <v>18</v>
      </c>
      <c r="M928">
        <v>3</v>
      </c>
      <c r="N928">
        <v>3</v>
      </c>
      <c r="O928">
        <v>7</v>
      </c>
      <c r="P928">
        <v>0</v>
      </c>
      <c r="Q928">
        <f t="shared" si="73"/>
        <v>13</v>
      </c>
      <c r="S928" t="str">
        <f t="shared" si="74"/>
        <v>Mentally Strained</v>
      </c>
    </row>
    <row r="929" spans="1:19" x14ac:dyDescent="0.25">
      <c r="A929">
        <v>14</v>
      </c>
      <c r="B929" t="str">
        <f t="shared" si="70"/>
        <v>Young Teenager</v>
      </c>
      <c r="C929" t="s">
        <v>16</v>
      </c>
      <c r="D929">
        <v>2.8</v>
      </c>
      <c r="E929" t="s">
        <v>23</v>
      </c>
      <c r="F929">
        <v>6.2</v>
      </c>
      <c r="G929">
        <v>1.2</v>
      </c>
      <c r="H929">
        <f t="shared" si="71"/>
        <v>4</v>
      </c>
      <c r="I929">
        <v>3.21</v>
      </c>
      <c r="J929" t="str">
        <f t="shared" si="72"/>
        <v>Second class upper</v>
      </c>
      <c r="K929">
        <v>1</v>
      </c>
      <c r="L929" t="s">
        <v>18</v>
      </c>
      <c r="M929">
        <v>3</v>
      </c>
      <c r="N929">
        <v>10</v>
      </c>
      <c r="O929">
        <v>6</v>
      </c>
      <c r="P929">
        <v>0</v>
      </c>
      <c r="Q929">
        <f t="shared" si="73"/>
        <v>19</v>
      </c>
      <c r="S929" t="str">
        <f t="shared" si="74"/>
        <v>Mentally Strained</v>
      </c>
    </row>
    <row r="930" spans="1:19" x14ac:dyDescent="0.25">
      <c r="A930">
        <v>15</v>
      </c>
      <c r="B930" t="str">
        <f t="shared" si="70"/>
        <v>Young Teenager</v>
      </c>
      <c r="C930" t="s">
        <v>16</v>
      </c>
      <c r="D930">
        <v>1.2</v>
      </c>
      <c r="E930" t="s">
        <v>23</v>
      </c>
      <c r="F930">
        <v>7.4</v>
      </c>
      <c r="G930">
        <v>2.7</v>
      </c>
      <c r="H930">
        <f t="shared" si="71"/>
        <v>3.9000000000000004</v>
      </c>
      <c r="I930">
        <v>2.92</v>
      </c>
      <c r="J930" t="str">
        <f t="shared" si="72"/>
        <v>Second class lower</v>
      </c>
      <c r="K930">
        <v>1.4</v>
      </c>
      <c r="L930" t="s">
        <v>18</v>
      </c>
      <c r="M930">
        <v>3</v>
      </c>
      <c r="N930">
        <v>7</v>
      </c>
      <c r="O930">
        <v>4</v>
      </c>
      <c r="P930">
        <v>0</v>
      </c>
      <c r="Q930">
        <f t="shared" si="73"/>
        <v>14</v>
      </c>
      <c r="S930" t="str">
        <f t="shared" si="74"/>
        <v>Mentally Strained</v>
      </c>
    </row>
    <row r="931" spans="1:19" x14ac:dyDescent="0.25">
      <c r="A931">
        <v>16</v>
      </c>
      <c r="B931" t="str">
        <f t="shared" si="70"/>
        <v>Old Teenager</v>
      </c>
      <c r="C931" t="s">
        <v>19</v>
      </c>
      <c r="D931">
        <v>2.5</v>
      </c>
      <c r="E931" t="s">
        <v>20</v>
      </c>
      <c r="F931">
        <v>8.9</v>
      </c>
      <c r="G931">
        <v>1.2</v>
      </c>
      <c r="H931">
        <f t="shared" si="71"/>
        <v>3.7</v>
      </c>
      <c r="I931">
        <v>3.33</v>
      </c>
      <c r="J931" t="str">
        <f t="shared" si="72"/>
        <v>Second class upper</v>
      </c>
      <c r="K931">
        <v>1.5</v>
      </c>
      <c r="L931" t="s">
        <v>21</v>
      </c>
      <c r="M931">
        <v>4</v>
      </c>
      <c r="N931">
        <v>4</v>
      </c>
      <c r="O931">
        <v>10</v>
      </c>
      <c r="P931">
        <v>0</v>
      </c>
      <c r="Q931">
        <f t="shared" si="73"/>
        <v>18</v>
      </c>
      <c r="S931" t="str">
        <f t="shared" si="74"/>
        <v>Mentally Strained</v>
      </c>
    </row>
    <row r="932" spans="1:19" x14ac:dyDescent="0.25">
      <c r="A932">
        <v>17</v>
      </c>
      <c r="B932" t="str">
        <f t="shared" si="70"/>
        <v>Old Teenager</v>
      </c>
      <c r="C932" t="s">
        <v>16</v>
      </c>
      <c r="D932">
        <v>4.8</v>
      </c>
      <c r="E932" t="s">
        <v>20</v>
      </c>
      <c r="F932">
        <v>5.6</v>
      </c>
      <c r="G932">
        <v>1.6</v>
      </c>
      <c r="H932">
        <f t="shared" si="71"/>
        <v>6.4</v>
      </c>
      <c r="I932">
        <v>2</v>
      </c>
      <c r="J932" t="str">
        <f t="shared" si="72"/>
        <v>third class</v>
      </c>
      <c r="K932">
        <v>1.3</v>
      </c>
      <c r="L932" t="s">
        <v>18</v>
      </c>
      <c r="M932">
        <v>3</v>
      </c>
      <c r="N932">
        <v>8</v>
      </c>
      <c r="O932">
        <v>4</v>
      </c>
      <c r="P932">
        <v>0</v>
      </c>
      <c r="Q932">
        <f t="shared" si="73"/>
        <v>15</v>
      </c>
      <c r="S932" t="str">
        <f t="shared" si="74"/>
        <v>Mentally Strained</v>
      </c>
    </row>
    <row r="933" spans="1:19" x14ac:dyDescent="0.25">
      <c r="A933">
        <v>18</v>
      </c>
      <c r="B933" t="str">
        <f t="shared" si="70"/>
        <v>Old Teenager</v>
      </c>
      <c r="C933" t="s">
        <v>19</v>
      </c>
      <c r="D933">
        <v>6.4</v>
      </c>
      <c r="E933" t="s">
        <v>23</v>
      </c>
      <c r="F933">
        <v>4.2</v>
      </c>
      <c r="G933">
        <v>1.1000000000000001</v>
      </c>
      <c r="H933">
        <f t="shared" si="71"/>
        <v>7.5</v>
      </c>
      <c r="I933">
        <v>2.68</v>
      </c>
      <c r="J933" t="str">
        <f t="shared" si="72"/>
        <v>Second class lower</v>
      </c>
      <c r="K933">
        <v>0.3</v>
      </c>
      <c r="L933" t="s">
        <v>21</v>
      </c>
      <c r="M933">
        <v>10</v>
      </c>
      <c r="N933">
        <v>9</v>
      </c>
      <c r="O933">
        <v>4</v>
      </c>
      <c r="P933">
        <v>1</v>
      </c>
      <c r="Q933">
        <f t="shared" si="73"/>
        <v>24</v>
      </c>
      <c r="S933" t="str">
        <f t="shared" si="74"/>
        <v>Mentally Unstable</v>
      </c>
    </row>
    <row r="934" spans="1:19" x14ac:dyDescent="0.25">
      <c r="A934">
        <v>16</v>
      </c>
      <c r="B934" t="str">
        <f t="shared" si="70"/>
        <v>Old Teenager</v>
      </c>
      <c r="C934" t="s">
        <v>19</v>
      </c>
      <c r="D934">
        <v>6.6</v>
      </c>
      <c r="E934" t="s">
        <v>17</v>
      </c>
      <c r="F934">
        <v>6.1</v>
      </c>
      <c r="G934">
        <v>1.7</v>
      </c>
      <c r="H934">
        <f t="shared" si="71"/>
        <v>8.2999999999999989</v>
      </c>
      <c r="I934">
        <v>2.67</v>
      </c>
      <c r="J934" t="str">
        <f t="shared" si="72"/>
        <v>Second class lower</v>
      </c>
      <c r="K934">
        <v>1.8</v>
      </c>
      <c r="L934" t="s">
        <v>18</v>
      </c>
      <c r="M934">
        <v>10</v>
      </c>
      <c r="N934">
        <v>8</v>
      </c>
      <c r="O934">
        <v>2</v>
      </c>
      <c r="P934">
        <v>0</v>
      </c>
      <c r="Q934">
        <f t="shared" si="73"/>
        <v>20</v>
      </c>
      <c r="S934" t="str">
        <f t="shared" si="74"/>
        <v>Mentally Unstable</v>
      </c>
    </row>
    <row r="935" spans="1:19" x14ac:dyDescent="0.25">
      <c r="A935">
        <v>14</v>
      </c>
      <c r="B935" t="str">
        <f t="shared" si="70"/>
        <v>Young Teenager</v>
      </c>
      <c r="C935" t="s">
        <v>19</v>
      </c>
      <c r="D935">
        <v>3.5</v>
      </c>
      <c r="E935" t="s">
        <v>23</v>
      </c>
      <c r="F935">
        <v>5.7</v>
      </c>
      <c r="G935">
        <v>2.4</v>
      </c>
      <c r="H935">
        <f t="shared" si="71"/>
        <v>5.9</v>
      </c>
      <c r="I935">
        <v>3.46</v>
      </c>
      <c r="J935" t="str">
        <f t="shared" si="72"/>
        <v>Second class upper</v>
      </c>
      <c r="K935">
        <v>0.9</v>
      </c>
      <c r="L935" t="s">
        <v>18</v>
      </c>
      <c r="M935">
        <v>8</v>
      </c>
      <c r="N935">
        <v>4</v>
      </c>
      <c r="O935">
        <v>10</v>
      </c>
      <c r="P935">
        <v>0</v>
      </c>
      <c r="Q935">
        <f t="shared" si="73"/>
        <v>22</v>
      </c>
      <c r="S935" t="str">
        <f t="shared" si="74"/>
        <v>Mentally Unstable</v>
      </c>
    </row>
    <row r="936" spans="1:19" x14ac:dyDescent="0.25">
      <c r="A936">
        <v>14</v>
      </c>
      <c r="B936" t="str">
        <f t="shared" si="70"/>
        <v>Young Teenager</v>
      </c>
      <c r="C936" t="s">
        <v>19</v>
      </c>
      <c r="D936">
        <v>2.4</v>
      </c>
      <c r="E936" t="s">
        <v>20</v>
      </c>
      <c r="F936">
        <v>6.3</v>
      </c>
      <c r="G936">
        <v>2.8</v>
      </c>
      <c r="H936">
        <f t="shared" si="71"/>
        <v>5.1999999999999993</v>
      </c>
      <c r="I936">
        <v>2.41</v>
      </c>
      <c r="J936" t="str">
        <f t="shared" si="72"/>
        <v>third class</v>
      </c>
      <c r="K936">
        <v>0.7</v>
      </c>
      <c r="L936" t="s">
        <v>18</v>
      </c>
      <c r="M936">
        <v>9</v>
      </c>
      <c r="N936">
        <v>5</v>
      </c>
      <c r="O936">
        <v>2</v>
      </c>
      <c r="P936">
        <v>0</v>
      </c>
      <c r="Q936">
        <f t="shared" si="73"/>
        <v>16</v>
      </c>
      <c r="S936" t="str">
        <f t="shared" si="74"/>
        <v>Mentally Strained</v>
      </c>
    </row>
    <row r="937" spans="1:19" x14ac:dyDescent="0.25">
      <c r="A937">
        <v>13</v>
      </c>
      <c r="B937" t="str">
        <f t="shared" si="70"/>
        <v>Young Teenager</v>
      </c>
      <c r="C937" t="s">
        <v>16</v>
      </c>
      <c r="D937">
        <v>5.9</v>
      </c>
      <c r="E937" t="s">
        <v>17</v>
      </c>
      <c r="F937">
        <v>4.3</v>
      </c>
      <c r="G937">
        <v>0.8</v>
      </c>
      <c r="H937">
        <f t="shared" si="71"/>
        <v>6.7</v>
      </c>
      <c r="I937">
        <v>3.41</v>
      </c>
      <c r="J937" t="str">
        <f t="shared" si="72"/>
        <v>Second class upper</v>
      </c>
      <c r="K937">
        <v>1.1000000000000001</v>
      </c>
      <c r="L937" t="s">
        <v>22</v>
      </c>
      <c r="M937">
        <v>4</v>
      </c>
      <c r="N937">
        <v>3</v>
      </c>
      <c r="O937">
        <v>2</v>
      </c>
      <c r="P937">
        <v>0</v>
      </c>
      <c r="Q937">
        <f t="shared" si="73"/>
        <v>9</v>
      </c>
      <c r="S937" t="str">
        <f t="shared" si="74"/>
        <v>Mentally Sound</v>
      </c>
    </row>
    <row r="938" spans="1:19" x14ac:dyDescent="0.25">
      <c r="A938">
        <v>19</v>
      </c>
      <c r="B938" t="str">
        <f t="shared" si="70"/>
        <v>Old Teenager</v>
      </c>
      <c r="C938" t="s">
        <v>19</v>
      </c>
      <c r="D938">
        <v>7.4</v>
      </c>
      <c r="E938" t="s">
        <v>17</v>
      </c>
      <c r="F938">
        <v>5</v>
      </c>
      <c r="G938">
        <v>2</v>
      </c>
      <c r="H938">
        <f t="shared" si="71"/>
        <v>9.4</v>
      </c>
      <c r="I938">
        <v>2.68</v>
      </c>
      <c r="J938" t="str">
        <f t="shared" si="72"/>
        <v>Second class lower</v>
      </c>
      <c r="K938">
        <v>1.2</v>
      </c>
      <c r="L938" t="s">
        <v>18</v>
      </c>
      <c r="M938">
        <v>1</v>
      </c>
      <c r="N938">
        <v>6</v>
      </c>
      <c r="O938">
        <v>8</v>
      </c>
      <c r="P938">
        <v>0</v>
      </c>
      <c r="Q938">
        <f t="shared" si="73"/>
        <v>15</v>
      </c>
      <c r="S938" t="str">
        <f t="shared" si="74"/>
        <v>Mentally Strained</v>
      </c>
    </row>
    <row r="939" spans="1:19" x14ac:dyDescent="0.25">
      <c r="A939">
        <v>15</v>
      </c>
      <c r="B939" t="str">
        <f t="shared" si="70"/>
        <v>Young Teenager</v>
      </c>
      <c r="C939" t="s">
        <v>19</v>
      </c>
      <c r="D939">
        <v>4.5999999999999996</v>
      </c>
      <c r="E939" t="s">
        <v>20</v>
      </c>
      <c r="F939">
        <v>5.3</v>
      </c>
      <c r="G939">
        <v>3</v>
      </c>
      <c r="H939">
        <f t="shared" si="71"/>
        <v>7.6</v>
      </c>
      <c r="I939">
        <v>3.25</v>
      </c>
      <c r="J939" t="str">
        <f t="shared" si="72"/>
        <v>Second class upper</v>
      </c>
      <c r="K939">
        <v>0.2</v>
      </c>
      <c r="L939" t="s">
        <v>18</v>
      </c>
      <c r="M939">
        <v>1</v>
      </c>
      <c r="N939">
        <v>8</v>
      </c>
      <c r="O939">
        <v>7</v>
      </c>
      <c r="P939">
        <v>0</v>
      </c>
      <c r="Q939">
        <f t="shared" si="73"/>
        <v>16</v>
      </c>
      <c r="S939" t="str">
        <f t="shared" si="74"/>
        <v>Mentally Strained</v>
      </c>
    </row>
    <row r="940" spans="1:19" x14ac:dyDescent="0.25">
      <c r="A940">
        <v>17</v>
      </c>
      <c r="B940" t="str">
        <f t="shared" si="70"/>
        <v>Old Teenager</v>
      </c>
      <c r="C940" t="s">
        <v>16</v>
      </c>
      <c r="D940">
        <v>7.3</v>
      </c>
      <c r="E940" t="s">
        <v>17</v>
      </c>
      <c r="F940">
        <v>5.8</v>
      </c>
      <c r="G940">
        <v>2.9</v>
      </c>
      <c r="H940">
        <f t="shared" si="71"/>
        <v>10.199999999999999</v>
      </c>
      <c r="I940">
        <v>3.93</v>
      </c>
      <c r="J940" t="str">
        <f t="shared" si="72"/>
        <v>first class</v>
      </c>
      <c r="K940">
        <v>0.9</v>
      </c>
      <c r="L940" t="s">
        <v>22</v>
      </c>
      <c r="M940">
        <v>6</v>
      </c>
      <c r="N940">
        <v>2</v>
      </c>
      <c r="O940">
        <v>9</v>
      </c>
      <c r="P940">
        <v>0</v>
      </c>
      <c r="Q940">
        <f t="shared" si="73"/>
        <v>17</v>
      </c>
      <c r="S940" t="str">
        <f t="shared" si="74"/>
        <v>Mentally Strained</v>
      </c>
    </row>
    <row r="941" spans="1:19" x14ac:dyDescent="0.25">
      <c r="A941">
        <v>17</v>
      </c>
      <c r="B941" t="str">
        <f t="shared" si="70"/>
        <v>Old Teenager</v>
      </c>
      <c r="C941" t="s">
        <v>19</v>
      </c>
      <c r="D941">
        <v>2.9</v>
      </c>
      <c r="E941" t="s">
        <v>20</v>
      </c>
      <c r="F941">
        <v>4.5</v>
      </c>
      <c r="G941">
        <v>0.9</v>
      </c>
      <c r="H941">
        <f t="shared" si="71"/>
        <v>3.8</v>
      </c>
      <c r="I941">
        <v>3.71</v>
      </c>
      <c r="J941" t="str">
        <f t="shared" si="72"/>
        <v>first class</v>
      </c>
      <c r="K941">
        <v>0.1</v>
      </c>
      <c r="L941" t="s">
        <v>18</v>
      </c>
      <c r="M941">
        <v>1</v>
      </c>
      <c r="N941">
        <v>6</v>
      </c>
      <c r="O941">
        <v>4</v>
      </c>
      <c r="P941">
        <v>0</v>
      </c>
      <c r="Q941">
        <f t="shared" si="73"/>
        <v>11</v>
      </c>
      <c r="S941" t="str">
        <f t="shared" si="74"/>
        <v>Mentally Strained</v>
      </c>
    </row>
    <row r="942" spans="1:19" x14ac:dyDescent="0.25">
      <c r="A942">
        <v>19</v>
      </c>
      <c r="B942" t="str">
        <f t="shared" si="70"/>
        <v>Old Teenager</v>
      </c>
      <c r="C942" t="s">
        <v>16</v>
      </c>
      <c r="D942">
        <v>5.3</v>
      </c>
      <c r="E942" t="s">
        <v>20</v>
      </c>
      <c r="F942">
        <v>8.4</v>
      </c>
      <c r="G942">
        <v>0.6</v>
      </c>
      <c r="H942">
        <f t="shared" si="71"/>
        <v>5.8999999999999995</v>
      </c>
      <c r="I942">
        <v>3.08</v>
      </c>
      <c r="J942" t="str">
        <f t="shared" si="72"/>
        <v>Second class upper</v>
      </c>
      <c r="K942">
        <v>0.4</v>
      </c>
      <c r="L942" t="s">
        <v>22</v>
      </c>
      <c r="M942">
        <v>9</v>
      </c>
      <c r="N942">
        <v>4</v>
      </c>
      <c r="O942">
        <v>6</v>
      </c>
      <c r="P942">
        <v>0</v>
      </c>
      <c r="Q942">
        <f t="shared" si="73"/>
        <v>19</v>
      </c>
      <c r="S942" t="str">
        <f t="shared" si="74"/>
        <v>Mentally Strained</v>
      </c>
    </row>
    <row r="943" spans="1:19" x14ac:dyDescent="0.25">
      <c r="A943">
        <v>17</v>
      </c>
      <c r="B943" t="str">
        <f t="shared" si="70"/>
        <v>Old Teenager</v>
      </c>
      <c r="C943" t="s">
        <v>19</v>
      </c>
      <c r="D943">
        <v>7.2</v>
      </c>
      <c r="E943" t="s">
        <v>20</v>
      </c>
      <c r="F943">
        <v>8.1999999999999993</v>
      </c>
      <c r="G943">
        <v>2.9</v>
      </c>
      <c r="H943">
        <f t="shared" si="71"/>
        <v>10.1</v>
      </c>
      <c r="I943">
        <v>3.69</v>
      </c>
      <c r="J943" t="str">
        <f t="shared" si="72"/>
        <v>first class</v>
      </c>
      <c r="K943">
        <v>1</v>
      </c>
      <c r="L943" t="s">
        <v>21</v>
      </c>
      <c r="M943">
        <v>6</v>
      </c>
      <c r="N943">
        <v>2</v>
      </c>
      <c r="O943">
        <v>5</v>
      </c>
      <c r="P943">
        <v>0</v>
      </c>
      <c r="Q943">
        <f t="shared" si="73"/>
        <v>13</v>
      </c>
      <c r="S943" t="str">
        <f t="shared" si="74"/>
        <v>Mentally Strained</v>
      </c>
    </row>
    <row r="944" spans="1:19" x14ac:dyDescent="0.25">
      <c r="A944">
        <v>15</v>
      </c>
      <c r="B944" t="str">
        <f t="shared" si="70"/>
        <v>Young Teenager</v>
      </c>
      <c r="C944" t="s">
        <v>19</v>
      </c>
      <c r="D944">
        <v>2.6</v>
      </c>
      <c r="E944" t="s">
        <v>23</v>
      </c>
      <c r="F944">
        <v>7.9</v>
      </c>
      <c r="G944">
        <v>1.8</v>
      </c>
      <c r="H944">
        <f t="shared" si="71"/>
        <v>4.4000000000000004</v>
      </c>
      <c r="I944">
        <v>3.91</v>
      </c>
      <c r="J944" t="str">
        <f t="shared" si="72"/>
        <v>first class</v>
      </c>
      <c r="K944">
        <v>0.5</v>
      </c>
      <c r="L944" t="s">
        <v>22</v>
      </c>
      <c r="M944">
        <v>4</v>
      </c>
      <c r="N944">
        <v>5</v>
      </c>
      <c r="O944">
        <v>6</v>
      </c>
      <c r="P944">
        <v>0</v>
      </c>
      <c r="Q944">
        <f t="shared" si="73"/>
        <v>15</v>
      </c>
      <c r="S944" t="str">
        <f t="shared" si="74"/>
        <v>Mentally Strained</v>
      </c>
    </row>
    <row r="945" spans="1:19" x14ac:dyDescent="0.25">
      <c r="A945">
        <v>15</v>
      </c>
      <c r="B945" t="str">
        <f t="shared" si="70"/>
        <v>Young Teenager</v>
      </c>
      <c r="C945" t="s">
        <v>16</v>
      </c>
      <c r="D945">
        <v>3.6</v>
      </c>
      <c r="E945" t="s">
        <v>17</v>
      </c>
      <c r="F945">
        <v>4.8</v>
      </c>
      <c r="G945">
        <v>1</v>
      </c>
      <c r="H945">
        <f t="shared" si="71"/>
        <v>4.5999999999999996</v>
      </c>
      <c r="I945">
        <v>3.71</v>
      </c>
      <c r="J945" t="str">
        <f t="shared" si="72"/>
        <v>first class</v>
      </c>
      <c r="K945">
        <v>1.1000000000000001</v>
      </c>
      <c r="L945" t="s">
        <v>22</v>
      </c>
      <c r="M945">
        <v>5</v>
      </c>
      <c r="N945">
        <v>7</v>
      </c>
      <c r="O945">
        <v>4</v>
      </c>
      <c r="P945">
        <v>0</v>
      </c>
      <c r="Q945">
        <f t="shared" si="73"/>
        <v>16</v>
      </c>
      <c r="S945" t="str">
        <f t="shared" si="74"/>
        <v>Mentally Strained</v>
      </c>
    </row>
    <row r="946" spans="1:19" x14ac:dyDescent="0.25">
      <c r="A946">
        <v>19</v>
      </c>
      <c r="B946" t="str">
        <f t="shared" si="70"/>
        <v>Old Teenager</v>
      </c>
      <c r="C946" t="s">
        <v>16</v>
      </c>
      <c r="D946">
        <v>3.6</v>
      </c>
      <c r="E946" t="s">
        <v>17</v>
      </c>
      <c r="F946">
        <v>6.5</v>
      </c>
      <c r="G946">
        <v>1.1000000000000001</v>
      </c>
      <c r="H946">
        <f t="shared" si="71"/>
        <v>4.7</v>
      </c>
      <c r="I946">
        <v>3.65</v>
      </c>
      <c r="J946" t="str">
        <f t="shared" si="72"/>
        <v>first class</v>
      </c>
      <c r="K946">
        <v>1.1000000000000001</v>
      </c>
      <c r="L946" t="s">
        <v>18</v>
      </c>
      <c r="M946">
        <v>5</v>
      </c>
      <c r="N946">
        <v>9</v>
      </c>
      <c r="O946">
        <v>10</v>
      </c>
      <c r="P946">
        <v>0</v>
      </c>
      <c r="Q946">
        <f t="shared" si="73"/>
        <v>24</v>
      </c>
      <c r="S946" t="str">
        <f t="shared" si="74"/>
        <v>Mentally Unstable</v>
      </c>
    </row>
    <row r="947" spans="1:19" x14ac:dyDescent="0.25">
      <c r="A947">
        <v>15</v>
      </c>
      <c r="B947" t="str">
        <f t="shared" si="70"/>
        <v>Young Teenager</v>
      </c>
      <c r="C947" t="s">
        <v>19</v>
      </c>
      <c r="D947">
        <v>1.8</v>
      </c>
      <c r="E947" t="s">
        <v>17</v>
      </c>
      <c r="F947">
        <v>5.5</v>
      </c>
      <c r="G947">
        <v>1.6</v>
      </c>
      <c r="H947">
        <f t="shared" si="71"/>
        <v>3.4000000000000004</v>
      </c>
      <c r="I947">
        <v>3.29</v>
      </c>
      <c r="J947" t="str">
        <f t="shared" si="72"/>
        <v>Second class upper</v>
      </c>
      <c r="K947">
        <v>1.3</v>
      </c>
      <c r="L947" t="s">
        <v>22</v>
      </c>
      <c r="M947">
        <v>6</v>
      </c>
      <c r="N947">
        <v>5</v>
      </c>
      <c r="O947">
        <v>9</v>
      </c>
      <c r="P947">
        <v>0</v>
      </c>
      <c r="Q947">
        <f t="shared" si="73"/>
        <v>20</v>
      </c>
      <c r="S947" t="str">
        <f t="shared" si="74"/>
        <v>Mentally Unstable</v>
      </c>
    </row>
    <row r="948" spans="1:19" x14ac:dyDescent="0.25">
      <c r="A948">
        <v>14</v>
      </c>
      <c r="B948" t="str">
        <f t="shared" si="70"/>
        <v>Young Teenager</v>
      </c>
      <c r="C948" t="s">
        <v>19</v>
      </c>
      <c r="D948">
        <v>1.8</v>
      </c>
      <c r="E948" t="s">
        <v>17</v>
      </c>
      <c r="F948">
        <v>7.6</v>
      </c>
      <c r="G948">
        <v>1.2</v>
      </c>
      <c r="H948">
        <f t="shared" si="71"/>
        <v>3</v>
      </c>
      <c r="I948">
        <v>2.84</v>
      </c>
      <c r="J948" t="str">
        <f t="shared" si="72"/>
        <v>Second class lower</v>
      </c>
      <c r="K948">
        <v>1.1000000000000001</v>
      </c>
      <c r="L948" t="s">
        <v>21</v>
      </c>
      <c r="M948">
        <v>10</v>
      </c>
      <c r="N948">
        <v>1</v>
      </c>
      <c r="O948">
        <v>3</v>
      </c>
      <c r="P948">
        <v>0</v>
      </c>
      <c r="Q948">
        <f t="shared" si="73"/>
        <v>14</v>
      </c>
      <c r="S948" t="str">
        <f t="shared" si="74"/>
        <v>Mentally Strained</v>
      </c>
    </row>
    <row r="949" spans="1:19" x14ac:dyDescent="0.25">
      <c r="A949">
        <v>15</v>
      </c>
      <c r="B949" t="str">
        <f t="shared" si="70"/>
        <v>Young Teenager</v>
      </c>
      <c r="C949" t="s">
        <v>19</v>
      </c>
      <c r="D949">
        <v>7.4</v>
      </c>
      <c r="E949" t="s">
        <v>23</v>
      </c>
      <c r="F949">
        <v>8.4</v>
      </c>
      <c r="G949">
        <v>1.9</v>
      </c>
      <c r="H949">
        <f t="shared" si="71"/>
        <v>9.3000000000000007</v>
      </c>
      <c r="I949">
        <v>3.73</v>
      </c>
      <c r="J949" t="str">
        <f t="shared" si="72"/>
        <v>first class</v>
      </c>
      <c r="K949">
        <v>0.8</v>
      </c>
      <c r="L949" t="s">
        <v>21</v>
      </c>
      <c r="M949">
        <v>9</v>
      </c>
      <c r="N949">
        <v>9</v>
      </c>
      <c r="O949">
        <v>4</v>
      </c>
      <c r="P949">
        <v>0</v>
      </c>
      <c r="Q949">
        <f t="shared" si="73"/>
        <v>22</v>
      </c>
      <c r="S949" t="str">
        <f t="shared" si="74"/>
        <v>Mentally Unstable</v>
      </c>
    </row>
    <row r="950" spans="1:19" x14ac:dyDescent="0.25">
      <c r="A950">
        <v>15</v>
      </c>
      <c r="B950" t="str">
        <f t="shared" si="70"/>
        <v>Young Teenager</v>
      </c>
      <c r="C950" t="s">
        <v>16</v>
      </c>
      <c r="D950">
        <v>4.8</v>
      </c>
      <c r="E950" t="s">
        <v>23</v>
      </c>
      <c r="F950">
        <v>4.3</v>
      </c>
      <c r="G950">
        <v>2.2000000000000002</v>
      </c>
      <c r="H950">
        <f t="shared" si="71"/>
        <v>7</v>
      </c>
      <c r="I950">
        <v>2.5</v>
      </c>
      <c r="J950" t="str">
        <f t="shared" si="72"/>
        <v>Second class lower</v>
      </c>
      <c r="K950">
        <v>0</v>
      </c>
      <c r="L950" t="s">
        <v>22</v>
      </c>
      <c r="M950">
        <v>4</v>
      </c>
      <c r="N950">
        <v>1</v>
      </c>
      <c r="O950">
        <v>4</v>
      </c>
      <c r="P950">
        <v>0</v>
      </c>
      <c r="Q950">
        <f t="shared" si="73"/>
        <v>9</v>
      </c>
      <c r="S950" t="str">
        <f t="shared" si="74"/>
        <v>Mentally Sound</v>
      </c>
    </row>
    <row r="951" spans="1:19" x14ac:dyDescent="0.25">
      <c r="A951">
        <v>18</v>
      </c>
      <c r="B951" t="str">
        <f t="shared" si="70"/>
        <v>Old Teenager</v>
      </c>
      <c r="C951" t="s">
        <v>16</v>
      </c>
      <c r="D951">
        <v>2.4</v>
      </c>
      <c r="E951" t="s">
        <v>23</v>
      </c>
      <c r="F951">
        <v>6.8</v>
      </c>
      <c r="G951">
        <v>1</v>
      </c>
      <c r="H951">
        <f t="shared" si="71"/>
        <v>3.4</v>
      </c>
      <c r="I951">
        <v>2.86</v>
      </c>
      <c r="J951" t="str">
        <f t="shared" si="72"/>
        <v>Second class lower</v>
      </c>
      <c r="K951">
        <v>1.5</v>
      </c>
      <c r="L951" t="s">
        <v>21</v>
      </c>
      <c r="M951">
        <v>9</v>
      </c>
      <c r="N951">
        <v>10</v>
      </c>
      <c r="O951">
        <v>8</v>
      </c>
      <c r="P951">
        <v>0</v>
      </c>
      <c r="Q951">
        <f t="shared" si="73"/>
        <v>27</v>
      </c>
      <c r="S951" t="str">
        <f t="shared" si="74"/>
        <v>Mentally Unstable</v>
      </c>
    </row>
    <row r="952" spans="1:19" x14ac:dyDescent="0.25">
      <c r="A952">
        <v>15</v>
      </c>
      <c r="B952" t="str">
        <f t="shared" si="70"/>
        <v>Young Teenager</v>
      </c>
      <c r="C952" t="s">
        <v>16</v>
      </c>
      <c r="D952">
        <v>5.4</v>
      </c>
      <c r="E952" t="s">
        <v>20</v>
      </c>
      <c r="F952">
        <v>5.2</v>
      </c>
      <c r="G952">
        <v>0.6</v>
      </c>
      <c r="H952">
        <f t="shared" si="71"/>
        <v>6</v>
      </c>
      <c r="I952">
        <v>3.65</v>
      </c>
      <c r="J952" t="str">
        <f t="shared" si="72"/>
        <v>first class</v>
      </c>
      <c r="K952">
        <v>1.5</v>
      </c>
      <c r="L952" t="s">
        <v>18</v>
      </c>
      <c r="M952">
        <v>7</v>
      </c>
      <c r="N952">
        <v>9</v>
      </c>
      <c r="O952">
        <v>10</v>
      </c>
      <c r="P952">
        <v>1</v>
      </c>
      <c r="Q952">
        <f t="shared" si="73"/>
        <v>27</v>
      </c>
      <c r="S952" t="str">
        <f t="shared" si="74"/>
        <v>Mentally Unstable</v>
      </c>
    </row>
    <row r="953" spans="1:19" x14ac:dyDescent="0.25">
      <c r="A953">
        <v>17</v>
      </c>
      <c r="B953" t="str">
        <f t="shared" si="70"/>
        <v>Old Teenager</v>
      </c>
      <c r="C953" t="s">
        <v>19</v>
      </c>
      <c r="D953">
        <v>3.5</v>
      </c>
      <c r="E953" t="s">
        <v>23</v>
      </c>
      <c r="F953">
        <v>8.5</v>
      </c>
      <c r="G953">
        <v>2.2000000000000002</v>
      </c>
      <c r="H953">
        <f t="shared" si="71"/>
        <v>5.7</v>
      </c>
      <c r="I953">
        <v>2.11</v>
      </c>
      <c r="J953" t="str">
        <f t="shared" si="72"/>
        <v>third class</v>
      </c>
      <c r="K953">
        <v>1.3</v>
      </c>
      <c r="L953" t="s">
        <v>22</v>
      </c>
      <c r="M953">
        <v>8</v>
      </c>
      <c r="N953">
        <v>8</v>
      </c>
      <c r="O953">
        <v>2</v>
      </c>
      <c r="P953">
        <v>0</v>
      </c>
      <c r="Q953">
        <f t="shared" si="73"/>
        <v>18</v>
      </c>
      <c r="S953" t="str">
        <f t="shared" si="74"/>
        <v>Mentally Strained</v>
      </c>
    </row>
    <row r="954" spans="1:19" x14ac:dyDescent="0.25">
      <c r="A954">
        <v>18</v>
      </c>
      <c r="B954" t="str">
        <f t="shared" si="70"/>
        <v>Old Teenager</v>
      </c>
      <c r="C954" t="s">
        <v>19</v>
      </c>
      <c r="D954">
        <v>3</v>
      </c>
      <c r="E954" t="s">
        <v>17</v>
      </c>
      <c r="F954">
        <v>5</v>
      </c>
      <c r="G954">
        <v>2</v>
      </c>
      <c r="H954">
        <f t="shared" si="71"/>
        <v>5</v>
      </c>
      <c r="I954">
        <v>2.4500000000000002</v>
      </c>
      <c r="J954" t="str">
        <f t="shared" si="72"/>
        <v>third class</v>
      </c>
      <c r="K954">
        <v>1.2</v>
      </c>
      <c r="L954" t="s">
        <v>22</v>
      </c>
      <c r="M954">
        <v>1</v>
      </c>
      <c r="N954">
        <v>10</v>
      </c>
      <c r="O954">
        <v>7</v>
      </c>
      <c r="P954">
        <v>0</v>
      </c>
      <c r="Q954">
        <f t="shared" si="73"/>
        <v>18</v>
      </c>
      <c r="S954" t="str">
        <f t="shared" si="74"/>
        <v>Mentally Strained</v>
      </c>
    </row>
    <row r="955" spans="1:19" x14ac:dyDescent="0.25">
      <c r="A955">
        <v>13</v>
      </c>
      <c r="B955" t="str">
        <f t="shared" si="70"/>
        <v>Young Teenager</v>
      </c>
      <c r="C955" t="s">
        <v>19</v>
      </c>
      <c r="D955">
        <v>3.3</v>
      </c>
      <c r="E955" t="s">
        <v>23</v>
      </c>
      <c r="F955">
        <v>7.4</v>
      </c>
      <c r="G955">
        <v>0.9</v>
      </c>
      <c r="H955">
        <f t="shared" si="71"/>
        <v>4.2</v>
      </c>
      <c r="I955">
        <v>2.5299999999999998</v>
      </c>
      <c r="J955" t="str">
        <f t="shared" si="72"/>
        <v>Second class lower</v>
      </c>
      <c r="K955">
        <v>0.2</v>
      </c>
      <c r="L955" t="s">
        <v>22</v>
      </c>
      <c r="M955">
        <v>4</v>
      </c>
      <c r="N955">
        <v>10</v>
      </c>
      <c r="O955">
        <v>6</v>
      </c>
      <c r="P955">
        <v>0</v>
      </c>
      <c r="Q955">
        <f t="shared" si="73"/>
        <v>20</v>
      </c>
      <c r="S955" t="str">
        <f t="shared" si="74"/>
        <v>Mentally Unstable</v>
      </c>
    </row>
    <row r="956" spans="1:19" x14ac:dyDescent="0.25">
      <c r="A956">
        <v>19</v>
      </c>
      <c r="B956" t="str">
        <f t="shared" si="70"/>
        <v>Old Teenager</v>
      </c>
      <c r="C956" t="s">
        <v>16</v>
      </c>
      <c r="D956">
        <v>5.5</v>
      </c>
      <c r="E956" t="s">
        <v>20</v>
      </c>
      <c r="F956">
        <v>5.0999999999999996</v>
      </c>
      <c r="G956">
        <v>2.7</v>
      </c>
      <c r="H956">
        <f t="shared" si="71"/>
        <v>8.1999999999999993</v>
      </c>
      <c r="I956">
        <v>2.56</v>
      </c>
      <c r="J956" t="str">
        <f t="shared" si="72"/>
        <v>Second class lower</v>
      </c>
      <c r="K956">
        <v>1.4</v>
      </c>
      <c r="L956" t="s">
        <v>18</v>
      </c>
      <c r="M956">
        <v>2</v>
      </c>
      <c r="N956">
        <v>3</v>
      </c>
      <c r="O956">
        <v>7</v>
      </c>
      <c r="P956">
        <v>0</v>
      </c>
      <c r="Q956">
        <f t="shared" si="73"/>
        <v>12</v>
      </c>
      <c r="S956" t="str">
        <f t="shared" si="74"/>
        <v>Mentally Strained</v>
      </c>
    </row>
    <row r="957" spans="1:19" x14ac:dyDescent="0.25">
      <c r="A957">
        <v>15</v>
      </c>
      <c r="B957" t="str">
        <f t="shared" si="70"/>
        <v>Young Teenager</v>
      </c>
      <c r="C957" t="s">
        <v>16</v>
      </c>
      <c r="D957">
        <v>3.8</v>
      </c>
      <c r="E957" t="s">
        <v>23</v>
      </c>
      <c r="F957">
        <v>8.3000000000000007</v>
      </c>
      <c r="G957">
        <v>2.6</v>
      </c>
      <c r="H957">
        <f t="shared" si="71"/>
        <v>6.4</v>
      </c>
      <c r="I957">
        <v>3.19</v>
      </c>
      <c r="J957" t="str">
        <f t="shared" si="72"/>
        <v>Second class upper</v>
      </c>
      <c r="K957">
        <v>2</v>
      </c>
      <c r="L957" t="s">
        <v>22</v>
      </c>
      <c r="M957">
        <v>1</v>
      </c>
      <c r="N957">
        <v>2</v>
      </c>
      <c r="O957">
        <v>2</v>
      </c>
      <c r="P957">
        <v>0</v>
      </c>
      <c r="Q957">
        <f t="shared" si="73"/>
        <v>5</v>
      </c>
      <c r="S957" t="str">
        <f t="shared" si="74"/>
        <v>Mentally Sound</v>
      </c>
    </row>
    <row r="958" spans="1:19" x14ac:dyDescent="0.25">
      <c r="A958">
        <v>17</v>
      </c>
      <c r="B958" t="str">
        <f t="shared" si="70"/>
        <v>Old Teenager</v>
      </c>
      <c r="C958" t="s">
        <v>16</v>
      </c>
      <c r="D958">
        <v>5.7</v>
      </c>
      <c r="E958" t="s">
        <v>20</v>
      </c>
      <c r="F958">
        <v>8.6999999999999993</v>
      </c>
      <c r="G958">
        <v>2</v>
      </c>
      <c r="H958">
        <f t="shared" si="71"/>
        <v>7.7</v>
      </c>
      <c r="I958">
        <v>3.14</v>
      </c>
      <c r="J958" t="str">
        <f t="shared" si="72"/>
        <v>Second class upper</v>
      </c>
      <c r="K958">
        <v>1.7</v>
      </c>
      <c r="L958" t="s">
        <v>18</v>
      </c>
      <c r="M958">
        <v>1</v>
      </c>
      <c r="N958">
        <v>9</v>
      </c>
      <c r="O958">
        <v>8</v>
      </c>
      <c r="P958">
        <v>0</v>
      </c>
      <c r="Q958">
        <f t="shared" si="73"/>
        <v>18</v>
      </c>
      <c r="S958" t="str">
        <f t="shared" si="74"/>
        <v>Mentally Strained</v>
      </c>
    </row>
    <row r="959" spans="1:19" x14ac:dyDescent="0.25">
      <c r="A959">
        <v>13</v>
      </c>
      <c r="B959" t="str">
        <f t="shared" si="70"/>
        <v>Young Teenager</v>
      </c>
      <c r="C959" t="s">
        <v>19</v>
      </c>
      <c r="D959">
        <v>4.7</v>
      </c>
      <c r="E959" t="s">
        <v>20</v>
      </c>
      <c r="F959">
        <v>8</v>
      </c>
      <c r="G959">
        <v>1.1000000000000001</v>
      </c>
      <c r="H959">
        <f t="shared" si="71"/>
        <v>5.8000000000000007</v>
      </c>
      <c r="I959">
        <v>2.37</v>
      </c>
      <c r="J959" t="str">
        <f t="shared" si="72"/>
        <v>third class</v>
      </c>
      <c r="K959">
        <v>0.2</v>
      </c>
      <c r="L959" t="s">
        <v>18</v>
      </c>
      <c r="M959">
        <v>5</v>
      </c>
      <c r="N959">
        <v>10</v>
      </c>
      <c r="O959">
        <v>6</v>
      </c>
      <c r="P959">
        <v>0</v>
      </c>
      <c r="Q959">
        <f t="shared" si="73"/>
        <v>21</v>
      </c>
      <c r="S959" t="str">
        <f t="shared" si="74"/>
        <v>Mentally Unstable</v>
      </c>
    </row>
    <row r="960" spans="1:19" x14ac:dyDescent="0.25">
      <c r="A960">
        <v>17</v>
      </c>
      <c r="B960" t="str">
        <f t="shared" si="70"/>
        <v>Old Teenager</v>
      </c>
      <c r="C960" t="s">
        <v>19</v>
      </c>
      <c r="D960">
        <v>4</v>
      </c>
      <c r="E960" t="s">
        <v>17</v>
      </c>
      <c r="F960">
        <v>6.7</v>
      </c>
      <c r="G960">
        <v>0.6</v>
      </c>
      <c r="H960">
        <f t="shared" si="71"/>
        <v>4.5999999999999996</v>
      </c>
      <c r="I960">
        <v>2.5099999999999998</v>
      </c>
      <c r="J960" t="str">
        <f t="shared" si="72"/>
        <v>Second class lower</v>
      </c>
      <c r="K960">
        <v>1.5</v>
      </c>
      <c r="L960" t="s">
        <v>21</v>
      </c>
      <c r="M960">
        <v>9</v>
      </c>
      <c r="N960">
        <v>8</v>
      </c>
      <c r="O960">
        <v>5</v>
      </c>
      <c r="P960">
        <v>0</v>
      </c>
      <c r="Q960">
        <f t="shared" si="73"/>
        <v>22</v>
      </c>
      <c r="S960" t="str">
        <f t="shared" si="74"/>
        <v>Mentally Unstable</v>
      </c>
    </row>
    <row r="961" spans="1:19" x14ac:dyDescent="0.25">
      <c r="A961">
        <v>16</v>
      </c>
      <c r="B961" t="str">
        <f t="shared" si="70"/>
        <v>Old Teenager</v>
      </c>
      <c r="C961" t="s">
        <v>16</v>
      </c>
      <c r="D961">
        <v>5.3</v>
      </c>
      <c r="E961" t="s">
        <v>20</v>
      </c>
      <c r="F961">
        <v>6.8</v>
      </c>
      <c r="G961">
        <v>0.7</v>
      </c>
      <c r="H961">
        <f t="shared" si="71"/>
        <v>6</v>
      </c>
      <c r="I961">
        <v>3.9</v>
      </c>
      <c r="J961" t="str">
        <f t="shared" si="72"/>
        <v>first class</v>
      </c>
      <c r="K961">
        <v>1.5</v>
      </c>
      <c r="L961" t="s">
        <v>18</v>
      </c>
      <c r="M961">
        <v>5</v>
      </c>
      <c r="N961">
        <v>8</v>
      </c>
      <c r="O961">
        <v>3</v>
      </c>
      <c r="P961">
        <v>0</v>
      </c>
      <c r="Q961">
        <f t="shared" si="73"/>
        <v>16</v>
      </c>
      <c r="S961" t="str">
        <f t="shared" si="74"/>
        <v>Mentally Strained</v>
      </c>
    </row>
    <row r="962" spans="1:19" x14ac:dyDescent="0.25">
      <c r="A962">
        <v>17</v>
      </c>
      <c r="B962" t="str">
        <f t="shared" si="70"/>
        <v>Old Teenager</v>
      </c>
      <c r="C962" t="s">
        <v>16</v>
      </c>
      <c r="D962">
        <v>3.8</v>
      </c>
      <c r="E962" t="s">
        <v>17</v>
      </c>
      <c r="F962">
        <v>4.7</v>
      </c>
      <c r="G962">
        <v>1.2</v>
      </c>
      <c r="H962">
        <f t="shared" si="71"/>
        <v>5</v>
      </c>
      <c r="I962">
        <v>3.7</v>
      </c>
      <c r="J962" t="str">
        <f t="shared" si="72"/>
        <v>first class</v>
      </c>
      <c r="K962">
        <v>1.4</v>
      </c>
      <c r="L962" t="s">
        <v>21</v>
      </c>
      <c r="M962">
        <v>2</v>
      </c>
      <c r="N962">
        <v>2</v>
      </c>
      <c r="O962">
        <v>5</v>
      </c>
      <c r="P962">
        <v>0</v>
      </c>
      <c r="Q962">
        <f t="shared" si="73"/>
        <v>9</v>
      </c>
      <c r="S962" t="str">
        <f t="shared" si="74"/>
        <v>Mentally Sound</v>
      </c>
    </row>
    <row r="963" spans="1:19" x14ac:dyDescent="0.25">
      <c r="A963">
        <v>16</v>
      </c>
      <c r="B963" t="str">
        <f t="shared" ref="B963:B1026" si="75">IF(A963&lt;=15,"Young Teenager","Old Teenager")</f>
        <v>Old Teenager</v>
      </c>
      <c r="C963" t="s">
        <v>19</v>
      </c>
      <c r="D963">
        <v>6</v>
      </c>
      <c r="E963" t="s">
        <v>23</v>
      </c>
      <c r="F963">
        <v>4.0999999999999996</v>
      </c>
      <c r="G963">
        <v>2.4</v>
      </c>
      <c r="H963">
        <f t="shared" ref="H963:H1026" si="76">SUM(D963,G963)</f>
        <v>8.4</v>
      </c>
      <c r="I963">
        <v>2.61</v>
      </c>
      <c r="J963" t="str">
        <f t="shared" ref="J963:J1026" si="77">IF(I963&lt;=2.49,"third class",IF(I963&lt;3,"Second class lower",IF(I963&lt;3.6,"Second class upper","first class")))</f>
        <v>Second class lower</v>
      </c>
      <c r="K963">
        <v>1.1000000000000001</v>
      </c>
      <c r="L963" t="s">
        <v>21</v>
      </c>
      <c r="M963">
        <v>1</v>
      </c>
      <c r="N963">
        <v>6</v>
      </c>
      <c r="O963">
        <v>3</v>
      </c>
      <c r="P963">
        <v>0</v>
      </c>
      <c r="Q963">
        <f t="shared" ref="Q963:Q1026" si="78">SUM(M963:P963)</f>
        <v>10</v>
      </c>
      <c r="S963" t="str">
        <f t="shared" ref="S963:S1026" si="79">IF(Q963&lt;10,"Mentally Sound",IF(Q963&gt;=20,"Mentally Unstable","Mentally Strained"))</f>
        <v>Mentally Strained</v>
      </c>
    </row>
    <row r="964" spans="1:19" x14ac:dyDescent="0.25">
      <c r="A964">
        <v>15</v>
      </c>
      <c r="B964" t="str">
        <f t="shared" si="75"/>
        <v>Young Teenager</v>
      </c>
      <c r="C964" t="s">
        <v>16</v>
      </c>
      <c r="D964">
        <v>2.2000000000000002</v>
      </c>
      <c r="E964" t="s">
        <v>23</v>
      </c>
      <c r="F964">
        <v>4.5</v>
      </c>
      <c r="G964">
        <v>1.3</v>
      </c>
      <c r="H964">
        <f t="shared" si="76"/>
        <v>3.5</v>
      </c>
      <c r="I964">
        <v>2.63</v>
      </c>
      <c r="J964" t="str">
        <f t="shared" si="77"/>
        <v>Second class lower</v>
      </c>
      <c r="K964">
        <v>1.7</v>
      </c>
      <c r="L964" t="s">
        <v>18</v>
      </c>
      <c r="M964">
        <v>10</v>
      </c>
      <c r="N964">
        <v>2</v>
      </c>
      <c r="O964">
        <v>6</v>
      </c>
      <c r="P964">
        <v>0</v>
      </c>
      <c r="Q964">
        <f t="shared" si="78"/>
        <v>18</v>
      </c>
      <c r="S964" t="str">
        <f t="shared" si="79"/>
        <v>Mentally Strained</v>
      </c>
    </row>
    <row r="965" spans="1:19" x14ac:dyDescent="0.25">
      <c r="A965">
        <v>18</v>
      </c>
      <c r="B965" t="str">
        <f t="shared" si="75"/>
        <v>Old Teenager</v>
      </c>
      <c r="C965" t="s">
        <v>16</v>
      </c>
      <c r="D965">
        <v>4.3</v>
      </c>
      <c r="E965" t="s">
        <v>20</v>
      </c>
      <c r="F965">
        <v>8.4</v>
      </c>
      <c r="G965">
        <v>2.1</v>
      </c>
      <c r="H965">
        <f t="shared" si="76"/>
        <v>6.4</v>
      </c>
      <c r="I965">
        <v>2.69</v>
      </c>
      <c r="J965" t="str">
        <f t="shared" si="77"/>
        <v>Second class lower</v>
      </c>
      <c r="K965">
        <v>0.2</v>
      </c>
      <c r="L965" t="s">
        <v>18</v>
      </c>
      <c r="M965">
        <v>1</v>
      </c>
      <c r="N965">
        <v>10</v>
      </c>
      <c r="O965">
        <v>8</v>
      </c>
      <c r="P965">
        <v>0</v>
      </c>
      <c r="Q965">
        <f t="shared" si="78"/>
        <v>19</v>
      </c>
      <c r="S965" t="str">
        <f t="shared" si="79"/>
        <v>Mentally Strained</v>
      </c>
    </row>
    <row r="966" spans="1:19" x14ac:dyDescent="0.25">
      <c r="A966">
        <v>19</v>
      </c>
      <c r="B966" t="str">
        <f t="shared" si="75"/>
        <v>Old Teenager</v>
      </c>
      <c r="C966" t="s">
        <v>19</v>
      </c>
      <c r="D966">
        <v>7.5</v>
      </c>
      <c r="E966" t="s">
        <v>20</v>
      </c>
      <c r="F966">
        <v>4.5</v>
      </c>
      <c r="G966">
        <v>2.7</v>
      </c>
      <c r="H966">
        <f t="shared" si="76"/>
        <v>10.199999999999999</v>
      </c>
      <c r="I966">
        <v>2.41</v>
      </c>
      <c r="J966" t="str">
        <f t="shared" si="77"/>
        <v>third class</v>
      </c>
      <c r="K966">
        <v>1</v>
      </c>
      <c r="L966" t="s">
        <v>21</v>
      </c>
      <c r="M966">
        <v>3</v>
      </c>
      <c r="N966">
        <v>2</v>
      </c>
      <c r="O966">
        <v>6</v>
      </c>
      <c r="P966">
        <v>0</v>
      </c>
      <c r="Q966">
        <f t="shared" si="78"/>
        <v>11</v>
      </c>
      <c r="S966" t="str">
        <f t="shared" si="79"/>
        <v>Mentally Strained</v>
      </c>
    </row>
    <row r="967" spans="1:19" x14ac:dyDescent="0.25">
      <c r="A967">
        <v>14</v>
      </c>
      <c r="B967" t="str">
        <f t="shared" si="75"/>
        <v>Young Teenager</v>
      </c>
      <c r="C967" t="s">
        <v>16</v>
      </c>
      <c r="D967">
        <v>5.3</v>
      </c>
      <c r="E967" t="s">
        <v>17</v>
      </c>
      <c r="F967">
        <v>6.8</v>
      </c>
      <c r="G967">
        <v>2.9</v>
      </c>
      <c r="H967">
        <f t="shared" si="76"/>
        <v>8.1999999999999993</v>
      </c>
      <c r="I967">
        <v>2.1800000000000002</v>
      </c>
      <c r="J967" t="str">
        <f t="shared" si="77"/>
        <v>third class</v>
      </c>
      <c r="K967">
        <v>0.8</v>
      </c>
      <c r="L967" t="s">
        <v>22</v>
      </c>
      <c r="M967">
        <v>10</v>
      </c>
      <c r="N967">
        <v>1</v>
      </c>
      <c r="O967">
        <v>6</v>
      </c>
      <c r="P967">
        <v>0</v>
      </c>
      <c r="Q967">
        <f t="shared" si="78"/>
        <v>17</v>
      </c>
      <c r="S967" t="str">
        <f t="shared" si="79"/>
        <v>Mentally Strained</v>
      </c>
    </row>
    <row r="968" spans="1:19" x14ac:dyDescent="0.25">
      <c r="A968">
        <v>14</v>
      </c>
      <c r="B968" t="str">
        <f t="shared" si="75"/>
        <v>Young Teenager</v>
      </c>
      <c r="C968" t="s">
        <v>19</v>
      </c>
      <c r="D968">
        <v>7</v>
      </c>
      <c r="E968" t="s">
        <v>17</v>
      </c>
      <c r="F968">
        <v>6.9</v>
      </c>
      <c r="G968">
        <v>2.1</v>
      </c>
      <c r="H968">
        <f t="shared" si="76"/>
        <v>9.1</v>
      </c>
      <c r="I968">
        <v>3.42</v>
      </c>
      <c r="J968" t="str">
        <f t="shared" si="77"/>
        <v>Second class upper</v>
      </c>
      <c r="K968">
        <v>1.1000000000000001</v>
      </c>
      <c r="L968" t="s">
        <v>21</v>
      </c>
      <c r="M968">
        <v>10</v>
      </c>
      <c r="N968">
        <v>3</v>
      </c>
      <c r="O968">
        <v>6</v>
      </c>
      <c r="P968">
        <v>0</v>
      </c>
      <c r="Q968">
        <f t="shared" si="78"/>
        <v>19</v>
      </c>
      <c r="S968" t="str">
        <f t="shared" si="79"/>
        <v>Mentally Strained</v>
      </c>
    </row>
    <row r="969" spans="1:19" x14ac:dyDescent="0.25">
      <c r="A969">
        <v>16</v>
      </c>
      <c r="B969" t="str">
        <f t="shared" si="75"/>
        <v>Old Teenager</v>
      </c>
      <c r="C969" t="s">
        <v>19</v>
      </c>
      <c r="D969">
        <v>2.1</v>
      </c>
      <c r="E969" t="s">
        <v>23</v>
      </c>
      <c r="F969">
        <v>4.5999999999999996</v>
      </c>
      <c r="G969">
        <v>2</v>
      </c>
      <c r="H969">
        <f t="shared" si="76"/>
        <v>4.0999999999999996</v>
      </c>
      <c r="I969">
        <v>2.5499999999999998</v>
      </c>
      <c r="J969" t="str">
        <f t="shared" si="77"/>
        <v>Second class lower</v>
      </c>
      <c r="K969">
        <v>1.8</v>
      </c>
      <c r="L969" t="s">
        <v>21</v>
      </c>
      <c r="M969">
        <v>5</v>
      </c>
      <c r="N969">
        <v>4</v>
      </c>
      <c r="O969">
        <v>4</v>
      </c>
      <c r="P969">
        <v>0</v>
      </c>
      <c r="Q969">
        <f t="shared" si="78"/>
        <v>13</v>
      </c>
      <c r="S969" t="str">
        <f t="shared" si="79"/>
        <v>Mentally Strained</v>
      </c>
    </row>
    <row r="970" spans="1:19" x14ac:dyDescent="0.25">
      <c r="A970">
        <v>18</v>
      </c>
      <c r="B970" t="str">
        <f t="shared" si="75"/>
        <v>Old Teenager</v>
      </c>
      <c r="C970" t="s">
        <v>19</v>
      </c>
      <c r="D970">
        <v>7.3</v>
      </c>
      <c r="E970" t="s">
        <v>23</v>
      </c>
      <c r="F970">
        <v>7.3</v>
      </c>
      <c r="G970">
        <v>2.8</v>
      </c>
      <c r="H970">
        <f t="shared" si="76"/>
        <v>10.1</v>
      </c>
      <c r="I970">
        <v>3.3</v>
      </c>
      <c r="J970" t="str">
        <f t="shared" si="77"/>
        <v>Second class upper</v>
      </c>
      <c r="K970">
        <v>0.4</v>
      </c>
      <c r="L970" t="s">
        <v>18</v>
      </c>
      <c r="M970">
        <v>1</v>
      </c>
      <c r="N970">
        <v>8</v>
      </c>
      <c r="O970">
        <v>1</v>
      </c>
      <c r="P970">
        <v>0</v>
      </c>
      <c r="Q970">
        <f t="shared" si="78"/>
        <v>10</v>
      </c>
      <c r="S970" t="str">
        <f t="shared" si="79"/>
        <v>Mentally Strained</v>
      </c>
    </row>
    <row r="971" spans="1:19" x14ac:dyDescent="0.25">
      <c r="A971">
        <v>17</v>
      </c>
      <c r="B971" t="str">
        <f t="shared" si="75"/>
        <v>Old Teenager</v>
      </c>
      <c r="C971" t="s">
        <v>19</v>
      </c>
      <c r="D971">
        <v>2.6</v>
      </c>
      <c r="E971" t="s">
        <v>17</v>
      </c>
      <c r="F971">
        <v>6.5</v>
      </c>
      <c r="G971">
        <v>1.5</v>
      </c>
      <c r="H971">
        <f t="shared" si="76"/>
        <v>4.0999999999999996</v>
      </c>
      <c r="I971">
        <v>3.8</v>
      </c>
      <c r="J971" t="str">
        <f t="shared" si="77"/>
        <v>first class</v>
      </c>
      <c r="K971">
        <v>0.2</v>
      </c>
      <c r="L971" t="s">
        <v>21</v>
      </c>
      <c r="M971">
        <v>8</v>
      </c>
      <c r="N971">
        <v>6</v>
      </c>
      <c r="O971">
        <v>1</v>
      </c>
      <c r="P971">
        <v>0</v>
      </c>
      <c r="Q971">
        <f t="shared" si="78"/>
        <v>15</v>
      </c>
      <c r="S971" t="str">
        <f t="shared" si="79"/>
        <v>Mentally Strained</v>
      </c>
    </row>
    <row r="972" spans="1:19" x14ac:dyDescent="0.25">
      <c r="A972">
        <v>17</v>
      </c>
      <c r="B972" t="str">
        <f t="shared" si="75"/>
        <v>Old Teenager</v>
      </c>
      <c r="C972" t="s">
        <v>16</v>
      </c>
      <c r="D972">
        <v>5.4</v>
      </c>
      <c r="E972" t="s">
        <v>23</v>
      </c>
      <c r="F972">
        <v>4.9000000000000004</v>
      </c>
      <c r="G972">
        <v>1.5</v>
      </c>
      <c r="H972">
        <f t="shared" si="76"/>
        <v>6.9</v>
      </c>
      <c r="I972">
        <v>3.4</v>
      </c>
      <c r="J972" t="str">
        <f t="shared" si="77"/>
        <v>Second class upper</v>
      </c>
      <c r="K972">
        <v>0</v>
      </c>
      <c r="L972" t="s">
        <v>22</v>
      </c>
      <c r="M972">
        <v>2</v>
      </c>
      <c r="N972">
        <v>2</v>
      </c>
      <c r="O972">
        <v>1</v>
      </c>
      <c r="P972">
        <v>0</v>
      </c>
      <c r="Q972">
        <f t="shared" si="78"/>
        <v>5</v>
      </c>
      <c r="S972" t="str">
        <f t="shared" si="79"/>
        <v>Mentally Sound</v>
      </c>
    </row>
    <row r="973" spans="1:19" x14ac:dyDescent="0.25">
      <c r="A973">
        <v>15</v>
      </c>
      <c r="B973" t="str">
        <f t="shared" si="75"/>
        <v>Young Teenager</v>
      </c>
      <c r="C973" t="s">
        <v>16</v>
      </c>
      <c r="D973">
        <v>6.9</v>
      </c>
      <c r="E973" t="s">
        <v>17</v>
      </c>
      <c r="F973">
        <v>6.2</v>
      </c>
      <c r="G973">
        <v>0.6</v>
      </c>
      <c r="H973">
        <f t="shared" si="76"/>
        <v>7.5</v>
      </c>
      <c r="I973">
        <v>2.37</v>
      </c>
      <c r="J973" t="str">
        <f t="shared" si="77"/>
        <v>third class</v>
      </c>
      <c r="K973">
        <v>0.2</v>
      </c>
      <c r="L973" t="s">
        <v>18</v>
      </c>
      <c r="M973">
        <v>3</v>
      </c>
      <c r="N973">
        <v>1</v>
      </c>
      <c r="O973">
        <v>4</v>
      </c>
      <c r="P973">
        <v>0</v>
      </c>
      <c r="Q973">
        <f t="shared" si="78"/>
        <v>8</v>
      </c>
      <c r="S973" t="str">
        <f t="shared" si="79"/>
        <v>Mentally Sound</v>
      </c>
    </row>
    <row r="974" spans="1:19" x14ac:dyDescent="0.25">
      <c r="A974">
        <v>19</v>
      </c>
      <c r="B974" t="str">
        <f t="shared" si="75"/>
        <v>Old Teenager</v>
      </c>
      <c r="C974" t="s">
        <v>19</v>
      </c>
      <c r="D974">
        <v>3</v>
      </c>
      <c r="E974" t="s">
        <v>17</v>
      </c>
      <c r="F974">
        <v>5.5</v>
      </c>
      <c r="G974">
        <v>2.1</v>
      </c>
      <c r="H974">
        <f t="shared" si="76"/>
        <v>5.0999999999999996</v>
      </c>
      <c r="I974">
        <v>3.08</v>
      </c>
      <c r="J974" t="str">
        <f t="shared" si="77"/>
        <v>Second class upper</v>
      </c>
      <c r="K974">
        <v>0.7</v>
      </c>
      <c r="L974" t="s">
        <v>18</v>
      </c>
      <c r="M974">
        <v>9</v>
      </c>
      <c r="N974">
        <v>3</v>
      </c>
      <c r="O974">
        <v>5</v>
      </c>
      <c r="P974">
        <v>0</v>
      </c>
      <c r="Q974">
        <f t="shared" si="78"/>
        <v>17</v>
      </c>
      <c r="S974" t="str">
        <f t="shared" si="79"/>
        <v>Mentally Strained</v>
      </c>
    </row>
    <row r="975" spans="1:19" x14ac:dyDescent="0.25">
      <c r="A975">
        <v>18</v>
      </c>
      <c r="B975" t="str">
        <f t="shared" si="75"/>
        <v>Old Teenager</v>
      </c>
      <c r="C975" t="s">
        <v>16</v>
      </c>
      <c r="D975">
        <v>1.3</v>
      </c>
      <c r="E975" t="s">
        <v>17</v>
      </c>
      <c r="F975">
        <v>4.5</v>
      </c>
      <c r="G975">
        <v>2.2999999999999998</v>
      </c>
      <c r="H975">
        <f t="shared" si="76"/>
        <v>3.5999999999999996</v>
      </c>
      <c r="I975">
        <v>2.2799999999999998</v>
      </c>
      <c r="J975" t="str">
        <f t="shared" si="77"/>
        <v>third class</v>
      </c>
      <c r="K975">
        <v>1</v>
      </c>
      <c r="L975" t="s">
        <v>18</v>
      </c>
      <c r="M975">
        <v>2</v>
      </c>
      <c r="N975">
        <v>7</v>
      </c>
      <c r="O975">
        <v>8</v>
      </c>
      <c r="P975">
        <v>0</v>
      </c>
      <c r="Q975">
        <f t="shared" si="78"/>
        <v>17</v>
      </c>
      <c r="S975" t="str">
        <f t="shared" si="79"/>
        <v>Mentally Strained</v>
      </c>
    </row>
    <row r="976" spans="1:19" x14ac:dyDescent="0.25">
      <c r="A976">
        <v>15</v>
      </c>
      <c r="B976" t="str">
        <f t="shared" si="75"/>
        <v>Young Teenager</v>
      </c>
      <c r="C976" t="s">
        <v>16</v>
      </c>
      <c r="D976">
        <v>6.2</v>
      </c>
      <c r="E976" t="s">
        <v>23</v>
      </c>
      <c r="F976">
        <v>6.4</v>
      </c>
      <c r="G976">
        <v>1.4</v>
      </c>
      <c r="H976">
        <f t="shared" si="76"/>
        <v>7.6</v>
      </c>
      <c r="I976">
        <v>3.34</v>
      </c>
      <c r="J976" t="str">
        <f t="shared" si="77"/>
        <v>Second class upper</v>
      </c>
      <c r="K976">
        <v>0.9</v>
      </c>
      <c r="L976" t="s">
        <v>21</v>
      </c>
      <c r="M976">
        <v>8</v>
      </c>
      <c r="N976">
        <v>9</v>
      </c>
      <c r="O976">
        <v>9</v>
      </c>
      <c r="P976">
        <v>0</v>
      </c>
      <c r="Q976">
        <f t="shared" si="78"/>
        <v>26</v>
      </c>
      <c r="S976" t="str">
        <f t="shared" si="79"/>
        <v>Mentally Unstable</v>
      </c>
    </row>
    <row r="977" spans="1:19" x14ac:dyDescent="0.25">
      <c r="A977">
        <v>15</v>
      </c>
      <c r="B977" t="str">
        <f t="shared" si="75"/>
        <v>Young Teenager</v>
      </c>
      <c r="C977" t="s">
        <v>16</v>
      </c>
      <c r="D977">
        <v>3.6</v>
      </c>
      <c r="E977" t="s">
        <v>17</v>
      </c>
      <c r="F977">
        <v>5.5</v>
      </c>
      <c r="G977">
        <v>1.2</v>
      </c>
      <c r="H977">
        <f t="shared" si="76"/>
        <v>4.8</v>
      </c>
      <c r="I977">
        <v>2.4900000000000002</v>
      </c>
      <c r="J977" t="str">
        <f t="shared" si="77"/>
        <v>third class</v>
      </c>
      <c r="K977">
        <v>1.9</v>
      </c>
      <c r="L977" t="s">
        <v>18</v>
      </c>
      <c r="M977">
        <v>1</v>
      </c>
      <c r="N977">
        <v>4</v>
      </c>
      <c r="O977">
        <v>9</v>
      </c>
      <c r="P977">
        <v>0</v>
      </c>
      <c r="Q977">
        <f t="shared" si="78"/>
        <v>14</v>
      </c>
      <c r="S977" t="str">
        <f t="shared" si="79"/>
        <v>Mentally Strained</v>
      </c>
    </row>
    <row r="978" spans="1:19" x14ac:dyDescent="0.25">
      <c r="A978">
        <v>18</v>
      </c>
      <c r="B978" t="str">
        <f t="shared" si="75"/>
        <v>Old Teenager</v>
      </c>
      <c r="C978" t="s">
        <v>19</v>
      </c>
      <c r="D978">
        <v>6.5</v>
      </c>
      <c r="E978" t="s">
        <v>23</v>
      </c>
      <c r="F978">
        <v>6.7</v>
      </c>
      <c r="G978">
        <v>2.5</v>
      </c>
      <c r="H978">
        <f t="shared" si="76"/>
        <v>9</v>
      </c>
      <c r="I978">
        <v>2.98</v>
      </c>
      <c r="J978" t="str">
        <f t="shared" si="77"/>
        <v>Second class lower</v>
      </c>
      <c r="K978">
        <v>0.1</v>
      </c>
      <c r="L978" t="s">
        <v>21</v>
      </c>
      <c r="M978">
        <v>9</v>
      </c>
      <c r="N978">
        <v>7</v>
      </c>
      <c r="O978">
        <v>7</v>
      </c>
      <c r="P978">
        <v>0</v>
      </c>
      <c r="Q978">
        <f t="shared" si="78"/>
        <v>23</v>
      </c>
      <c r="S978" t="str">
        <f t="shared" si="79"/>
        <v>Mentally Unstable</v>
      </c>
    </row>
    <row r="979" spans="1:19" x14ac:dyDescent="0.25">
      <c r="A979">
        <v>17</v>
      </c>
      <c r="B979" t="str">
        <f t="shared" si="75"/>
        <v>Old Teenager</v>
      </c>
      <c r="C979" t="s">
        <v>19</v>
      </c>
      <c r="D979">
        <v>5.3</v>
      </c>
      <c r="E979" t="s">
        <v>17</v>
      </c>
      <c r="F979">
        <v>6.6</v>
      </c>
      <c r="G979">
        <v>0.6</v>
      </c>
      <c r="H979">
        <f t="shared" si="76"/>
        <v>5.8999999999999995</v>
      </c>
      <c r="I979">
        <v>3.04</v>
      </c>
      <c r="J979" t="str">
        <f t="shared" si="77"/>
        <v>Second class upper</v>
      </c>
      <c r="K979">
        <v>0.1</v>
      </c>
      <c r="L979" t="s">
        <v>21</v>
      </c>
      <c r="M979">
        <v>3</v>
      </c>
      <c r="N979">
        <v>7</v>
      </c>
      <c r="O979">
        <v>1</v>
      </c>
      <c r="P979">
        <v>0</v>
      </c>
      <c r="Q979">
        <f t="shared" si="78"/>
        <v>11</v>
      </c>
      <c r="S979" t="str">
        <f t="shared" si="79"/>
        <v>Mentally Strained</v>
      </c>
    </row>
    <row r="980" spans="1:19" x14ac:dyDescent="0.25">
      <c r="A980">
        <v>16</v>
      </c>
      <c r="B980" t="str">
        <f t="shared" si="75"/>
        <v>Old Teenager</v>
      </c>
      <c r="C980" t="s">
        <v>16</v>
      </c>
      <c r="D980">
        <v>4.5999999999999996</v>
      </c>
      <c r="E980" t="s">
        <v>23</v>
      </c>
      <c r="F980">
        <v>5.3</v>
      </c>
      <c r="G980">
        <v>1.3</v>
      </c>
      <c r="H980">
        <f t="shared" si="76"/>
        <v>5.8999999999999995</v>
      </c>
      <c r="I980">
        <v>3.76</v>
      </c>
      <c r="J980" t="str">
        <f t="shared" si="77"/>
        <v>first class</v>
      </c>
      <c r="K980">
        <v>0.5</v>
      </c>
      <c r="L980" t="s">
        <v>22</v>
      </c>
      <c r="M980">
        <v>3</v>
      </c>
      <c r="N980">
        <v>8</v>
      </c>
      <c r="O980">
        <v>8</v>
      </c>
      <c r="P980">
        <v>0</v>
      </c>
      <c r="Q980">
        <f t="shared" si="78"/>
        <v>19</v>
      </c>
      <c r="S980" t="str">
        <f t="shared" si="79"/>
        <v>Mentally Strained</v>
      </c>
    </row>
    <row r="981" spans="1:19" x14ac:dyDescent="0.25">
      <c r="A981">
        <v>18</v>
      </c>
      <c r="B981" t="str">
        <f t="shared" si="75"/>
        <v>Old Teenager</v>
      </c>
      <c r="C981" t="s">
        <v>16</v>
      </c>
      <c r="D981">
        <v>7.7</v>
      </c>
      <c r="E981" t="s">
        <v>23</v>
      </c>
      <c r="F981">
        <v>6.6</v>
      </c>
      <c r="G981">
        <v>1.6</v>
      </c>
      <c r="H981">
        <f t="shared" si="76"/>
        <v>9.3000000000000007</v>
      </c>
      <c r="I981">
        <v>4</v>
      </c>
      <c r="J981" t="str">
        <f t="shared" si="77"/>
        <v>first class</v>
      </c>
      <c r="K981">
        <v>1.9</v>
      </c>
      <c r="L981" t="s">
        <v>21</v>
      </c>
      <c r="M981">
        <v>3</v>
      </c>
      <c r="N981">
        <v>3</v>
      </c>
      <c r="O981">
        <v>9</v>
      </c>
      <c r="P981">
        <v>0</v>
      </c>
      <c r="Q981">
        <f t="shared" si="78"/>
        <v>15</v>
      </c>
      <c r="S981" t="str">
        <f t="shared" si="79"/>
        <v>Mentally Strained</v>
      </c>
    </row>
    <row r="982" spans="1:19" x14ac:dyDescent="0.25">
      <c r="A982">
        <v>19</v>
      </c>
      <c r="B982" t="str">
        <f t="shared" si="75"/>
        <v>Old Teenager</v>
      </c>
      <c r="C982" t="s">
        <v>16</v>
      </c>
      <c r="D982">
        <v>7.1</v>
      </c>
      <c r="E982" t="s">
        <v>20</v>
      </c>
      <c r="F982">
        <v>8.4</v>
      </c>
      <c r="G982">
        <v>1.8</v>
      </c>
      <c r="H982">
        <f t="shared" si="76"/>
        <v>8.9</v>
      </c>
      <c r="I982">
        <v>2.93</v>
      </c>
      <c r="J982" t="str">
        <f t="shared" si="77"/>
        <v>Second class lower</v>
      </c>
      <c r="K982">
        <v>1.3</v>
      </c>
      <c r="L982" t="s">
        <v>22</v>
      </c>
      <c r="M982">
        <v>1</v>
      </c>
      <c r="N982">
        <v>6</v>
      </c>
      <c r="O982">
        <v>8</v>
      </c>
      <c r="P982">
        <v>0</v>
      </c>
      <c r="Q982">
        <f t="shared" si="78"/>
        <v>15</v>
      </c>
      <c r="S982" t="str">
        <f t="shared" si="79"/>
        <v>Mentally Strained</v>
      </c>
    </row>
    <row r="983" spans="1:19" x14ac:dyDescent="0.25">
      <c r="A983">
        <v>16</v>
      </c>
      <c r="B983" t="str">
        <f t="shared" si="75"/>
        <v>Old Teenager</v>
      </c>
      <c r="C983" t="s">
        <v>16</v>
      </c>
      <c r="D983">
        <v>3.9</v>
      </c>
      <c r="E983" t="s">
        <v>20</v>
      </c>
      <c r="F983">
        <v>7.5</v>
      </c>
      <c r="G983">
        <v>2.1</v>
      </c>
      <c r="H983">
        <f t="shared" si="76"/>
        <v>6</v>
      </c>
      <c r="I983">
        <v>3.24</v>
      </c>
      <c r="J983" t="str">
        <f t="shared" si="77"/>
        <v>Second class upper</v>
      </c>
      <c r="K983">
        <v>0.9</v>
      </c>
      <c r="L983" t="s">
        <v>18</v>
      </c>
      <c r="M983">
        <v>4</v>
      </c>
      <c r="N983">
        <v>3</v>
      </c>
      <c r="O983">
        <v>2</v>
      </c>
      <c r="P983">
        <v>0</v>
      </c>
      <c r="Q983">
        <f t="shared" si="78"/>
        <v>9</v>
      </c>
      <c r="S983" t="str">
        <f t="shared" si="79"/>
        <v>Mentally Sound</v>
      </c>
    </row>
    <row r="984" spans="1:19" x14ac:dyDescent="0.25">
      <c r="A984">
        <v>19</v>
      </c>
      <c r="B984" t="str">
        <f t="shared" si="75"/>
        <v>Old Teenager</v>
      </c>
      <c r="C984" t="s">
        <v>19</v>
      </c>
      <c r="D984">
        <v>7.5</v>
      </c>
      <c r="E984" t="s">
        <v>20</v>
      </c>
      <c r="F984">
        <v>8.6</v>
      </c>
      <c r="G984">
        <v>0.9</v>
      </c>
      <c r="H984">
        <f t="shared" si="76"/>
        <v>8.4</v>
      </c>
      <c r="I984">
        <v>2.25</v>
      </c>
      <c r="J984" t="str">
        <f t="shared" si="77"/>
        <v>third class</v>
      </c>
      <c r="K984">
        <v>1.6</v>
      </c>
      <c r="L984" t="s">
        <v>21</v>
      </c>
      <c r="M984">
        <v>9</v>
      </c>
      <c r="N984">
        <v>8</v>
      </c>
      <c r="O984">
        <v>4</v>
      </c>
      <c r="P984">
        <v>0</v>
      </c>
      <c r="Q984">
        <f t="shared" si="78"/>
        <v>21</v>
      </c>
      <c r="S984" t="str">
        <f t="shared" si="79"/>
        <v>Mentally Unstable</v>
      </c>
    </row>
    <row r="985" spans="1:19" x14ac:dyDescent="0.25">
      <c r="A985">
        <v>18</v>
      </c>
      <c r="B985" t="str">
        <f t="shared" si="75"/>
        <v>Old Teenager</v>
      </c>
      <c r="C985" t="s">
        <v>16</v>
      </c>
      <c r="D985">
        <v>5.8</v>
      </c>
      <c r="E985" t="s">
        <v>20</v>
      </c>
      <c r="F985">
        <v>7.5</v>
      </c>
      <c r="G985">
        <v>2.2000000000000002</v>
      </c>
      <c r="H985">
        <f t="shared" si="76"/>
        <v>8</v>
      </c>
      <c r="I985">
        <v>3.65</v>
      </c>
      <c r="J985" t="str">
        <f t="shared" si="77"/>
        <v>first class</v>
      </c>
      <c r="K985">
        <v>1.4</v>
      </c>
      <c r="L985" t="s">
        <v>22</v>
      </c>
      <c r="M985">
        <v>4</v>
      </c>
      <c r="N985">
        <v>4</v>
      </c>
      <c r="O985">
        <v>8</v>
      </c>
      <c r="P985">
        <v>0</v>
      </c>
      <c r="Q985">
        <f t="shared" si="78"/>
        <v>16</v>
      </c>
      <c r="S985" t="str">
        <f t="shared" si="79"/>
        <v>Mentally Strained</v>
      </c>
    </row>
    <row r="986" spans="1:19" x14ac:dyDescent="0.25">
      <c r="A986">
        <v>17</v>
      </c>
      <c r="B986" t="str">
        <f t="shared" si="75"/>
        <v>Old Teenager</v>
      </c>
      <c r="C986" t="s">
        <v>19</v>
      </c>
      <c r="D986">
        <v>7.6</v>
      </c>
      <c r="E986" t="s">
        <v>17</v>
      </c>
      <c r="F986">
        <v>7.3</v>
      </c>
      <c r="G986">
        <v>2.9</v>
      </c>
      <c r="H986">
        <f t="shared" si="76"/>
        <v>10.5</v>
      </c>
      <c r="I986">
        <v>2.99</v>
      </c>
      <c r="J986" t="str">
        <f t="shared" si="77"/>
        <v>Second class lower</v>
      </c>
      <c r="K986">
        <v>1.2</v>
      </c>
      <c r="L986" t="s">
        <v>21</v>
      </c>
      <c r="M986">
        <v>4</v>
      </c>
      <c r="N986">
        <v>8</v>
      </c>
      <c r="O986">
        <v>10</v>
      </c>
      <c r="P986">
        <v>0</v>
      </c>
      <c r="Q986">
        <f t="shared" si="78"/>
        <v>22</v>
      </c>
      <c r="S986" t="str">
        <f t="shared" si="79"/>
        <v>Mentally Unstable</v>
      </c>
    </row>
    <row r="987" spans="1:19" x14ac:dyDescent="0.25">
      <c r="A987">
        <v>19</v>
      </c>
      <c r="B987" t="str">
        <f t="shared" si="75"/>
        <v>Old Teenager</v>
      </c>
      <c r="C987" t="s">
        <v>19</v>
      </c>
      <c r="D987">
        <v>4.4000000000000004</v>
      </c>
      <c r="E987" t="s">
        <v>17</v>
      </c>
      <c r="F987">
        <v>7.4</v>
      </c>
      <c r="G987">
        <v>2.8</v>
      </c>
      <c r="H987">
        <f t="shared" si="76"/>
        <v>7.2</v>
      </c>
      <c r="I987">
        <v>3.28</v>
      </c>
      <c r="J987" t="str">
        <f t="shared" si="77"/>
        <v>Second class upper</v>
      </c>
      <c r="K987">
        <v>1.5</v>
      </c>
      <c r="L987" t="s">
        <v>22</v>
      </c>
      <c r="M987">
        <v>7</v>
      </c>
      <c r="N987">
        <v>5</v>
      </c>
      <c r="O987">
        <v>4</v>
      </c>
      <c r="P987">
        <v>0</v>
      </c>
      <c r="Q987">
        <f t="shared" si="78"/>
        <v>16</v>
      </c>
      <c r="S987" t="str">
        <f t="shared" si="79"/>
        <v>Mentally Strained</v>
      </c>
    </row>
    <row r="988" spans="1:19" x14ac:dyDescent="0.25">
      <c r="A988">
        <v>19</v>
      </c>
      <c r="B988" t="str">
        <f t="shared" si="75"/>
        <v>Old Teenager</v>
      </c>
      <c r="C988" t="s">
        <v>16</v>
      </c>
      <c r="D988">
        <v>4.5999999999999996</v>
      </c>
      <c r="E988" t="s">
        <v>23</v>
      </c>
      <c r="F988">
        <v>4.5999999999999996</v>
      </c>
      <c r="G988">
        <v>2.5</v>
      </c>
      <c r="H988">
        <f t="shared" si="76"/>
        <v>7.1</v>
      </c>
      <c r="I988">
        <v>2.4</v>
      </c>
      <c r="J988" t="str">
        <f t="shared" si="77"/>
        <v>third class</v>
      </c>
      <c r="K988">
        <v>1</v>
      </c>
      <c r="L988" t="s">
        <v>21</v>
      </c>
      <c r="M988">
        <v>10</v>
      </c>
      <c r="N988">
        <v>10</v>
      </c>
      <c r="O988">
        <v>8</v>
      </c>
      <c r="P988">
        <v>0</v>
      </c>
      <c r="Q988">
        <f t="shared" si="78"/>
        <v>28</v>
      </c>
      <c r="S988" t="str">
        <f t="shared" si="79"/>
        <v>Mentally Unstable</v>
      </c>
    </row>
    <row r="989" spans="1:19" x14ac:dyDescent="0.25">
      <c r="A989">
        <v>18</v>
      </c>
      <c r="B989" t="str">
        <f t="shared" si="75"/>
        <v>Old Teenager</v>
      </c>
      <c r="C989" t="s">
        <v>19</v>
      </c>
      <c r="D989">
        <v>7</v>
      </c>
      <c r="E989" t="s">
        <v>23</v>
      </c>
      <c r="F989">
        <v>8.9</v>
      </c>
      <c r="G989">
        <v>0.7</v>
      </c>
      <c r="H989">
        <f t="shared" si="76"/>
        <v>7.7</v>
      </c>
      <c r="I989">
        <v>2.79</v>
      </c>
      <c r="J989" t="str">
        <f t="shared" si="77"/>
        <v>Second class lower</v>
      </c>
      <c r="K989">
        <v>0.4</v>
      </c>
      <c r="L989" t="s">
        <v>22</v>
      </c>
      <c r="M989">
        <v>2</v>
      </c>
      <c r="N989">
        <v>10</v>
      </c>
      <c r="O989">
        <v>8</v>
      </c>
      <c r="P989">
        <v>0</v>
      </c>
      <c r="Q989">
        <f t="shared" si="78"/>
        <v>20</v>
      </c>
      <c r="S989" t="str">
        <f t="shared" si="79"/>
        <v>Mentally Unstable</v>
      </c>
    </row>
    <row r="990" spans="1:19" x14ac:dyDescent="0.25">
      <c r="A990">
        <v>16</v>
      </c>
      <c r="B990" t="str">
        <f t="shared" si="75"/>
        <v>Old Teenager</v>
      </c>
      <c r="C990" t="s">
        <v>19</v>
      </c>
      <c r="D990">
        <v>3.6</v>
      </c>
      <c r="E990" t="s">
        <v>20</v>
      </c>
      <c r="F990">
        <v>8.8000000000000007</v>
      </c>
      <c r="G990">
        <v>1.2</v>
      </c>
      <c r="H990">
        <f t="shared" si="76"/>
        <v>4.8</v>
      </c>
      <c r="I990">
        <v>2.3199999999999998</v>
      </c>
      <c r="J990" t="str">
        <f t="shared" si="77"/>
        <v>third class</v>
      </c>
      <c r="K990">
        <v>0.5</v>
      </c>
      <c r="L990" t="s">
        <v>18</v>
      </c>
      <c r="M990">
        <v>2</v>
      </c>
      <c r="N990">
        <v>4</v>
      </c>
      <c r="O990">
        <v>5</v>
      </c>
      <c r="P990">
        <v>0</v>
      </c>
      <c r="Q990">
        <f t="shared" si="78"/>
        <v>11</v>
      </c>
      <c r="S990" t="str">
        <f t="shared" si="79"/>
        <v>Mentally Strained</v>
      </c>
    </row>
    <row r="991" spans="1:19" x14ac:dyDescent="0.25">
      <c r="A991">
        <v>15</v>
      </c>
      <c r="B991" t="str">
        <f t="shared" si="75"/>
        <v>Young Teenager</v>
      </c>
      <c r="C991" t="s">
        <v>19</v>
      </c>
      <c r="D991">
        <v>3</v>
      </c>
      <c r="E991" t="s">
        <v>20</v>
      </c>
      <c r="F991">
        <v>6.6</v>
      </c>
      <c r="G991">
        <v>0.9</v>
      </c>
      <c r="H991">
        <f t="shared" si="76"/>
        <v>3.9</v>
      </c>
      <c r="I991">
        <v>2.69</v>
      </c>
      <c r="J991" t="str">
        <f t="shared" si="77"/>
        <v>Second class lower</v>
      </c>
      <c r="K991">
        <v>1.8</v>
      </c>
      <c r="L991" t="s">
        <v>22</v>
      </c>
      <c r="M991">
        <v>1</v>
      </c>
      <c r="N991">
        <v>2</v>
      </c>
      <c r="O991">
        <v>2</v>
      </c>
      <c r="P991">
        <v>0</v>
      </c>
      <c r="Q991">
        <f t="shared" si="78"/>
        <v>5</v>
      </c>
      <c r="S991" t="str">
        <f t="shared" si="79"/>
        <v>Mentally Sound</v>
      </c>
    </row>
    <row r="992" spans="1:19" x14ac:dyDescent="0.25">
      <c r="A992">
        <v>19</v>
      </c>
      <c r="B992" t="str">
        <f t="shared" si="75"/>
        <v>Old Teenager</v>
      </c>
      <c r="C992" t="s">
        <v>19</v>
      </c>
      <c r="D992">
        <v>7.2</v>
      </c>
      <c r="E992" t="s">
        <v>17</v>
      </c>
      <c r="F992">
        <v>6.4</v>
      </c>
      <c r="G992">
        <v>2.9</v>
      </c>
      <c r="H992">
        <f t="shared" si="76"/>
        <v>10.1</v>
      </c>
      <c r="I992">
        <v>3.82</v>
      </c>
      <c r="J992" t="str">
        <f t="shared" si="77"/>
        <v>first class</v>
      </c>
      <c r="K992">
        <v>1</v>
      </c>
      <c r="L992" t="s">
        <v>22</v>
      </c>
      <c r="M992">
        <v>5</v>
      </c>
      <c r="N992">
        <v>4</v>
      </c>
      <c r="O992">
        <v>5</v>
      </c>
      <c r="P992">
        <v>0</v>
      </c>
      <c r="Q992">
        <f t="shared" si="78"/>
        <v>14</v>
      </c>
      <c r="S992" t="str">
        <f t="shared" si="79"/>
        <v>Mentally Strained</v>
      </c>
    </row>
    <row r="993" spans="1:19" x14ac:dyDescent="0.25">
      <c r="A993">
        <v>15</v>
      </c>
      <c r="B993" t="str">
        <f t="shared" si="75"/>
        <v>Young Teenager</v>
      </c>
      <c r="C993" t="s">
        <v>19</v>
      </c>
      <c r="D993">
        <v>5.6</v>
      </c>
      <c r="E993" t="s">
        <v>23</v>
      </c>
      <c r="F993">
        <v>5.9</v>
      </c>
      <c r="G993">
        <v>2</v>
      </c>
      <c r="H993">
        <f t="shared" si="76"/>
        <v>7.6</v>
      </c>
      <c r="I993">
        <v>2.97</v>
      </c>
      <c r="J993" t="str">
        <f t="shared" si="77"/>
        <v>Second class lower</v>
      </c>
      <c r="K993">
        <v>0.6</v>
      </c>
      <c r="L993" t="s">
        <v>18</v>
      </c>
      <c r="M993">
        <v>9</v>
      </c>
      <c r="N993">
        <v>3</v>
      </c>
      <c r="O993">
        <v>3</v>
      </c>
      <c r="P993">
        <v>0</v>
      </c>
      <c r="Q993">
        <f t="shared" si="78"/>
        <v>15</v>
      </c>
      <c r="S993" t="str">
        <f t="shared" si="79"/>
        <v>Mentally Strained</v>
      </c>
    </row>
    <row r="994" spans="1:19" x14ac:dyDescent="0.25">
      <c r="A994">
        <v>14</v>
      </c>
      <c r="B994" t="str">
        <f t="shared" si="75"/>
        <v>Young Teenager</v>
      </c>
      <c r="C994" t="s">
        <v>19</v>
      </c>
      <c r="D994">
        <v>2</v>
      </c>
      <c r="E994" t="s">
        <v>17</v>
      </c>
      <c r="F994">
        <v>4.7</v>
      </c>
      <c r="G994">
        <v>1.1000000000000001</v>
      </c>
      <c r="H994">
        <f t="shared" si="76"/>
        <v>3.1</v>
      </c>
      <c r="I994">
        <v>2.5099999999999998</v>
      </c>
      <c r="J994" t="str">
        <f t="shared" si="77"/>
        <v>Second class lower</v>
      </c>
      <c r="K994">
        <v>0</v>
      </c>
      <c r="L994" t="s">
        <v>21</v>
      </c>
      <c r="M994">
        <v>2</v>
      </c>
      <c r="N994">
        <v>9</v>
      </c>
      <c r="O994">
        <v>4</v>
      </c>
      <c r="P994">
        <v>0</v>
      </c>
      <c r="Q994">
        <f t="shared" si="78"/>
        <v>15</v>
      </c>
      <c r="S994" t="str">
        <f t="shared" si="79"/>
        <v>Mentally Strained</v>
      </c>
    </row>
    <row r="995" spans="1:19" x14ac:dyDescent="0.25">
      <c r="A995">
        <v>14</v>
      </c>
      <c r="B995" t="str">
        <f t="shared" si="75"/>
        <v>Young Teenager</v>
      </c>
      <c r="C995" t="s">
        <v>19</v>
      </c>
      <c r="D995">
        <v>4.4000000000000004</v>
      </c>
      <c r="E995" t="s">
        <v>20</v>
      </c>
      <c r="F995">
        <v>5.0999999999999996</v>
      </c>
      <c r="G995">
        <v>2.8</v>
      </c>
      <c r="H995">
        <f t="shared" si="76"/>
        <v>7.2</v>
      </c>
      <c r="I995">
        <v>2.2200000000000002</v>
      </c>
      <c r="J995" t="str">
        <f t="shared" si="77"/>
        <v>third class</v>
      </c>
      <c r="K995">
        <v>0.5</v>
      </c>
      <c r="L995" t="s">
        <v>21</v>
      </c>
      <c r="M995">
        <v>5</v>
      </c>
      <c r="N995">
        <v>4</v>
      </c>
      <c r="O995">
        <v>1</v>
      </c>
      <c r="P995">
        <v>0</v>
      </c>
      <c r="Q995">
        <f t="shared" si="78"/>
        <v>10</v>
      </c>
      <c r="S995" t="str">
        <f t="shared" si="79"/>
        <v>Mentally Strained</v>
      </c>
    </row>
    <row r="996" spans="1:19" x14ac:dyDescent="0.25">
      <c r="A996">
        <v>13</v>
      </c>
      <c r="B996" t="str">
        <f t="shared" si="75"/>
        <v>Young Teenager</v>
      </c>
      <c r="C996" t="s">
        <v>16</v>
      </c>
      <c r="D996">
        <v>3.5</v>
      </c>
      <c r="E996" t="s">
        <v>20</v>
      </c>
      <c r="F996">
        <v>5.8</v>
      </c>
      <c r="G996">
        <v>1.2</v>
      </c>
      <c r="H996">
        <f t="shared" si="76"/>
        <v>4.7</v>
      </c>
      <c r="I996">
        <v>2.44</v>
      </c>
      <c r="J996" t="str">
        <f t="shared" si="77"/>
        <v>third class</v>
      </c>
      <c r="K996">
        <v>1.5</v>
      </c>
      <c r="L996" t="s">
        <v>22</v>
      </c>
      <c r="M996">
        <v>4</v>
      </c>
      <c r="N996">
        <v>1</v>
      </c>
      <c r="O996">
        <v>8</v>
      </c>
      <c r="P996">
        <v>0</v>
      </c>
      <c r="Q996">
        <f t="shared" si="78"/>
        <v>13</v>
      </c>
      <c r="S996" t="str">
        <f t="shared" si="79"/>
        <v>Mentally Strained</v>
      </c>
    </row>
    <row r="997" spans="1:19" x14ac:dyDescent="0.25">
      <c r="A997">
        <v>13</v>
      </c>
      <c r="B997" t="str">
        <f t="shared" si="75"/>
        <v>Young Teenager</v>
      </c>
      <c r="C997" t="s">
        <v>16</v>
      </c>
      <c r="D997">
        <v>6.5</v>
      </c>
      <c r="E997" t="s">
        <v>17</v>
      </c>
      <c r="F997">
        <v>6.5</v>
      </c>
      <c r="G997">
        <v>1.5</v>
      </c>
      <c r="H997">
        <f t="shared" si="76"/>
        <v>8</v>
      </c>
      <c r="I997">
        <v>2.0499999999999998</v>
      </c>
      <c r="J997" t="str">
        <f t="shared" si="77"/>
        <v>third class</v>
      </c>
      <c r="K997">
        <v>0.5</v>
      </c>
      <c r="L997" t="s">
        <v>18</v>
      </c>
      <c r="M997">
        <v>3</v>
      </c>
      <c r="N997">
        <v>9</v>
      </c>
      <c r="O997">
        <v>4</v>
      </c>
      <c r="P997">
        <v>0</v>
      </c>
      <c r="Q997">
        <f t="shared" si="78"/>
        <v>16</v>
      </c>
      <c r="S997" t="str">
        <f t="shared" si="79"/>
        <v>Mentally Strained</v>
      </c>
    </row>
    <row r="998" spans="1:19" x14ac:dyDescent="0.25">
      <c r="A998">
        <v>14</v>
      </c>
      <c r="B998" t="str">
        <f t="shared" si="75"/>
        <v>Young Teenager</v>
      </c>
      <c r="C998" t="s">
        <v>16</v>
      </c>
      <c r="D998">
        <v>4.4000000000000004</v>
      </c>
      <c r="E998" t="s">
        <v>17</v>
      </c>
      <c r="F998">
        <v>8.8000000000000007</v>
      </c>
      <c r="G998">
        <v>2.2999999999999998</v>
      </c>
      <c r="H998">
        <f t="shared" si="76"/>
        <v>6.7</v>
      </c>
      <c r="I998">
        <v>2.73</v>
      </c>
      <c r="J998" t="str">
        <f t="shared" si="77"/>
        <v>Second class lower</v>
      </c>
      <c r="K998">
        <v>0.3</v>
      </c>
      <c r="L998" t="s">
        <v>22</v>
      </c>
      <c r="M998">
        <v>9</v>
      </c>
      <c r="N998">
        <v>2</v>
      </c>
      <c r="O998">
        <v>2</v>
      </c>
      <c r="P998">
        <v>0</v>
      </c>
      <c r="Q998">
        <f t="shared" si="78"/>
        <v>13</v>
      </c>
      <c r="S998" t="str">
        <f t="shared" si="79"/>
        <v>Mentally Strained</v>
      </c>
    </row>
    <row r="999" spans="1:19" x14ac:dyDescent="0.25">
      <c r="A999">
        <v>17</v>
      </c>
      <c r="B999" t="str">
        <f t="shared" si="75"/>
        <v>Old Teenager</v>
      </c>
      <c r="C999" t="s">
        <v>19</v>
      </c>
      <c r="D999">
        <v>3.1</v>
      </c>
      <c r="E999" t="s">
        <v>20</v>
      </c>
      <c r="F999">
        <v>4.2</v>
      </c>
      <c r="G999">
        <v>0.8</v>
      </c>
      <c r="H999">
        <f t="shared" si="76"/>
        <v>3.9000000000000004</v>
      </c>
      <c r="I999">
        <v>2.2799999999999998</v>
      </c>
      <c r="J999" t="str">
        <f t="shared" si="77"/>
        <v>third class</v>
      </c>
      <c r="K999">
        <v>1.6</v>
      </c>
      <c r="L999" t="s">
        <v>22</v>
      </c>
      <c r="M999">
        <v>4</v>
      </c>
      <c r="N999">
        <v>9</v>
      </c>
      <c r="O999">
        <v>6</v>
      </c>
      <c r="P999">
        <v>0</v>
      </c>
      <c r="Q999">
        <f t="shared" si="78"/>
        <v>19</v>
      </c>
      <c r="S999" t="str">
        <f t="shared" si="79"/>
        <v>Mentally Strained</v>
      </c>
    </row>
    <row r="1000" spans="1:19" x14ac:dyDescent="0.25">
      <c r="A1000">
        <v>15</v>
      </c>
      <c r="B1000" t="str">
        <f t="shared" si="75"/>
        <v>Young Teenager</v>
      </c>
      <c r="C1000" t="s">
        <v>16</v>
      </c>
      <c r="D1000">
        <v>7.8</v>
      </c>
      <c r="E1000" t="s">
        <v>23</v>
      </c>
      <c r="F1000">
        <v>4.2</v>
      </c>
      <c r="G1000">
        <v>2.1</v>
      </c>
      <c r="H1000">
        <f t="shared" si="76"/>
        <v>9.9</v>
      </c>
      <c r="I1000">
        <v>3.42</v>
      </c>
      <c r="J1000" t="str">
        <f t="shared" si="77"/>
        <v>Second class upper</v>
      </c>
      <c r="K1000">
        <v>0</v>
      </c>
      <c r="L1000" t="s">
        <v>18</v>
      </c>
      <c r="M1000">
        <v>10</v>
      </c>
      <c r="N1000">
        <v>7</v>
      </c>
      <c r="O1000">
        <v>9</v>
      </c>
      <c r="P1000">
        <v>1</v>
      </c>
      <c r="Q1000">
        <f t="shared" si="78"/>
        <v>27</v>
      </c>
      <c r="S1000" t="str">
        <f t="shared" si="79"/>
        <v>Mentally Unstable</v>
      </c>
    </row>
    <row r="1001" spans="1:19" x14ac:dyDescent="0.25">
      <c r="A1001">
        <v>19</v>
      </c>
      <c r="B1001" t="str">
        <f t="shared" si="75"/>
        <v>Old Teenager</v>
      </c>
      <c r="C1001" t="s">
        <v>19</v>
      </c>
      <c r="D1001">
        <v>2.1</v>
      </c>
      <c r="E1001" t="s">
        <v>23</v>
      </c>
      <c r="F1001">
        <v>4.4000000000000004</v>
      </c>
      <c r="G1001">
        <v>2.2000000000000002</v>
      </c>
      <c r="H1001">
        <f t="shared" si="76"/>
        <v>4.3000000000000007</v>
      </c>
      <c r="I1001">
        <v>2.4700000000000002</v>
      </c>
      <c r="J1001" t="str">
        <f t="shared" si="77"/>
        <v>third class</v>
      </c>
      <c r="K1001">
        <v>0.7</v>
      </c>
      <c r="L1001" t="s">
        <v>21</v>
      </c>
      <c r="M1001">
        <v>9</v>
      </c>
      <c r="N1001">
        <v>5</v>
      </c>
      <c r="O1001">
        <v>6</v>
      </c>
      <c r="P1001">
        <v>0</v>
      </c>
      <c r="Q1001">
        <f t="shared" si="78"/>
        <v>20</v>
      </c>
      <c r="S1001" t="str">
        <f t="shared" si="79"/>
        <v>Mentally Unstable</v>
      </c>
    </row>
    <row r="1002" spans="1:19" x14ac:dyDescent="0.25">
      <c r="A1002">
        <v>14</v>
      </c>
      <c r="B1002" t="str">
        <f t="shared" si="75"/>
        <v>Young Teenager</v>
      </c>
      <c r="C1002" t="s">
        <v>19</v>
      </c>
      <c r="D1002">
        <v>5.5</v>
      </c>
      <c r="E1002" t="s">
        <v>23</v>
      </c>
      <c r="F1002">
        <v>5.7</v>
      </c>
      <c r="G1002">
        <v>2.2999999999999998</v>
      </c>
      <c r="H1002">
        <f t="shared" si="76"/>
        <v>7.8</v>
      </c>
      <c r="I1002">
        <v>3.05</v>
      </c>
      <c r="J1002" t="str">
        <f t="shared" si="77"/>
        <v>Second class upper</v>
      </c>
      <c r="K1002">
        <v>1.3</v>
      </c>
      <c r="L1002" t="s">
        <v>22</v>
      </c>
      <c r="M1002">
        <v>7</v>
      </c>
      <c r="N1002">
        <v>8</v>
      </c>
      <c r="O1002">
        <v>5</v>
      </c>
      <c r="P1002">
        <v>1</v>
      </c>
      <c r="Q1002">
        <f t="shared" si="78"/>
        <v>21</v>
      </c>
      <c r="S1002" t="str">
        <f t="shared" si="79"/>
        <v>Mentally Unstable</v>
      </c>
    </row>
    <row r="1003" spans="1:19" x14ac:dyDescent="0.25">
      <c r="A1003">
        <v>15</v>
      </c>
      <c r="B1003" t="str">
        <f t="shared" si="75"/>
        <v>Young Teenager</v>
      </c>
      <c r="C1003" t="s">
        <v>19</v>
      </c>
      <c r="D1003">
        <v>5.7</v>
      </c>
      <c r="E1003" t="s">
        <v>17</v>
      </c>
      <c r="F1003">
        <v>7.2</v>
      </c>
      <c r="G1003">
        <v>2.4</v>
      </c>
      <c r="H1003">
        <f t="shared" si="76"/>
        <v>8.1</v>
      </c>
      <c r="I1003">
        <v>2.1800000000000002</v>
      </c>
      <c r="J1003" t="str">
        <f t="shared" si="77"/>
        <v>third class</v>
      </c>
      <c r="K1003">
        <v>1.6</v>
      </c>
      <c r="L1003" t="s">
        <v>22</v>
      </c>
      <c r="M1003">
        <v>5</v>
      </c>
      <c r="N1003">
        <v>1</v>
      </c>
      <c r="O1003">
        <v>7</v>
      </c>
      <c r="P1003">
        <v>0</v>
      </c>
      <c r="Q1003">
        <f t="shared" si="78"/>
        <v>13</v>
      </c>
      <c r="S1003" t="str">
        <f t="shared" si="79"/>
        <v>Mentally Strained</v>
      </c>
    </row>
    <row r="1004" spans="1:19" x14ac:dyDescent="0.25">
      <c r="A1004">
        <v>15</v>
      </c>
      <c r="B1004" t="str">
        <f t="shared" si="75"/>
        <v>Young Teenager</v>
      </c>
      <c r="C1004" t="s">
        <v>19</v>
      </c>
      <c r="D1004">
        <v>5</v>
      </c>
      <c r="E1004" t="s">
        <v>20</v>
      </c>
      <c r="F1004">
        <v>6.3</v>
      </c>
      <c r="G1004">
        <v>1.5</v>
      </c>
      <c r="H1004">
        <f t="shared" si="76"/>
        <v>6.5</v>
      </c>
      <c r="I1004">
        <v>2.67</v>
      </c>
      <c r="J1004" t="str">
        <f t="shared" si="77"/>
        <v>Second class lower</v>
      </c>
      <c r="K1004">
        <v>1.1000000000000001</v>
      </c>
      <c r="L1004" t="s">
        <v>21</v>
      </c>
      <c r="M1004">
        <v>6</v>
      </c>
      <c r="N1004">
        <v>2</v>
      </c>
      <c r="O1004">
        <v>5</v>
      </c>
      <c r="P1004">
        <v>0</v>
      </c>
      <c r="Q1004">
        <f t="shared" si="78"/>
        <v>13</v>
      </c>
      <c r="S1004" t="str">
        <f t="shared" si="79"/>
        <v>Mentally Strained</v>
      </c>
    </row>
    <row r="1005" spans="1:19" x14ac:dyDescent="0.25">
      <c r="A1005">
        <v>16</v>
      </c>
      <c r="B1005" t="str">
        <f t="shared" si="75"/>
        <v>Old Teenager</v>
      </c>
      <c r="C1005" t="s">
        <v>19</v>
      </c>
      <c r="D1005">
        <v>7.5</v>
      </c>
      <c r="E1005" t="s">
        <v>23</v>
      </c>
      <c r="F1005">
        <v>4</v>
      </c>
      <c r="G1005">
        <v>0.5</v>
      </c>
      <c r="H1005">
        <f t="shared" si="76"/>
        <v>8</v>
      </c>
      <c r="I1005">
        <v>3.72</v>
      </c>
      <c r="J1005" t="str">
        <f t="shared" si="77"/>
        <v>first class</v>
      </c>
      <c r="K1005">
        <v>1.1000000000000001</v>
      </c>
      <c r="L1005" t="s">
        <v>22</v>
      </c>
      <c r="M1005">
        <v>4</v>
      </c>
      <c r="N1005">
        <v>5</v>
      </c>
      <c r="O1005">
        <v>7</v>
      </c>
      <c r="P1005">
        <v>0</v>
      </c>
      <c r="Q1005">
        <f t="shared" si="78"/>
        <v>16</v>
      </c>
      <c r="S1005" t="str">
        <f t="shared" si="79"/>
        <v>Mentally Strained</v>
      </c>
    </row>
    <row r="1006" spans="1:19" x14ac:dyDescent="0.25">
      <c r="A1006">
        <v>17</v>
      </c>
      <c r="B1006" t="str">
        <f t="shared" si="75"/>
        <v>Old Teenager</v>
      </c>
      <c r="C1006" t="s">
        <v>16</v>
      </c>
      <c r="D1006">
        <v>2.2000000000000002</v>
      </c>
      <c r="E1006" t="s">
        <v>20</v>
      </c>
      <c r="F1006">
        <v>7.1</v>
      </c>
      <c r="G1006">
        <v>1.1000000000000001</v>
      </c>
      <c r="H1006">
        <f t="shared" si="76"/>
        <v>3.3000000000000003</v>
      </c>
      <c r="I1006">
        <v>2.5</v>
      </c>
      <c r="J1006" t="str">
        <f t="shared" si="77"/>
        <v>Second class lower</v>
      </c>
      <c r="K1006">
        <v>1.5</v>
      </c>
      <c r="L1006" t="s">
        <v>18</v>
      </c>
      <c r="M1006">
        <v>2</v>
      </c>
      <c r="N1006">
        <v>1</v>
      </c>
      <c r="O1006">
        <v>2</v>
      </c>
      <c r="P1006">
        <v>0</v>
      </c>
      <c r="Q1006">
        <f t="shared" si="78"/>
        <v>5</v>
      </c>
      <c r="S1006" t="str">
        <f t="shared" si="79"/>
        <v>Mentally Sound</v>
      </c>
    </row>
    <row r="1007" spans="1:19" x14ac:dyDescent="0.25">
      <c r="A1007">
        <v>15</v>
      </c>
      <c r="B1007" t="str">
        <f t="shared" si="75"/>
        <v>Young Teenager</v>
      </c>
      <c r="C1007" t="s">
        <v>19</v>
      </c>
      <c r="D1007">
        <v>7.3</v>
      </c>
      <c r="E1007" t="s">
        <v>17</v>
      </c>
      <c r="F1007">
        <v>4.0999999999999996</v>
      </c>
      <c r="G1007">
        <v>2.1</v>
      </c>
      <c r="H1007">
        <f t="shared" si="76"/>
        <v>9.4</v>
      </c>
      <c r="I1007">
        <v>2.87</v>
      </c>
      <c r="J1007" t="str">
        <f t="shared" si="77"/>
        <v>Second class lower</v>
      </c>
      <c r="K1007">
        <v>0.4</v>
      </c>
      <c r="L1007" t="s">
        <v>18</v>
      </c>
      <c r="M1007">
        <v>10</v>
      </c>
      <c r="N1007">
        <v>10</v>
      </c>
      <c r="O1007">
        <v>1</v>
      </c>
      <c r="P1007">
        <v>1</v>
      </c>
      <c r="Q1007">
        <f t="shared" si="78"/>
        <v>22</v>
      </c>
      <c r="S1007" t="str">
        <f t="shared" si="79"/>
        <v>Mentally Unstable</v>
      </c>
    </row>
    <row r="1008" spans="1:19" x14ac:dyDescent="0.25">
      <c r="A1008">
        <v>17</v>
      </c>
      <c r="B1008" t="str">
        <f t="shared" si="75"/>
        <v>Old Teenager</v>
      </c>
      <c r="C1008" t="s">
        <v>16</v>
      </c>
      <c r="D1008">
        <v>2.7</v>
      </c>
      <c r="E1008" t="s">
        <v>17</v>
      </c>
      <c r="F1008">
        <v>7.5</v>
      </c>
      <c r="G1008">
        <v>1.5</v>
      </c>
      <c r="H1008">
        <f t="shared" si="76"/>
        <v>4.2</v>
      </c>
      <c r="I1008">
        <v>3.23</v>
      </c>
      <c r="J1008" t="str">
        <f t="shared" si="77"/>
        <v>Second class upper</v>
      </c>
      <c r="K1008">
        <v>1.4</v>
      </c>
      <c r="L1008" t="s">
        <v>18</v>
      </c>
      <c r="M1008">
        <v>5</v>
      </c>
      <c r="N1008">
        <v>7</v>
      </c>
      <c r="O1008">
        <v>3</v>
      </c>
      <c r="P1008">
        <v>0</v>
      </c>
      <c r="Q1008">
        <f t="shared" si="78"/>
        <v>15</v>
      </c>
      <c r="S1008" t="str">
        <f t="shared" si="79"/>
        <v>Mentally Strained</v>
      </c>
    </row>
    <row r="1009" spans="1:19" x14ac:dyDescent="0.25">
      <c r="A1009">
        <v>18</v>
      </c>
      <c r="B1009" t="str">
        <f t="shared" si="75"/>
        <v>Old Teenager</v>
      </c>
      <c r="C1009" t="s">
        <v>16</v>
      </c>
      <c r="D1009">
        <v>1.6</v>
      </c>
      <c r="E1009" t="s">
        <v>17</v>
      </c>
      <c r="F1009">
        <v>8.6</v>
      </c>
      <c r="G1009">
        <v>2.6</v>
      </c>
      <c r="H1009">
        <f t="shared" si="76"/>
        <v>4.2</v>
      </c>
      <c r="I1009">
        <v>3.53</v>
      </c>
      <c r="J1009" t="str">
        <f t="shared" si="77"/>
        <v>Second class upper</v>
      </c>
      <c r="K1009">
        <v>0.1</v>
      </c>
      <c r="L1009" t="s">
        <v>22</v>
      </c>
      <c r="M1009">
        <v>8</v>
      </c>
      <c r="N1009">
        <v>8</v>
      </c>
      <c r="O1009">
        <v>10</v>
      </c>
      <c r="P1009">
        <v>0</v>
      </c>
      <c r="Q1009">
        <f t="shared" si="78"/>
        <v>26</v>
      </c>
      <c r="S1009" t="str">
        <f t="shared" si="79"/>
        <v>Mentally Unstable</v>
      </c>
    </row>
    <row r="1010" spans="1:19" x14ac:dyDescent="0.25">
      <c r="A1010">
        <v>14</v>
      </c>
      <c r="B1010" t="str">
        <f t="shared" si="75"/>
        <v>Young Teenager</v>
      </c>
      <c r="C1010" t="s">
        <v>16</v>
      </c>
      <c r="D1010">
        <v>4</v>
      </c>
      <c r="E1010" t="s">
        <v>20</v>
      </c>
      <c r="F1010">
        <v>4.9000000000000004</v>
      </c>
      <c r="G1010">
        <v>2.7</v>
      </c>
      <c r="H1010">
        <f t="shared" si="76"/>
        <v>6.7</v>
      </c>
      <c r="I1010">
        <v>2.2999999999999998</v>
      </c>
      <c r="J1010" t="str">
        <f t="shared" si="77"/>
        <v>third class</v>
      </c>
      <c r="K1010">
        <v>0.5</v>
      </c>
      <c r="L1010" t="s">
        <v>21</v>
      </c>
      <c r="M1010">
        <v>7</v>
      </c>
      <c r="N1010">
        <v>8</v>
      </c>
      <c r="O1010">
        <v>6</v>
      </c>
      <c r="P1010">
        <v>0</v>
      </c>
      <c r="Q1010">
        <f t="shared" si="78"/>
        <v>21</v>
      </c>
      <c r="S1010" t="str">
        <f t="shared" si="79"/>
        <v>Mentally Unstable</v>
      </c>
    </row>
    <row r="1011" spans="1:19" x14ac:dyDescent="0.25">
      <c r="A1011">
        <v>18</v>
      </c>
      <c r="B1011" t="str">
        <f t="shared" si="75"/>
        <v>Old Teenager</v>
      </c>
      <c r="C1011" t="s">
        <v>19</v>
      </c>
      <c r="D1011">
        <v>6.3</v>
      </c>
      <c r="E1011" t="s">
        <v>23</v>
      </c>
      <c r="F1011">
        <v>4.7</v>
      </c>
      <c r="G1011">
        <v>2.4</v>
      </c>
      <c r="H1011">
        <f t="shared" si="76"/>
        <v>8.6999999999999993</v>
      </c>
      <c r="I1011">
        <v>2.2999999999999998</v>
      </c>
      <c r="J1011" t="str">
        <f t="shared" si="77"/>
        <v>third class</v>
      </c>
      <c r="K1011">
        <v>0.9</v>
      </c>
      <c r="L1011" t="s">
        <v>22</v>
      </c>
      <c r="M1011">
        <v>6</v>
      </c>
      <c r="N1011">
        <v>1</v>
      </c>
      <c r="O1011">
        <v>6</v>
      </c>
      <c r="P1011">
        <v>0</v>
      </c>
      <c r="Q1011">
        <f t="shared" si="78"/>
        <v>13</v>
      </c>
      <c r="S1011" t="str">
        <f t="shared" si="79"/>
        <v>Mentally Strained</v>
      </c>
    </row>
    <row r="1012" spans="1:19" x14ac:dyDescent="0.25">
      <c r="A1012">
        <v>16</v>
      </c>
      <c r="B1012" t="str">
        <f t="shared" si="75"/>
        <v>Old Teenager</v>
      </c>
      <c r="C1012" t="s">
        <v>19</v>
      </c>
      <c r="D1012">
        <v>6.8</v>
      </c>
      <c r="E1012" t="s">
        <v>20</v>
      </c>
      <c r="F1012">
        <v>7.1</v>
      </c>
      <c r="G1012">
        <v>2.9</v>
      </c>
      <c r="H1012">
        <f t="shared" si="76"/>
        <v>9.6999999999999993</v>
      </c>
      <c r="I1012">
        <v>3.26</v>
      </c>
      <c r="J1012" t="str">
        <f t="shared" si="77"/>
        <v>Second class upper</v>
      </c>
      <c r="K1012">
        <v>0.6</v>
      </c>
      <c r="L1012" t="s">
        <v>18</v>
      </c>
      <c r="M1012">
        <v>6</v>
      </c>
      <c r="N1012">
        <v>10</v>
      </c>
      <c r="O1012">
        <v>4</v>
      </c>
      <c r="P1012">
        <v>0</v>
      </c>
      <c r="Q1012">
        <f t="shared" si="78"/>
        <v>20</v>
      </c>
      <c r="S1012" t="str">
        <f t="shared" si="79"/>
        <v>Mentally Unstable</v>
      </c>
    </row>
    <row r="1013" spans="1:19" x14ac:dyDescent="0.25">
      <c r="A1013">
        <v>18</v>
      </c>
      <c r="B1013" t="str">
        <f t="shared" si="75"/>
        <v>Old Teenager</v>
      </c>
      <c r="C1013" t="s">
        <v>19</v>
      </c>
      <c r="D1013">
        <v>6.6</v>
      </c>
      <c r="E1013" t="s">
        <v>23</v>
      </c>
      <c r="F1013">
        <v>8.1</v>
      </c>
      <c r="G1013">
        <v>2</v>
      </c>
      <c r="H1013">
        <f t="shared" si="76"/>
        <v>8.6</v>
      </c>
      <c r="I1013">
        <v>3.59</v>
      </c>
      <c r="J1013" t="str">
        <f t="shared" si="77"/>
        <v>Second class upper</v>
      </c>
      <c r="K1013">
        <v>1.6</v>
      </c>
      <c r="L1013" t="s">
        <v>18</v>
      </c>
      <c r="M1013">
        <v>9</v>
      </c>
      <c r="N1013">
        <v>4</v>
      </c>
      <c r="O1013">
        <v>3</v>
      </c>
      <c r="P1013">
        <v>0</v>
      </c>
      <c r="Q1013">
        <f t="shared" si="78"/>
        <v>16</v>
      </c>
      <c r="S1013" t="str">
        <f t="shared" si="79"/>
        <v>Mentally Strained</v>
      </c>
    </row>
    <row r="1014" spans="1:19" x14ac:dyDescent="0.25">
      <c r="A1014">
        <v>13</v>
      </c>
      <c r="B1014" t="str">
        <f t="shared" si="75"/>
        <v>Young Teenager</v>
      </c>
      <c r="C1014" t="s">
        <v>16</v>
      </c>
      <c r="D1014">
        <v>4</v>
      </c>
      <c r="E1014" t="s">
        <v>17</v>
      </c>
      <c r="F1014">
        <v>4.2</v>
      </c>
      <c r="G1014">
        <v>0.9</v>
      </c>
      <c r="H1014">
        <f t="shared" si="76"/>
        <v>4.9000000000000004</v>
      </c>
      <c r="I1014">
        <v>2.75</v>
      </c>
      <c r="J1014" t="str">
        <f t="shared" si="77"/>
        <v>Second class lower</v>
      </c>
      <c r="K1014">
        <v>1</v>
      </c>
      <c r="L1014" t="s">
        <v>21</v>
      </c>
      <c r="M1014">
        <v>5</v>
      </c>
      <c r="N1014">
        <v>4</v>
      </c>
      <c r="O1014">
        <v>8</v>
      </c>
      <c r="P1014">
        <v>0</v>
      </c>
      <c r="Q1014">
        <f t="shared" si="78"/>
        <v>17</v>
      </c>
      <c r="S1014" t="str">
        <f t="shared" si="79"/>
        <v>Mentally Strained</v>
      </c>
    </row>
    <row r="1015" spans="1:19" x14ac:dyDescent="0.25">
      <c r="A1015">
        <v>13</v>
      </c>
      <c r="B1015" t="str">
        <f t="shared" si="75"/>
        <v>Young Teenager</v>
      </c>
      <c r="C1015" t="s">
        <v>16</v>
      </c>
      <c r="D1015">
        <v>1.6</v>
      </c>
      <c r="E1015" t="s">
        <v>20</v>
      </c>
      <c r="F1015">
        <v>5</v>
      </c>
      <c r="G1015">
        <v>2.7</v>
      </c>
      <c r="H1015">
        <f t="shared" si="76"/>
        <v>4.3000000000000007</v>
      </c>
      <c r="I1015">
        <v>2.31</v>
      </c>
      <c r="J1015" t="str">
        <f t="shared" si="77"/>
        <v>third class</v>
      </c>
      <c r="K1015">
        <v>1.9</v>
      </c>
      <c r="L1015" t="s">
        <v>18</v>
      </c>
      <c r="M1015">
        <v>8</v>
      </c>
      <c r="N1015">
        <v>9</v>
      </c>
      <c r="O1015">
        <v>5</v>
      </c>
      <c r="P1015">
        <v>0</v>
      </c>
      <c r="Q1015">
        <f t="shared" si="78"/>
        <v>22</v>
      </c>
      <c r="S1015" t="str">
        <f t="shared" si="79"/>
        <v>Mentally Unstable</v>
      </c>
    </row>
    <row r="1016" spans="1:19" x14ac:dyDescent="0.25">
      <c r="A1016">
        <v>18</v>
      </c>
      <c r="B1016" t="str">
        <f t="shared" si="75"/>
        <v>Old Teenager</v>
      </c>
      <c r="C1016" t="s">
        <v>16</v>
      </c>
      <c r="D1016">
        <v>5.3</v>
      </c>
      <c r="E1016" t="s">
        <v>23</v>
      </c>
      <c r="F1016">
        <v>8.1999999999999993</v>
      </c>
      <c r="G1016">
        <v>1.9</v>
      </c>
      <c r="H1016">
        <f t="shared" si="76"/>
        <v>7.1999999999999993</v>
      </c>
      <c r="I1016">
        <v>3.87</v>
      </c>
      <c r="J1016" t="str">
        <f t="shared" si="77"/>
        <v>first class</v>
      </c>
      <c r="K1016">
        <v>1.9</v>
      </c>
      <c r="L1016" t="s">
        <v>18</v>
      </c>
      <c r="M1016">
        <v>2</v>
      </c>
      <c r="N1016">
        <v>9</v>
      </c>
      <c r="O1016">
        <v>8</v>
      </c>
      <c r="P1016">
        <v>0</v>
      </c>
      <c r="Q1016">
        <f t="shared" si="78"/>
        <v>19</v>
      </c>
      <c r="S1016" t="str">
        <f t="shared" si="79"/>
        <v>Mentally Strained</v>
      </c>
    </row>
    <row r="1017" spans="1:19" x14ac:dyDescent="0.25">
      <c r="A1017">
        <v>19</v>
      </c>
      <c r="B1017" t="str">
        <f t="shared" si="75"/>
        <v>Old Teenager</v>
      </c>
      <c r="C1017" t="s">
        <v>19</v>
      </c>
      <c r="D1017">
        <v>7.4</v>
      </c>
      <c r="E1017" t="s">
        <v>23</v>
      </c>
      <c r="F1017">
        <v>4.4000000000000004</v>
      </c>
      <c r="G1017">
        <v>1.4</v>
      </c>
      <c r="H1017">
        <f t="shared" si="76"/>
        <v>8.8000000000000007</v>
      </c>
      <c r="I1017">
        <v>3.78</v>
      </c>
      <c r="J1017" t="str">
        <f t="shared" si="77"/>
        <v>first class</v>
      </c>
      <c r="K1017">
        <v>1.1000000000000001</v>
      </c>
      <c r="L1017" t="s">
        <v>18</v>
      </c>
      <c r="M1017">
        <v>9</v>
      </c>
      <c r="N1017">
        <v>7</v>
      </c>
      <c r="O1017">
        <v>5</v>
      </c>
      <c r="P1017">
        <v>1</v>
      </c>
      <c r="Q1017">
        <f t="shared" si="78"/>
        <v>22</v>
      </c>
      <c r="S1017" t="str">
        <f t="shared" si="79"/>
        <v>Mentally Unstable</v>
      </c>
    </row>
    <row r="1018" spans="1:19" x14ac:dyDescent="0.25">
      <c r="A1018">
        <v>18</v>
      </c>
      <c r="B1018" t="str">
        <f t="shared" si="75"/>
        <v>Old Teenager</v>
      </c>
      <c r="C1018" t="s">
        <v>19</v>
      </c>
      <c r="D1018">
        <v>2.2999999999999998</v>
      </c>
      <c r="E1018" t="s">
        <v>17</v>
      </c>
      <c r="F1018">
        <v>8.6999999999999993</v>
      </c>
      <c r="G1018">
        <v>0.6</v>
      </c>
      <c r="H1018">
        <f t="shared" si="76"/>
        <v>2.9</v>
      </c>
      <c r="I1018">
        <v>2.76</v>
      </c>
      <c r="J1018" t="str">
        <f t="shared" si="77"/>
        <v>Second class lower</v>
      </c>
      <c r="K1018">
        <v>1.9</v>
      </c>
      <c r="L1018" t="s">
        <v>21</v>
      </c>
      <c r="M1018">
        <v>4</v>
      </c>
      <c r="N1018">
        <v>8</v>
      </c>
      <c r="O1018">
        <v>7</v>
      </c>
      <c r="P1018">
        <v>0</v>
      </c>
      <c r="Q1018">
        <f t="shared" si="78"/>
        <v>19</v>
      </c>
      <c r="S1018" t="str">
        <f t="shared" si="79"/>
        <v>Mentally Strained</v>
      </c>
    </row>
    <row r="1019" spans="1:19" x14ac:dyDescent="0.25">
      <c r="A1019">
        <v>16</v>
      </c>
      <c r="B1019" t="str">
        <f t="shared" si="75"/>
        <v>Old Teenager</v>
      </c>
      <c r="C1019" t="s">
        <v>16</v>
      </c>
      <c r="D1019">
        <v>7.6</v>
      </c>
      <c r="E1019" t="s">
        <v>23</v>
      </c>
      <c r="F1019">
        <v>6.1</v>
      </c>
      <c r="G1019">
        <v>0.8</v>
      </c>
      <c r="H1019">
        <f t="shared" si="76"/>
        <v>8.4</v>
      </c>
      <c r="I1019">
        <v>3.09</v>
      </c>
      <c r="J1019" t="str">
        <f t="shared" si="77"/>
        <v>Second class upper</v>
      </c>
      <c r="K1019">
        <v>1.3</v>
      </c>
      <c r="L1019" t="s">
        <v>18</v>
      </c>
      <c r="M1019">
        <v>8</v>
      </c>
      <c r="N1019">
        <v>4</v>
      </c>
      <c r="O1019">
        <v>4</v>
      </c>
      <c r="P1019">
        <v>0</v>
      </c>
      <c r="Q1019">
        <f t="shared" si="78"/>
        <v>16</v>
      </c>
      <c r="S1019" t="str">
        <f t="shared" si="79"/>
        <v>Mentally Strained</v>
      </c>
    </row>
    <row r="1020" spans="1:19" x14ac:dyDescent="0.25">
      <c r="A1020">
        <v>16</v>
      </c>
      <c r="B1020" t="str">
        <f t="shared" si="75"/>
        <v>Old Teenager</v>
      </c>
      <c r="C1020" t="s">
        <v>19</v>
      </c>
      <c r="D1020">
        <v>7.6</v>
      </c>
      <c r="E1020" t="s">
        <v>20</v>
      </c>
      <c r="F1020">
        <v>7.6</v>
      </c>
      <c r="G1020">
        <v>2.4</v>
      </c>
      <c r="H1020">
        <f t="shared" si="76"/>
        <v>10</v>
      </c>
      <c r="I1020">
        <v>2.2400000000000002</v>
      </c>
      <c r="J1020" t="str">
        <f t="shared" si="77"/>
        <v>third class</v>
      </c>
      <c r="K1020">
        <v>1.1000000000000001</v>
      </c>
      <c r="L1020" t="s">
        <v>22</v>
      </c>
      <c r="M1020">
        <v>1</v>
      </c>
      <c r="N1020">
        <v>5</v>
      </c>
      <c r="O1020">
        <v>5</v>
      </c>
      <c r="P1020">
        <v>0</v>
      </c>
      <c r="Q1020">
        <f t="shared" si="78"/>
        <v>11</v>
      </c>
      <c r="S1020" t="str">
        <f t="shared" si="79"/>
        <v>Mentally Strained</v>
      </c>
    </row>
    <row r="1021" spans="1:19" x14ac:dyDescent="0.25">
      <c r="A1021">
        <v>17</v>
      </c>
      <c r="B1021" t="str">
        <f t="shared" si="75"/>
        <v>Old Teenager</v>
      </c>
      <c r="C1021" t="s">
        <v>19</v>
      </c>
      <c r="D1021">
        <v>3.4</v>
      </c>
      <c r="E1021" t="s">
        <v>23</v>
      </c>
      <c r="F1021">
        <v>4.7</v>
      </c>
      <c r="G1021">
        <v>0.5</v>
      </c>
      <c r="H1021">
        <f t="shared" si="76"/>
        <v>3.9</v>
      </c>
      <c r="I1021">
        <v>2.91</v>
      </c>
      <c r="J1021" t="str">
        <f t="shared" si="77"/>
        <v>Second class lower</v>
      </c>
      <c r="K1021">
        <v>2</v>
      </c>
      <c r="L1021" t="s">
        <v>21</v>
      </c>
      <c r="M1021">
        <v>2</v>
      </c>
      <c r="N1021">
        <v>8</v>
      </c>
      <c r="O1021">
        <v>1</v>
      </c>
      <c r="P1021">
        <v>0</v>
      </c>
      <c r="Q1021">
        <f t="shared" si="78"/>
        <v>11</v>
      </c>
      <c r="S1021" t="str">
        <f t="shared" si="79"/>
        <v>Mentally Strained</v>
      </c>
    </row>
    <row r="1022" spans="1:19" x14ac:dyDescent="0.25">
      <c r="A1022">
        <v>18</v>
      </c>
      <c r="B1022" t="str">
        <f t="shared" si="75"/>
        <v>Old Teenager</v>
      </c>
      <c r="C1022" t="s">
        <v>19</v>
      </c>
      <c r="D1022">
        <v>2.2999999999999998</v>
      </c>
      <c r="E1022" t="s">
        <v>17</v>
      </c>
      <c r="F1022">
        <v>4.2</v>
      </c>
      <c r="G1022">
        <v>0.9</v>
      </c>
      <c r="H1022">
        <f t="shared" si="76"/>
        <v>3.1999999999999997</v>
      </c>
      <c r="I1022">
        <v>3.84</v>
      </c>
      <c r="J1022" t="str">
        <f t="shared" si="77"/>
        <v>first class</v>
      </c>
      <c r="K1022">
        <v>1.3</v>
      </c>
      <c r="L1022" t="s">
        <v>21</v>
      </c>
      <c r="M1022">
        <v>6</v>
      </c>
      <c r="N1022">
        <v>6</v>
      </c>
      <c r="O1022">
        <v>10</v>
      </c>
      <c r="P1022">
        <v>0</v>
      </c>
      <c r="Q1022">
        <f t="shared" si="78"/>
        <v>22</v>
      </c>
      <c r="S1022" t="str">
        <f t="shared" si="79"/>
        <v>Mentally Unstable</v>
      </c>
    </row>
    <row r="1023" spans="1:19" x14ac:dyDescent="0.25">
      <c r="A1023">
        <v>18</v>
      </c>
      <c r="B1023" t="str">
        <f t="shared" si="75"/>
        <v>Old Teenager</v>
      </c>
      <c r="C1023" t="s">
        <v>16</v>
      </c>
      <c r="D1023">
        <v>5</v>
      </c>
      <c r="E1023" t="s">
        <v>17</v>
      </c>
      <c r="F1023">
        <v>4.3</v>
      </c>
      <c r="G1023">
        <v>1.1000000000000001</v>
      </c>
      <c r="H1023">
        <f t="shared" si="76"/>
        <v>6.1</v>
      </c>
      <c r="I1023">
        <v>2.2200000000000002</v>
      </c>
      <c r="J1023" t="str">
        <f t="shared" si="77"/>
        <v>third class</v>
      </c>
      <c r="K1023">
        <v>0.1</v>
      </c>
      <c r="L1023" t="s">
        <v>21</v>
      </c>
      <c r="M1023">
        <v>7</v>
      </c>
      <c r="N1023">
        <v>2</v>
      </c>
      <c r="O1023">
        <v>2</v>
      </c>
      <c r="P1023">
        <v>0</v>
      </c>
      <c r="Q1023">
        <f t="shared" si="78"/>
        <v>11</v>
      </c>
      <c r="S1023" t="str">
        <f t="shared" si="79"/>
        <v>Mentally Strained</v>
      </c>
    </row>
    <row r="1024" spans="1:19" x14ac:dyDescent="0.25">
      <c r="A1024">
        <v>15</v>
      </c>
      <c r="B1024" t="str">
        <f t="shared" si="75"/>
        <v>Young Teenager</v>
      </c>
      <c r="C1024" t="s">
        <v>16</v>
      </c>
      <c r="D1024">
        <v>3.8</v>
      </c>
      <c r="E1024" t="s">
        <v>20</v>
      </c>
      <c r="F1024">
        <v>7.1</v>
      </c>
      <c r="G1024">
        <v>0.5</v>
      </c>
      <c r="H1024">
        <f t="shared" si="76"/>
        <v>4.3</v>
      </c>
      <c r="I1024">
        <v>3.08</v>
      </c>
      <c r="J1024" t="str">
        <f t="shared" si="77"/>
        <v>Second class upper</v>
      </c>
      <c r="K1024">
        <v>0.2</v>
      </c>
      <c r="L1024" t="s">
        <v>22</v>
      </c>
      <c r="M1024">
        <v>2</v>
      </c>
      <c r="N1024">
        <v>9</v>
      </c>
      <c r="O1024">
        <v>7</v>
      </c>
      <c r="P1024">
        <v>0</v>
      </c>
      <c r="Q1024">
        <f t="shared" si="78"/>
        <v>18</v>
      </c>
      <c r="S1024" t="str">
        <f t="shared" si="79"/>
        <v>Mentally Strained</v>
      </c>
    </row>
    <row r="1025" spans="1:19" x14ac:dyDescent="0.25">
      <c r="A1025">
        <v>16</v>
      </c>
      <c r="B1025" t="str">
        <f t="shared" si="75"/>
        <v>Old Teenager</v>
      </c>
      <c r="C1025" t="s">
        <v>16</v>
      </c>
      <c r="D1025">
        <v>3.7</v>
      </c>
      <c r="E1025" t="s">
        <v>17</v>
      </c>
      <c r="F1025">
        <v>7.6</v>
      </c>
      <c r="G1025">
        <v>1.2</v>
      </c>
      <c r="H1025">
        <f t="shared" si="76"/>
        <v>4.9000000000000004</v>
      </c>
      <c r="I1025">
        <v>3.2</v>
      </c>
      <c r="J1025" t="str">
        <f t="shared" si="77"/>
        <v>Second class upper</v>
      </c>
      <c r="K1025">
        <v>1</v>
      </c>
      <c r="L1025" t="s">
        <v>22</v>
      </c>
      <c r="M1025">
        <v>4</v>
      </c>
      <c r="N1025">
        <v>8</v>
      </c>
      <c r="O1025">
        <v>6</v>
      </c>
      <c r="P1025">
        <v>0</v>
      </c>
      <c r="Q1025">
        <f t="shared" si="78"/>
        <v>18</v>
      </c>
      <c r="S1025" t="str">
        <f t="shared" si="79"/>
        <v>Mentally Strained</v>
      </c>
    </row>
    <row r="1026" spans="1:19" x14ac:dyDescent="0.25">
      <c r="A1026">
        <v>13</v>
      </c>
      <c r="B1026" t="str">
        <f t="shared" si="75"/>
        <v>Young Teenager</v>
      </c>
      <c r="C1026" t="s">
        <v>16</v>
      </c>
      <c r="D1026">
        <v>1.4</v>
      </c>
      <c r="E1026" t="s">
        <v>23</v>
      </c>
      <c r="F1026">
        <v>8.6</v>
      </c>
      <c r="G1026">
        <v>2.4</v>
      </c>
      <c r="H1026">
        <f t="shared" si="76"/>
        <v>3.8</v>
      </c>
      <c r="I1026">
        <v>3.31</v>
      </c>
      <c r="J1026" t="str">
        <f t="shared" si="77"/>
        <v>Second class upper</v>
      </c>
      <c r="K1026">
        <v>0.7</v>
      </c>
      <c r="L1026" t="s">
        <v>18</v>
      </c>
      <c r="M1026">
        <v>2</v>
      </c>
      <c r="N1026">
        <v>6</v>
      </c>
      <c r="O1026">
        <v>2</v>
      </c>
      <c r="P1026">
        <v>0</v>
      </c>
      <c r="Q1026">
        <f t="shared" si="78"/>
        <v>10</v>
      </c>
      <c r="S1026" t="str">
        <f t="shared" si="79"/>
        <v>Mentally Strained</v>
      </c>
    </row>
    <row r="1027" spans="1:19" x14ac:dyDescent="0.25">
      <c r="A1027">
        <v>18</v>
      </c>
      <c r="B1027" t="str">
        <f t="shared" ref="B1027:B1090" si="80">IF(A1027&lt;=15,"Young Teenager","Old Teenager")</f>
        <v>Old Teenager</v>
      </c>
      <c r="C1027" t="s">
        <v>16</v>
      </c>
      <c r="D1027">
        <v>1.8</v>
      </c>
      <c r="E1027" t="s">
        <v>23</v>
      </c>
      <c r="F1027">
        <v>4.9000000000000004</v>
      </c>
      <c r="G1027">
        <v>2.7</v>
      </c>
      <c r="H1027">
        <f t="shared" ref="H1027:H1090" si="81">SUM(D1027,G1027)</f>
        <v>4.5</v>
      </c>
      <c r="I1027">
        <v>2.12</v>
      </c>
      <c r="J1027" t="str">
        <f t="shared" ref="J1027:J1090" si="82">IF(I1027&lt;=2.49,"third class",IF(I1027&lt;3,"Second class lower",IF(I1027&lt;3.6,"Second class upper","first class")))</f>
        <v>third class</v>
      </c>
      <c r="K1027">
        <v>0.2</v>
      </c>
      <c r="L1027" t="s">
        <v>18</v>
      </c>
      <c r="M1027">
        <v>1</v>
      </c>
      <c r="N1027">
        <v>3</v>
      </c>
      <c r="O1027">
        <v>8</v>
      </c>
      <c r="P1027">
        <v>0</v>
      </c>
      <c r="Q1027">
        <f t="shared" ref="Q1027:Q1090" si="83">SUM(M1027:P1027)</f>
        <v>12</v>
      </c>
      <c r="S1027" t="str">
        <f t="shared" ref="S1027:S1090" si="84">IF(Q1027&lt;10,"Mentally Sound",IF(Q1027&gt;=20,"Mentally Unstable","Mentally Strained"))</f>
        <v>Mentally Strained</v>
      </c>
    </row>
    <row r="1028" spans="1:19" x14ac:dyDescent="0.25">
      <c r="A1028">
        <v>19</v>
      </c>
      <c r="B1028" t="str">
        <f t="shared" si="80"/>
        <v>Old Teenager</v>
      </c>
      <c r="C1028" t="s">
        <v>16</v>
      </c>
      <c r="D1028">
        <v>1.5</v>
      </c>
      <c r="E1028" t="s">
        <v>20</v>
      </c>
      <c r="F1028">
        <v>5.8</v>
      </c>
      <c r="G1028">
        <v>1.1000000000000001</v>
      </c>
      <c r="H1028">
        <f t="shared" si="81"/>
        <v>2.6</v>
      </c>
      <c r="I1028">
        <v>3.29</v>
      </c>
      <c r="J1028" t="str">
        <f t="shared" si="82"/>
        <v>Second class upper</v>
      </c>
      <c r="K1028">
        <v>1.7</v>
      </c>
      <c r="L1028" t="s">
        <v>21</v>
      </c>
      <c r="M1028">
        <v>6</v>
      </c>
      <c r="N1028">
        <v>4</v>
      </c>
      <c r="O1028">
        <v>2</v>
      </c>
      <c r="P1028">
        <v>0</v>
      </c>
      <c r="Q1028">
        <f t="shared" si="83"/>
        <v>12</v>
      </c>
      <c r="S1028" t="str">
        <f t="shared" si="84"/>
        <v>Mentally Strained</v>
      </c>
    </row>
    <row r="1029" spans="1:19" x14ac:dyDescent="0.25">
      <c r="A1029">
        <v>18</v>
      </c>
      <c r="B1029" t="str">
        <f t="shared" si="80"/>
        <v>Old Teenager</v>
      </c>
      <c r="C1029" t="s">
        <v>19</v>
      </c>
      <c r="D1029">
        <v>5.5</v>
      </c>
      <c r="E1029" t="s">
        <v>23</v>
      </c>
      <c r="F1029">
        <v>5.5</v>
      </c>
      <c r="G1029">
        <v>1.8</v>
      </c>
      <c r="H1029">
        <f t="shared" si="81"/>
        <v>7.3</v>
      </c>
      <c r="I1029">
        <v>2.2400000000000002</v>
      </c>
      <c r="J1029" t="str">
        <f t="shared" si="82"/>
        <v>third class</v>
      </c>
      <c r="K1029">
        <v>0</v>
      </c>
      <c r="L1029" t="s">
        <v>21</v>
      </c>
      <c r="M1029">
        <v>3</v>
      </c>
      <c r="N1029">
        <v>4</v>
      </c>
      <c r="O1029">
        <v>10</v>
      </c>
      <c r="P1029">
        <v>0</v>
      </c>
      <c r="Q1029">
        <f t="shared" si="83"/>
        <v>17</v>
      </c>
      <c r="S1029" t="str">
        <f t="shared" si="84"/>
        <v>Mentally Strained</v>
      </c>
    </row>
    <row r="1030" spans="1:19" x14ac:dyDescent="0.25">
      <c r="A1030">
        <v>15</v>
      </c>
      <c r="B1030" t="str">
        <f t="shared" si="80"/>
        <v>Young Teenager</v>
      </c>
      <c r="C1030" t="s">
        <v>16</v>
      </c>
      <c r="D1030">
        <v>4.9000000000000004</v>
      </c>
      <c r="E1030" t="s">
        <v>23</v>
      </c>
      <c r="F1030">
        <v>5.2</v>
      </c>
      <c r="G1030">
        <v>0.7</v>
      </c>
      <c r="H1030">
        <f t="shared" si="81"/>
        <v>5.6000000000000005</v>
      </c>
      <c r="I1030">
        <v>2.5499999999999998</v>
      </c>
      <c r="J1030" t="str">
        <f t="shared" si="82"/>
        <v>Second class lower</v>
      </c>
      <c r="K1030">
        <v>0.1</v>
      </c>
      <c r="L1030" t="s">
        <v>18</v>
      </c>
      <c r="M1030">
        <v>10</v>
      </c>
      <c r="N1030">
        <v>6</v>
      </c>
      <c r="O1030">
        <v>4</v>
      </c>
      <c r="P1030">
        <v>0</v>
      </c>
      <c r="Q1030">
        <f t="shared" si="83"/>
        <v>20</v>
      </c>
      <c r="S1030" t="str">
        <f t="shared" si="84"/>
        <v>Mentally Unstable</v>
      </c>
    </row>
    <row r="1031" spans="1:19" x14ac:dyDescent="0.25">
      <c r="A1031">
        <v>14</v>
      </c>
      <c r="B1031" t="str">
        <f t="shared" si="80"/>
        <v>Young Teenager</v>
      </c>
      <c r="C1031" t="s">
        <v>19</v>
      </c>
      <c r="D1031">
        <v>7.2</v>
      </c>
      <c r="E1031" t="s">
        <v>23</v>
      </c>
      <c r="F1031">
        <v>7</v>
      </c>
      <c r="G1031">
        <v>2.2999999999999998</v>
      </c>
      <c r="H1031">
        <f t="shared" si="81"/>
        <v>9.5</v>
      </c>
      <c r="I1031">
        <v>3.74</v>
      </c>
      <c r="J1031" t="str">
        <f t="shared" si="82"/>
        <v>first class</v>
      </c>
      <c r="K1031">
        <v>0.7</v>
      </c>
      <c r="L1031" t="s">
        <v>18</v>
      </c>
      <c r="M1031">
        <v>8</v>
      </c>
      <c r="N1031">
        <v>4</v>
      </c>
      <c r="O1031">
        <v>7</v>
      </c>
      <c r="P1031">
        <v>0</v>
      </c>
      <c r="Q1031">
        <f t="shared" si="83"/>
        <v>19</v>
      </c>
      <c r="S1031" t="str">
        <f t="shared" si="84"/>
        <v>Mentally Strained</v>
      </c>
    </row>
    <row r="1032" spans="1:19" x14ac:dyDescent="0.25">
      <c r="A1032">
        <v>16</v>
      </c>
      <c r="B1032" t="str">
        <f t="shared" si="80"/>
        <v>Old Teenager</v>
      </c>
      <c r="C1032" t="s">
        <v>19</v>
      </c>
      <c r="D1032">
        <v>6.8</v>
      </c>
      <c r="E1032" t="s">
        <v>17</v>
      </c>
      <c r="F1032">
        <v>7.2</v>
      </c>
      <c r="G1032">
        <v>1.1000000000000001</v>
      </c>
      <c r="H1032">
        <f t="shared" si="81"/>
        <v>7.9</v>
      </c>
      <c r="I1032">
        <v>2.29</v>
      </c>
      <c r="J1032" t="str">
        <f t="shared" si="82"/>
        <v>third class</v>
      </c>
      <c r="K1032">
        <v>1.9</v>
      </c>
      <c r="L1032" t="s">
        <v>18</v>
      </c>
      <c r="M1032">
        <v>8</v>
      </c>
      <c r="N1032">
        <v>5</v>
      </c>
      <c r="O1032">
        <v>9</v>
      </c>
      <c r="P1032">
        <v>0</v>
      </c>
      <c r="Q1032">
        <f t="shared" si="83"/>
        <v>22</v>
      </c>
      <c r="S1032" t="str">
        <f t="shared" si="84"/>
        <v>Mentally Unstable</v>
      </c>
    </row>
    <row r="1033" spans="1:19" x14ac:dyDescent="0.25">
      <c r="A1033">
        <v>13</v>
      </c>
      <c r="B1033" t="str">
        <f t="shared" si="80"/>
        <v>Young Teenager</v>
      </c>
      <c r="C1033" t="s">
        <v>19</v>
      </c>
      <c r="D1033">
        <v>2.2000000000000002</v>
      </c>
      <c r="E1033" t="s">
        <v>23</v>
      </c>
      <c r="F1033">
        <v>7.7</v>
      </c>
      <c r="G1033">
        <v>2.1</v>
      </c>
      <c r="H1033">
        <f t="shared" si="81"/>
        <v>4.3000000000000007</v>
      </c>
      <c r="I1033">
        <v>2.33</v>
      </c>
      <c r="J1033" t="str">
        <f t="shared" si="82"/>
        <v>third class</v>
      </c>
      <c r="K1033">
        <v>1.7</v>
      </c>
      <c r="L1033" t="s">
        <v>18</v>
      </c>
      <c r="M1033">
        <v>2</v>
      </c>
      <c r="N1033">
        <v>8</v>
      </c>
      <c r="O1033">
        <v>7</v>
      </c>
      <c r="P1033">
        <v>0</v>
      </c>
      <c r="Q1033">
        <f t="shared" si="83"/>
        <v>17</v>
      </c>
      <c r="S1033" t="str">
        <f t="shared" si="84"/>
        <v>Mentally Strained</v>
      </c>
    </row>
    <row r="1034" spans="1:19" x14ac:dyDescent="0.25">
      <c r="A1034">
        <v>16</v>
      </c>
      <c r="B1034" t="str">
        <f t="shared" si="80"/>
        <v>Old Teenager</v>
      </c>
      <c r="C1034" t="s">
        <v>19</v>
      </c>
      <c r="D1034">
        <v>5.9</v>
      </c>
      <c r="E1034" t="s">
        <v>20</v>
      </c>
      <c r="F1034">
        <v>7</v>
      </c>
      <c r="G1034">
        <v>0.8</v>
      </c>
      <c r="H1034">
        <f t="shared" si="81"/>
        <v>6.7</v>
      </c>
      <c r="I1034">
        <v>2.29</v>
      </c>
      <c r="J1034" t="str">
        <f t="shared" si="82"/>
        <v>third class</v>
      </c>
      <c r="K1034">
        <v>1.6</v>
      </c>
      <c r="L1034" t="s">
        <v>18</v>
      </c>
      <c r="M1034">
        <v>6</v>
      </c>
      <c r="N1034">
        <v>8</v>
      </c>
      <c r="O1034">
        <v>1</v>
      </c>
      <c r="P1034">
        <v>0</v>
      </c>
      <c r="Q1034">
        <f t="shared" si="83"/>
        <v>15</v>
      </c>
      <c r="S1034" t="str">
        <f t="shared" si="84"/>
        <v>Mentally Strained</v>
      </c>
    </row>
    <row r="1035" spans="1:19" x14ac:dyDescent="0.25">
      <c r="A1035">
        <v>15</v>
      </c>
      <c r="B1035" t="str">
        <f t="shared" si="80"/>
        <v>Young Teenager</v>
      </c>
      <c r="C1035" t="s">
        <v>19</v>
      </c>
      <c r="D1035">
        <v>2.2000000000000002</v>
      </c>
      <c r="E1035" t="s">
        <v>17</v>
      </c>
      <c r="F1035">
        <v>7.5</v>
      </c>
      <c r="G1035">
        <v>1.4</v>
      </c>
      <c r="H1035">
        <f t="shared" si="81"/>
        <v>3.6</v>
      </c>
      <c r="I1035">
        <v>3.19</v>
      </c>
      <c r="J1035" t="str">
        <f t="shared" si="82"/>
        <v>Second class upper</v>
      </c>
      <c r="K1035">
        <v>1.8</v>
      </c>
      <c r="L1035" t="s">
        <v>18</v>
      </c>
      <c r="M1035">
        <v>6</v>
      </c>
      <c r="N1035">
        <v>1</v>
      </c>
      <c r="O1035">
        <v>7</v>
      </c>
      <c r="P1035">
        <v>0</v>
      </c>
      <c r="Q1035">
        <f t="shared" si="83"/>
        <v>14</v>
      </c>
      <c r="S1035" t="str">
        <f t="shared" si="84"/>
        <v>Mentally Strained</v>
      </c>
    </row>
    <row r="1036" spans="1:19" x14ac:dyDescent="0.25">
      <c r="A1036">
        <v>19</v>
      </c>
      <c r="B1036" t="str">
        <f t="shared" si="80"/>
        <v>Old Teenager</v>
      </c>
      <c r="C1036" t="s">
        <v>19</v>
      </c>
      <c r="D1036">
        <v>2.4</v>
      </c>
      <c r="E1036" t="s">
        <v>17</v>
      </c>
      <c r="F1036">
        <v>4.2</v>
      </c>
      <c r="G1036">
        <v>1.2</v>
      </c>
      <c r="H1036">
        <f t="shared" si="81"/>
        <v>3.5999999999999996</v>
      </c>
      <c r="I1036">
        <v>3.87</v>
      </c>
      <c r="J1036" t="str">
        <f t="shared" si="82"/>
        <v>first class</v>
      </c>
      <c r="K1036">
        <v>1.3</v>
      </c>
      <c r="L1036" t="s">
        <v>18</v>
      </c>
      <c r="M1036">
        <v>1</v>
      </c>
      <c r="N1036">
        <v>9</v>
      </c>
      <c r="O1036">
        <v>5</v>
      </c>
      <c r="P1036">
        <v>0</v>
      </c>
      <c r="Q1036">
        <f t="shared" si="83"/>
        <v>15</v>
      </c>
      <c r="S1036" t="str">
        <f t="shared" si="84"/>
        <v>Mentally Strained</v>
      </c>
    </row>
    <row r="1037" spans="1:19" x14ac:dyDescent="0.25">
      <c r="A1037">
        <v>15</v>
      </c>
      <c r="B1037" t="str">
        <f t="shared" si="80"/>
        <v>Young Teenager</v>
      </c>
      <c r="C1037" t="s">
        <v>16</v>
      </c>
      <c r="D1037">
        <v>4.0999999999999996</v>
      </c>
      <c r="E1037" t="s">
        <v>17</v>
      </c>
      <c r="F1037">
        <v>7.6</v>
      </c>
      <c r="G1037">
        <v>1</v>
      </c>
      <c r="H1037">
        <f t="shared" si="81"/>
        <v>5.0999999999999996</v>
      </c>
      <c r="I1037">
        <v>2.17</v>
      </c>
      <c r="J1037" t="str">
        <f t="shared" si="82"/>
        <v>third class</v>
      </c>
      <c r="K1037">
        <v>1.1000000000000001</v>
      </c>
      <c r="L1037" t="s">
        <v>18</v>
      </c>
      <c r="M1037">
        <v>4</v>
      </c>
      <c r="N1037">
        <v>5</v>
      </c>
      <c r="O1037">
        <v>1</v>
      </c>
      <c r="P1037">
        <v>0</v>
      </c>
      <c r="Q1037">
        <f t="shared" si="83"/>
        <v>10</v>
      </c>
      <c r="S1037" t="str">
        <f t="shared" si="84"/>
        <v>Mentally Strained</v>
      </c>
    </row>
    <row r="1038" spans="1:19" x14ac:dyDescent="0.25">
      <c r="A1038">
        <v>18</v>
      </c>
      <c r="B1038" t="str">
        <f t="shared" si="80"/>
        <v>Old Teenager</v>
      </c>
      <c r="C1038" t="s">
        <v>19</v>
      </c>
      <c r="D1038">
        <v>4.5</v>
      </c>
      <c r="E1038" t="s">
        <v>17</v>
      </c>
      <c r="F1038">
        <v>7</v>
      </c>
      <c r="G1038">
        <v>2.7</v>
      </c>
      <c r="H1038">
        <f t="shared" si="81"/>
        <v>7.2</v>
      </c>
      <c r="I1038">
        <v>2.89</v>
      </c>
      <c r="J1038" t="str">
        <f t="shared" si="82"/>
        <v>Second class lower</v>
      </c>
      <c r="K1038">
        <v>1.8</v>
      </c>
      <c r="L1038" t="s">
        <v>21</v>
      </c>
      <c r="M1038">
        <v>1</v>
      </c>
      <c r="N1038">
        <v>1</v>
      </c>
      <c r="O1038">
        <v>2</v>
      </c>
      <c r="P1038">
        <v>0</v>
      </c>
      <c r="Q1038">
        <f t="shared" si="83"/>
        <v>4</v>
      </c>
      <c r="S1038" t="str">
        <f t="shared" si="84"/>
        <v>Mentally Sound</v>
      </c>
    </row>
    <row r="1039" spans="1:19" x14ac:dyDescent="0.25">
      <c r="A1039">
        <v>14</v>
      </c>
      <c r="B1039" t="str">
        <f t="shared" si="80"/>
        <v>Young Teenager</v>
      </c>
      <c r="C1039" t="s">
        <v>19</v>
      </c>
      <c r="D1039">
        <v>4.5999999999999996</v>
      </c>
      <c r="E1039" t="s">
        <v>17</v>
      </c>
      <c r="F1039">
        <v>5.9</v>
      </c>
      <c r="G1039">
        <v>1.4</v>
      </c>
      <c r="H1039">
        <f t="shared" si="81"/>
        <v>6</v>
      </c>
      <c r="I1039">
        <v>2.15</v>
      </c>
      <c r="J1039" t="str">
        <f t="shared" si="82"/>
        <v>third class</v>
      </c>
      <c r="K1039">
        <v>0.3</v>
      </c>
      <c r="L1039" t="s">
        <v>21</v>
      </c>
      <c r="M1039">
        <v>3</v>
      </c>
      <c r="N1039">
        <v>10</v>
      </c>
      <c r="O1039">
        <v>2</v>
      </c>
      <c r="P1039">
        <v>0</v>
      </c>
      <c r="Q1039">
        <f t="shared" si="83"/>
        <v>15</v>
      </c>
      <c r="S1039" t="str">
        <f t="shared" si="84"/>
        <v>Mentally Strained</v>
      </c>
    </row>
    <row r="1040" spans="1:19" x14ac:dyDescent="0.25">
      <c r="A1040">
        <v>17</v>
      </c>
      <c r="B1040" t="str">
        <f t="shared" si="80"/>
        <v>Old Teenager</v>
      </c>
      <c r="C1040" t="s">
        <v>19</v>
      </c>
      <c r="D1040">
        <v>4.5</v>
      </c>
      <c r="E1040" t="s">
        <v>23</v>
      </c>
      <c r="F1040">
        <v>6.1</v>
      </c>
      <c r="G1040">
        <v>2.8</v>
      </c>
      <c r="H1040">
        <f t="shared" si="81"/>
        <v>7.3</v>
      </c>
      <c r="I1040">
        <v>3.38</v>
      </c>
      <c r="J1040" t="str">
        <f t="shared" si="82"/>
        <v>Second class upper</v>
      </c>
      <c r="K1040">
        <v>1.2</v>
      </c>
      <c r="L1040" t="s">
        <v>18</v>
      </c>
      <c r="M1040">
        <v>10</v>
      </c>
      <c r="N1040">
        <v>4</v>
      </c>
      <c r="O1040">
        <v>2</v>
      </c>
      <c r="P1040">
        <v>0</v>
      </c>
      <c r="Q1040">
        <f t="shared" si="83"/>
        <v>16</v>
      </c>
      <c r="S1040" t="str">
        <f t="shared" si="84"/>
        <v>Mentally Strained</v>
      </c>
    </row>
    <row r="1041" spans="1:19" x14ac:dyDescent="0.25">
      <c r="A1041">
        <v>13</v>
      </c>
      <c r="B1041" t="str">
        <f t="shared" si="80"/>
        <v>Young Teenager</v>
      </c>
      <c r="C1041" t="s">
        <v>16</v>
      </c>
      <c r="D1041">
        <v>5</v>
      </c>
      <c r="E1041" t="s">
        <v>17</v>
      </c>
      <c r="F1041">
        <v>5.2</v>
      </c>
      <c r="G1041">
        <v>2.6</v>
      </c>
      <c r="H1041">
        <f t="shared" si="81"/>
        <v>7.6</v>
      </c>
      <c r="I1041">
        <v>2.04</v>
      </c>
      <c r="J1041" t="str">
        <f t="shared" si="82"/>
        <v>third class</v>
      </c>
      <c r="K1041">
        <v>1.7</v>
      </c>
      <c r="L1041" t="s">
        <v>22</v>
      </c>
      <c r="M1041">
        <v>4</v>
      </c>
      <c r="N1041">
        <v>4</v>
      </c>
      <c r="O1041">
        <v>5</v>
      </c>
      <c r="P1041">
        <v>0</v>
      </c>
      <c r="Q1041">
        <f t="shared" si="83"/>
        <v>13</v>
      </c>
      <c r="S1041" t="str">
        <f t="shared" si="84"/>
        <v>Mentally Strained</v>
      </c>
    </row>
    <row r="1042" spans="1:19" x14ac:dyDescent="0.25">
      <c r="A1042">
        <v>19</v>
      </c>
      <c r="B1042" t="str">
        <f t="shared" si="80"/>
        <v>Old Teenager</v>
      </c>
      <c r="C1042" t="s">
        <v>19</v>
      </c>
      <c r="D1042">
        <v>4.0999999999999996</v>
      </c>
      <c r="E1042" t="s">
        <v>23</v>
      </c>
      <c r="F1042">
        <v>6.4</v>
      </c>
      <c r="G1042">
        <v>1.4</v>
      </c>
      <c r="H1042">
        <f t="shared" si="81"/>
        <v>5.5</v>
      </c>
      <c r="I1042">
        <v>2.2599999999999998</v>
      </c>
      <c r="J1042" t="str">
        <f t="shared" si="82"/>
        <v>third class</v>
      </c>
      <c r="K1042">
        <v>1.6</v>
      </c>
      <c r="L1042" t="s">
        <v>21</v>
      </c>
      <c r="M1042">
        <v>2</v>
      </c>
      <c r="N1042">
        <v>3</v>
      </c>
      <c r="O1042">
        <v>6</v>
      </c>
      <c r="P1042">
        <v>0</v>
      </c>
      <c r="Q1042">
        <f t="shared" si="83"/>
        <v>11</v>
      </c>
      <c r="S1042" t="str">
        <f t="shared" si="84"/>
        <v>Mentally Strained</v>
      </c>
    </row>
    <row r="1043" spans="1:19" x14ac:dyDescent="0.25">
      <c r="A1043">
        <v>18</v>
      </c>
      <c r="B1043" t="str">
        <f t="shared" si="80"/>
        <v>Old Teenager</v>
      </c>
      <c r="C1043" t="s">
        <v>16</v>
      </c>
      <c r="D1043">
        <v>7.5</v>
      </c>
      <c r="E1043" t="s">
        <v>20</v>
      </c>
      <c r="F1043">
        <v>7.6</v>
      </c>
      <c r="G1043">
        <v>1.8</v>
      </c>
      <c r="H1043">
        <f t="shared" si="81"/>
        <v>9.3000000000000007</v>
      </c>
      <c r="I1043">
        <v>3.19</v>
      </c>
      <c r="J1043" t="str">
        <f t="shared" si="82"/>
        <v>Second class upper</v>
      </c>
      <c r="K1043">
        <v>1.7</v>
      </c>
      <c r="L1043" t="s">
        <v>21</v>
      </c>
      <c r="M1043">
        <v>2</v>
      </c>
      <c r="N1043">
        <v>6</v>
      </c>
      <c r="O1043">
        <v>6</v>
      </c>
      <c r="P1043">
        <v>0</v>
      </c>
      <c r="Q1043">
        <f t="shared" si="83"/>
        <v>14</v>
      </c>
      <c r="S1043" t="str">
        <f t="shared" si="84"/>
        <v>Mentally Strained</v>
      </c>
    </row>
    <row r="1044" spans="1:19" x14ac:dyDescent="0.25">
      <c r="A1044">
        <v>18</v>
      </c>
      <c r="B1044" t="str">
        <f t="shared" si="80"/>
        <v>Old Teenager</v>
      </c>
      <c r="C1044" t="s">
        <v>16</v>
      </c>
      <c r="D1044">
        <v>4.2</v>
      </c>
      <c r="E1044" t="s">
        <v>17</v>
      </c>
      <c r="F1044">
        <v>5.5</v>
      </c>
      <c r="G1044">
        <v>1.8</v>
      </c>
      <c r="H1044">
        <f t="shared" si="81"/>
        <v>6</v>
      </c>
      <c r="I1044">
        <v>3.83</v>
      </c>
      <c r="J1044" t="str">
        <f t="shared" si="82"/>
        <v>first class</v>
      </c>
      <c r="K1044">
        <v>1.9</v>
      </c>
      <c r="L1044" t="s">
        <v>18</v>
      </c>
      <c r="M1044">
        <v>3</v>
      </c>
      <c r="N1044">
        <v>8</v>
      </c>
      <c r="O1044">
        <v>8</v>
      </c>
      <c r="P1044">
        <v>0</v>
      </c>
      <c r="Q1044">
        <f t="shared" si="83"/>
        <v>19</v>
      </c>
      <c r="S1044" t="str">
        <f t="shared" si="84"/>
        <v>Mentally Strained</v>
      </c>
    </row>
    <row r="1045" spans="1:19" x14ac:dyDescent="0.25">
      <c r="A1045">
        <v>14</v>
      </c>
      <c r="B1045" t="str">
        <f t="shared" si="80"/>
        <v>Young Teenager</v>
      </c>
      <c r="C1045" t="s">
        <v>19</v>
      </c>
      <c r="D1045">
        <v>7.2</v>
      </c>
      <c r="E1045" t="s">
        <v>23</v>
      </c>
      <c r="F1045">
        <v>5</v>
      </c>
      <c r="G1045">
        <v>2.9</v>
      </c>
      <c r="H1045">
        <f t="shared" si="81"/>
        <v>10.1</v>
      </c>
      <c r="I1045">
        <v>3.76</v>
      </c>
      <c r="J1045" t="str">
        <f t="shared" si="82"/>
        <v>first class</v>
      </c>
      <c r="K1045">
        <v>0.4</v>
      </c>
      <c r="L1045" t="s">
        <v>22</v>
      </c>
      <c r="M1045">
        <v>7</v>
      </c>
      <c r="N1045">
        <v>4</v>
      </c>
      <c r="O1045">
        <v>2</v>
      </c>
      <c r="P1045">
        <v>0</v>
      </c>
      <c r="Q1045">
        <f t="shared" si="83"/>
        <v>13</v>
      </c>
      <c r="S1045" t="str">
        <f t="shared" si="84"/>
        <v>Mentally Strained</v>
      </c>
    </row>
    <row r="1046" spans="1:19" x14ac:dyDescent="0.25">
      <c r="A1046">
        <v>13</v>
      </c>
      <c r="B1046" t="str">
        <f t="shared" si="80"/>
        <v>Young Teenager</v>
      </c>
      <c r="C1046" t="s">
        <v>16</v>
      </c>
      <c r="D1046">
        <v>4.8</v>
      </c>
      <c r="E1046" t="s">
        <v>17</v>
      </c>
      <c r="F1046">
        <v>6</v>
      </c>
      <c r="G1046">
        <v>0.6</v>
      </c>
      <c r="H1046">
        <f t="shared" si="81"/>
        <v>5.3999999999999995</v>
      </c>
      <c r="I1046">
        <v>2.41</v>
      </c>
      <c r="J1046" t="str">
        <f t="shared" si="82"/>
        <v>third class</v>
      </c>
      <c r="K1046">
        <v>0</v>
      </c>
      <c r="L1046" t="s">
        <v>21</v>
      </c>
      <c r="M1046">
        <v>3</v>
      </c>
      <c r="N1046">
        <v>6</v>
      </c>
      <c r="O1046">
        <v>9</v>
      </c>
      <c r="P1046">
        <v>0</v>
      </c>
      <c r="Q1046">
        <f t="shared" si="83"/>
        <v>18</v>
      </c>
      <c r="S1046" t="str">
        <f t="shared" si="84"/>
        <v>Mentally Strained</v>
      </c>
    </row>
    <row r="1047" spans="1:19" x14ac:dyDescent="0.25">
      <c r="A1047">
        <v>17</v>
      </c>
      <c r="B1047" t="str">
        <f t="shared" si="80"/>
        <v>Old Teenager</v>
      </c>
      <c r="C1047" t="s">
        <v>19</v>
      </c>
      <c r="D1047">
        <v>7.3</v>
      </c>
      <c r="E1047" t="s">
        <v>17</v>
      </c>
      <c r="F1047">
        <v>6.7</v>
      </c>
      <c r="G1047">
        <v>1</v>
      </c>
      <c r="H1047">
        <f t="shared" si="81"/>
        <v>8.3000000000000007</v>
      </c>
      <c r="I1047">
        <v>3.41</v>
      </c>
      <c r="J1047" t="str">
        <f t="shared" si="82"/>
        <v>Second class upper</v>
      </c>
      <c r="K1047">
        <v>1.7</v>
      </c>
      <c r="L1047" t="s">
        <v>22</v>
      </c>
      <c r="M1047">
        <v>6</v>
      </c>
      <c r="N1047">
        <v>5</v>
      </c>
      <c r="O1047">
        <v>2</v>
      </c>
      <c r="P1047">
        <v>0</v>
      </c>
      <c r="Q1047">
        <f t="shared" si="83"/>
        <v>13</v>
      </c>
      <c r="S1047" t="str">
        <f t="shared" si="84"/>
        <v>Mentally Strained</v>
      </c>
    </row>
    <row r="1048" spans="1:19" x14ac:dyDescent="0.25">
      <c r="A1048">
        <v>13</v>
      </c>
      <c r="B1048" t="str">
        <f t="shared" si="80"/>
        <v>Young Teenager</v>
      </c>
      <c r="C1048" t="s">
        <v>16</v>
      </c>
      <c r="D1048">
        <v>3.9</v>
      </c>
      <c r="E1048" t="s">
        <v>23</v>
      </c>
      <c r="F1048">
        <v>4.5</v>
      </c>
      <c r="G1048">
        <v>1.6</v>
      </c>
      <c r="H1048">
        <f t="shared" si="81"/>
        <v>5.5</v>
      </c>
      <c r="I1048">
        <v>2.02</v>
      </c>
      <c r="J1048" t="str">
        <f t="shared" si="82"/>
        <v>third class</v>
      </c>
      <c r="K1048">
        <v>0.6</v>
      </c>
      <c r="L1048" t="s">
        <v>21</v>
      </c>
      <c r="M1048">
        <v>6</v>
      </c>
      <c r="N1048">
        <v>6</v>
      </c>
      <c r="O1048">
        <v>5</v>
      </c>
      <c r="P1048">
        <v>0</v>
      </c>
      <c r="Q1048">
        <f t="shared" si="83"/>
        <v>17</v>
      </c>
      <c r="S1048" t="str">
        <f t="shared" si="84"/>
        <v>Mentally Strained</v>
      </c>
    </row>
    <row r="1049" spans="1:19" x14ac:dyDescent="0.25">
      <c r="A1049">
        <v>15</v>
      </c>
      <c r="B1049" t="str">
        <f t="shared" si="80"/>
        <v>Young Teenager</v>
      </c>
      <c r="C1049" t="s">
        <v>19</v>
      </c>
      <c r="D1049">
        <v>5.5</v>
      </c>
      <c r="E1049" t="s">
        <v>23</v>
      </c>
      <c r="F1049">
        <v>4</v>
      </c>
      <c r="G1049">
        <v>2.4</v>
      </c>
      <c r="H1049">
        <f t="shared" si="81"/>
        <v>7.9</v>
      </c>
      <c r="I1049">
        <v>3.01</v>
      </c>
      <c r="J1049" t="str">
        <f t="shared" si="82"/>
        <v>Second class upper</v>
      </c>
      <c r="K1049">
        <v>0.9</v>
      </c>
      <c r="L1049" t="s">
        <v>18</v>
      </c>
      <c r="M1049">
        <v>10</v>
      </c>
      <c r="N1049">
        <v>3</v>
      </c>
      <c r="O1049">
        <v>2</v>
      </c>
      <c r="P1049">
        <v>0</v>
      </c>
      <c r="Q1049">
        <f t="shared" si="83"/>
        <v>15</v>
      </c>
      <c r="S1049" t="str">
        <f t="shared" si="84"/>
        <v>Mentally Strained</v>
      </c>
    </row>
    <row r="1050" spans="1:19" x14ac:dyDescent="0.25">
      <c r="A1050">
        <v>15</v>
      </c>
      <c r="B1050" t="str">
        <f t="shared" si="80"/>
        <v>Young Teenager</v>
      </c>
      <c r="C1050" t="s">
        <v>16</v>
      </c>
      <c r="D1050">
        <v>7.5</v>
      </c>
      <c r="E1050" t="s">
        <v>23</v>
      </c>
      <c r="F1050">
        <v>6.3</v>
      </c>
      <c r="G1050">
        <v>2.8</v>
      </c>
      <c r="H1050">
        <f t="shared" si="81"/>
        <v>10.3</v>
      </c>
      <c r="I1050">
        <v>3.04</v>
      </c>
      <c r="J1050" t="str">
        <f t="shared" si="82"/>
        <v>Second class upper</v>
      </c>
      <c r="K1050">
        <v>1.8</v>
      </c>
      <c r="L1050" t="s">
        <v>18</v>
      </c>
      <c r="M1050">
        <v>1</v>
      </c>
      <c r="N1050">
        <v>5</v>
      </c>
      <c r="O1050">
        <v>8</v>
      </c>
      <c r="P1050">
        <v>0</v>
      </c>
      <c r="Q1050">
        <f t="shared" si="83"/>
        <v>14</v>
      </c>
      <c r="S1050" t="str">
        <f t="shared" si="84"/>
        <v>Mentally Strained</v>
      </c>
    </row>
    <row r="1051" spans="1:19" x14ac:dyDescent="0.25">
      <c r="A1051">
        <v>17</v>
      </c>
      <c r="B1051" t="str">
        <f t="shared" si="80"/>
        <v>Old Teenager</v>
      </c>
      <c r="C1051" t="s">
        <v>16</v>
      </c>
      <c r="D1051">
        <v>1.8</v>
      </c>
      <c r="E1051" t="s">
        <v>17</v>
      </c>
      <c r="F1051">
        <v>6.9</v>
      </c>
      <c r="G1051">
        <v>2.7</v>
      </c>
      <c r="H1051">
        <f t="shared" si="81"/>
        <v>4.5</v>
      </c>
      <c r="I1051">
        <v>2.5299999999999998</v>
      </c>
      <c r="J1051" t="str">
        <f t="shared" si="82"/>
        <v>Second class lower</v>
      </c>
      <c r="K1051">
        <v>1.7</v>
      </c>
      <c r="L1051" t="s">
        <v>21</v>
      </c>
      <c r="M1051">
        <v>2</v>
      </c>
      <c r="N1051">
        <v>2</v>
      </c>
      <c r="O1051">
        <v>7</v>
      </c>
      <c r="P1051">
        <v>0</v>
      </c>
      <c r="Q1051">
        <f t="shared" si="83"/>
        <v>11</v>
      </c>
      <c r="S1051" t="str">
        <f t="shared" si="84"/>
        <v>Mentally Strained</v>
      </c>
    </row>
    <row r="1052" spans="1:19" x14ac:dyDescent="0.25">
      <c r="A1052">
        <v>16</v>
      </c>
      <c r="B1052" t="str">
        <f t="shared" si="80"/>
        <v>Old Teenager</v>
      </c>
      <c r="C1052" t="s">
        <v>16</v>
      </c>
      <c r="D1052">
        <v>2.6</v>
      </c>
      <c r="E1052" t="s">
        <v>17</v>
      </c>
      <c r="F1052">
        <v>5.0999999999999996</v>
      </c>
      <c r="G1052">
        <v>0.9</v>
      </c>
      <c r="H1052">
        <f t="shared" si="81"/>
        <v>3.5</v>
      </c>
      <c r="I1052">
        <v>2.57</v>
      </c>
      <c r="J1052" t="str">
        <f t="shared" si="82"/>
        <v>Second class lower</v>
      </c>
      <c r="K1052">
        <v>1.4</v>
      </c>
      <c r="L1052" t="s">
        <v>22</v>
      </c>
      <c r="M1052">
        <v>8</v>
      </c>
      <c r="N1052">
        <v>5</v>
      </c>
      <c r="O1052">
        <v>8</v>
      </c>
      <c r="P1052">
        <v>0</v>
      </c>
      <c r="Q1052">
        <f t="shared" si="83"/>
        <v>21</v>
      </c>
      <c r="S1052" t="str">
        <f t="shared" si="84"/>
        <v>Mentally Unstable</v>
      </c>
    </row>
    <row r="1053" spans="1:19" x14ac:dyDescent="0.25">
      <c r="A1053">
        <v>17</v>
      </c>
      <c r="B1053" t="str">
        <f t="shared" si="80"/>
        <v>Old Teenager</v>
      </c>
      <c r="C1053" t="s">
        <v>19</v>
      </c>
      <c r="D1053">
        <v>5.5</v>
      </c>
      <c r="E1053" t="s">
        <v>23</v>
      </c>
      <c r="F1053">
        <v>6</v>
      </c>
      <c r="G1053">
        <v>2.8</v>
      </c>
      <c r="H1053">
        <f t="shared" si="81"/>
        <v>8.3000000000000007</v>
      </c>
      <c r="I1053">
        <v>3.4</v>
      </c>
      <c r="J1053" t="str">
        <f t="shared" si="82"/>
        <v>Second class upper</v>
      </c>
      <c r="K1053">
        <v>0</v>
      </c>
      <c r="L1053" t="s">
        <v>22</v>
      </c>
      <c r="M1053">
        <v>2</v>
      </c>
      <c r="N1053">
        <v>3</v>
      </c>
      <c r="O1053">
        <v>8</v>
      </c>
      <c r="P1053">
        <v>0</v>
      </c>
      <c r="Q1053">
        <f t="shared" si="83"/>
        <v>13</v>
      </c>
      <c r="S1053" t="str">
        <f t="shared" si="84"/>
        <v>Mentally Strained</v>
      </c>
    </row>
    <row r="1054" spans="1:19" x14ac:dyDescent="0.25">
      <c r="A1054">
        <v>15</v>
      </c>
      <c r="B1054" t="str">
        <f t="shared" si="80"/>
        <v>Young Teenager</v>
      </c>
      <c r="C1054" t="s">
        <v>19</v>
      </c>
      <c r="D1054">
        <v>3.6</v>
      </c>
      <c r="E1054" t="s">
        <v>20</v>
      </c>
      <c r="F1054">
        <v>7.1</v>
      </c>
      <c r="G1054">
        <v>0.9</v>
      </c>
      <c r="H1054">
        <f t="shared" si="81"/>
        <v>4.5</v>
      </c>
      <c r="I1054">
        <v>2.84</v>
      </c>
      <c r="J1054" t="str">
        <f t="shared" si="82"/>
        <v>Second class lower</v>
      </c>
      <c r="K1054">
        <v>0.3</v>
      </c>
      <c r="L1054" t="s">
        <v>18</v>
      </c>
      <c r="M1054">
        <v>1</v>
      </c>
      <c r="N1054">
        <v>9</v>
      </c>
      <c r="O1054">
        <v>4</v>
      </c>
      <c r="P1054">
        <v>0</v>
      </c>
      <c r="Q1054">
        <f t="shared" si="83"/>
        <v>14</v>
      </c>
      <c r="S1054" t="str">
        <f t="shared" si="84"/>
        <v>Mentally Strained</v>
      </c>
    </row>
    <row r="1055" spans="1:19" x14ac:dyDescent="0.25">
      <c r="A1055">
        <v>19</v>
      </c>
      <c r="B1055" t="str">
        <f t="shared" si="80"/>
        <v>Old Teenager</v>
      </c>
      <c r="C1055" t="s">
        <v>19</v>
      </c>
      <c r="D1055">
        <v>7.6</v>
      </c>
      <c r="E1055" t="s">
        <v>23</v>
      </c>
      <c r="F1055">
        <v>5.4</v>
      </c>
      <c r="G1055">
        <v>1.9</v>
      </c>
      <c r="H1055">
        <f t="shared" si="81"/>
        <v>9.5</v>
      </c>
      <c r="I1055">
        <v>2.56</v>
      </c>
      <c r="J1055" t="str">
        <f t="shared" si="82"/>
        <v>Second class lower</v>
      </c>
      <c r="K1055">
        <v>1.4</v>
      </c>
      <c r="L1055" t="s">
        <v>18</v>
      </c>
      <c r="M1055">
        <v>2</v>
      </c>
      <c r="N1055">
        <v>7</v>
      </c>
      <c r="O1055">
        <v>9</v>
      </c>
      <c r="P1055">
        <v>0</v>
      </c>
      <c r="Q1055">
        <f t="shared" si="83"/>
        <v>18</v>
      </c>
      <c r="S1055" t="str">
        <f t="shared" si="84"/>
        <v>Mentally Strained</v>
      </c>
    </row>
    <row r="1056" spans="1:19" x14ac:dyDescent="0.25">
      <c r="A1056">
        <v>13</v>
      </c>
      <c r="B1056" t="str">
        <f t="shared" si="80"/>
        <v>Young Teenager</v>
      </c>
      <c r="C1056" t="s">
        <v>16</v>
      </c>
      <c r="D1056">
        <v>7.9</v>
      </c>
      <c r="E1056" t="s">
        <v>17</v>
      </c>
      <c r="F1056">
        <v>7.1</v>
      </c>
      <c r="G1056">
        <v>0.7</v>
      </c>
      <c r="H1056">
        <f t="shared" si="81"/>
        <v>8.6</v>
      </c>
      <c r="I1056">
        <v>2.8</v>
      </c>
      <c r="J1056" t="str">
        <f t="shared" si="82"/>
        <v>Second class lower</v>
      </c>
      <c r="K1056">
        <v>0.3</v>
      </c>
      <c r="L1056" t="s">
        <v>22</v>
      </c>
      <c r="M1056">
        <v>6</v>
      </c>
      <c r="N1056">
        <v>8</v>
      </c>
      <c r="O1056">
        <v>8</v>
      </c>
      <c r="P1056">
        <v>0</v>
      </c>
      <c r="Q1056">
        <f t="shared" si="83"/>
        <v>22</v>
      </c>
      <c r="S1056" t="str">
        <f t="shared" si="84"/>
        <v>Mentally Unstable</v>
      </c>
    </row>
    <row r="1057" spans="1:19" x14ac:dyDescent="0.25">
      <c r="A1057">
        <v>15</v>
      </c>
      <c r="B1057" t="str">
        <f t="shared" si="80"/>
        <v>Young Teenager</v>
      </c>
      <c r="C1057" t="s">
        <v>16</v>
      </c>
      <c r="D1057">
        <v>2.6</v>
      </c>
      <c r="E1057" t="s">
        <v>23</v>
      </c>
      <c r="F1057">
        <v>6.8</v>
      </c>
      <c r="G1057">
        <v>1.7</v>
      </c>
      <c r="H1057">
        <f t="shared" si="81"/>
        <v>4.3</v>
      </c>
      <c r="I1057">
        <v>2.06</v>
      </c>
      <c r="J1057" t="str">
        <f t="shared" si="82"/>
        <v>third class</v>
      </c>
      <c r="K1057">
        <v>0.4</v>
      </c>
      <c r="L1057" t="s">
        <v>22</v>
      </c>
      <c r="M1057">
        <v>8</v>
      </c>
      <c r="N1057">
        <v>6</v>
      </c>
      <c r="O1057">
        <v>6</v>
      </c>
      <c r="P1057">
        <v>0</v>
      </c>
      <c r="Q1057">
        <f t="shared" si="83"/>
        <v>20</v>
      </c>
      <c r="S1057" t="str">
        <f t="shared" si="84"/>
        <v>Mentally Unstable</v>
      </c>
    </row>
    <row r="1058" spans="1:19" x14ac:dyDescent="0.25">
      <c r="A1058">
        <v>19</v>
      </c>
      <c r="B1058" t="str">
        <f t="shared" si="80"/>
        <v>Old Teenager</v>
      </c>
      <c r="C1058" t="s">
        <v>16</v>
      </c>
      <c r="D1058">
        <v>5.7</v>
      </c>
      <c r="E1058" t="s">
        <v>20</v>
      </c>
      <c r="F1058">
        <v>6.4</v>
      </c>
      <c r="G1058">
        <v>0.9</v>
      </c>
      <c r="H1058">
        <f t="shared" si="81"/>
        <v>6.6000000000000005</v>
      </c>
      <c r="I1058">
        <v>3.57</v>
      </c>
      <c r="J1058" t="str">
        <f t="shared" si="82"/>
        <v>Second class upper</v>
      </c>
      <c r="K1058">
        <v>1.5</v>
      </c>
      <c r="L1058" t="s">
        <v>21</v>
      </c>
      <c r="M1058">
        <v>3</v>
      </c>
      <c r="N1058">
        <v>7</v>
      </c>
      <c r="O1058">
        <v>2</v>
      </c>
      <c r="P1058">
        <v>0</v>
      </c>
      <c r="Q1058">
        <f t="shared" si="83"/>
        <v>12</v>
      </c>
      <c r="S1058" t="str">
        <f t="shared" si="84"/>
        <v>Mentally Strained</v>
      </c>
    </row>
    <row r="1059" spans="1:19" x14ac:dyDescent="0.25">
      <c r="A1059">
        <v>13</v>
      </c>
      <c r="B1059" t="str">
        <f t="shared" si="80"/>
        <v>Young Teenager</v>
      </c>
      <c r="C1059" t="s">
        <v>19</v>
      </c>
      <c r="D1059">
        <v>7.1</v>
      </c>
      <c r="E1059" t="s">
        <v>17</v>
      </c>
      <c r="F1059">
        <v>5.7</v>
      </c>
      <c r="G1059">
        <v>1.2</v>
      </c>
      <c r="H1059">
        <f t="shared" si="81"/>
        <v>8.2999999999999989</v>
      </c>
      <c r="I1059">
        <v>3.83</v>
      </c>
      <c r="J1059" t="str">
        <f t="shared" si="82"/>
        <v>first class</v>
      </c>
      <c r="K1059">
        <v>2</v>
      </c>
      <c r="L1059" t="s">
        <v>22</v>
      </c>
      <c r="M1059">
        <v>2</v>
      </c>
      <c r="N1059">
        <v>8</v>
      </c>
      <c r="O1059">
        <v>7</v>
      </c>
      <c r="P1059">
        <v>0</v>
      </c>
      <c r="Q1059">
        <f t="shared" si="83"/>
        <v>17</v>
      </c>
      <c r="S1059" t="str">
        <f t="shared" si="84"/>
        <v>Mentally Strained</v>
      </c>
    </row>
    <row r="1060" spans="1:19" x14ac:dyDescent="0.25">
      <c r="A1060">
        <v>13</v>
      </c>
      <c r="B1060" t="str">
        <f t="shared" si="80"/>
        <v>Young Teenager</v>
      </c>
      <c r="C1060" t="s">
        <v>19</v>
      </c>
      <c r="D1060">
        <v>1.3</v>
      </c>
      <c r="E1060" t="s">
        <v>20</v>
      </c>
      <c r="F1060">
        <v>8.6999999999999993</v>
      </c>
      <c r="G1060">
        <v>0.9</v>
      </c>
      <c r="H1060">
        <f t="shared" si="81"/>
        <v>2.2000000000000002</v>
      </c>
      <c r="I1060">
        <v>4</v>
      </c>
      <c r="J1060" t="str">
        <f t="shared" si="82"/>
        <v>first class</v>
      </c>
      <c r="K1060">
        <v>0.1</v>
      </c>
      <c r="L1060" t="s">
        <v>18</v>
      </c>
      <c r="M1060">
        <v>10</v>
      </c>
      <c r="N1060">
        <v>9</v>
      </c>
      <c r="O1060">
        <v>9</v>
      </c>
      <c r="P1060">
        <v>0</v>
      </c>
      <c r="Q1060">
        <f t="shared" si="83"/>
        <v>28</v>
      </c>
      <c r="S1060" t="str">
        <f t="shared" si="84"/>
        <v>Mentally Unstable</v>
      </c>
    </row>
    <row r="1061" spans="1:19" x14ac:dyDescent="0.25">
      <c r="A1061">
        <v>13</v>
      </c>
      <c r="B1061" t="str">
        <f t="shared" si="80"/>
        <v>Young Teenager</v>
      </c>
      <c r="C1061" t="s">
        <v>19</v>
      </c>
      <c r="D1061">
        <v>1.1000000000000001</v>
      </c>
      <c r="E1061" t="s">
        <v>23</v>
      </c>
      <c r="F1061">
        <v>6.7</v>
      </c>
      <c r="G1061">
        <v>2</v>
      </c>
      <c r="H1061">
        <f t="shared" si="81"/>
        <v>3.1</v>
      </c>
      <c r="I1061">
        <v>3.63</v>
      </c>
      <c r="J1061" t="str">
        <f t="shared" si="82"/>
        <v>first class</v>
      </c>
      <c r="K1061">
        <v>0.2</v>
      </c>
      <c r="L1061" t="s">
        <v>22</v>
      </c>
      <c r="M1061">
        <v>3</v>
      </c>
      <c r="N1061">
        <v>10</v>
      </c>
      <c r="O1061">
        <v>5</v>
      </c>
      <c r="P1061">
        <v>0</v>
      </c>
      <c r="Q1061">
        <f t="shared" si="83"/>
        <v>18</v>
      </c>
      <c r="S1061" t="str">
        <f t="shared" si="84"/>
        <v>Mentally Strained</v>
      </c>
    </row>
    <row r="1062" spans="1:19" x14ac:dyDescent="0.25">
      <c r="A1062">
        <v>13</v>
      </c>
      <c r="B1062" t="str">
        <f t="shared" si="80"/>
        <v>Young Teenager</v>
      </c>
      <c r="C1062" t="s">
        <v>19</v>
      </c>
      <c r="D1062">
        <v>3.3</v>
      </c>
      <c r="E1062" t="s">
        <v>20</v>
      </c>
      <c r="F1062">
        <v>9</v>
      </c>
      <c r="G1062">
        <v>0.7</v>
      </c>
      <c r="H1062">
        <f t="shared" si="81"/>
        <v>4</v>
      </c>
      <c r="I1062">
        <v>2.4900000000000002</v>
      </c>
      <c r="J1062" t="str">
        <f t="shared" si="82"/>
        <v>third class</v>
      </c>
      <c r="K1062">
        <v>0.6</v>
      </c>
      <c r="L1062" t="s">
        <v>22</v>
      </c>
      <c r="M1062">
        <v>3</v>
      </c>
      <c r="N1062">
        <v>6</v>
      </c>
      <c r="O1062">
        <v>4</v>
      </c>
      <c r="P1062">
        <v>0</v>
      </c>
      <c r="Q1062">
        <f t="shared" si="83"/>
        <v>13</v>
      </c>
      <c r="S1062" t="str">
        <f t="shared" si="84"/>
        <v>Mentally Strained</v>
      </c>
    </row>
    <row r="1063" spans="1:19" x14ac:dyDescent="0.25">
      <c r="A1063">
        <v>16</v>
      </c>
      <c r="B1063" t="str">
        <f t="shared" si="80"/>
        <v>Old Teenager</v>
      </c>
      <c r="C1063" t="s">
        <v>16</v>
      </c>
      <c r="D1063">
        <v>7.4</v>
      </c>
      <c r="E1063" t="s">
        <v>23</v>
      </c>
      <c r="F1063">
        <v>7.2</v>
      </c>
      <c r="G1063">
        <v>1.8</v>
      </c>
      <c r="H1063">
        <f t="shared" si="81"/>
        <v>9.2000000000000011</v>
      </c>
      <c r="I1063">
        <v>2.11</v>
      </c>
      <c r="J1063" t="str">
        <f t="shared" si="82"/>
        <v>third class</v>
      </c>
      <c r="K1063">
        <v>1.4</v>
      </c>
      <c r="L1063" t="s">
        <v>22</v>
      </c>
      <c r="M1063">
        <v>3</v>
      </c>
      <c r="N1063">
        <v>7</v>
      </c>
      <c r="O1063">
        <v>3</v>
      </c>
      <c r="P1063">
        <v>0</v>
      </c>
      <c r="Q1063">
        <f t="shared" si="83"/>
        <v>13</v>
      </c>
      <c r="S1063" t="str">
        <f t="shared" si="84"/>
        <v>Mentally Strained</v>
      </c>
    </row>
    <row r="1064" spans="1:19" x14ac:dyDescent="0.25">
      <c r="A1064">
        <v>13</v>
      </c>
      <c r="B1064" t="str">
        <f t="shared" si="80"/>
        <v>Young Teenager</v>
      </c>
      <c r="C1064" t="s">
        <v>16</v>
      </c>
      <c r="D1064">
        <v>5.8</v>
      </c>
      <c r="E1064" t="s">
        <v>20</v>
      </c>
      <c r="F1064">
        <v>8.3000000000000007</v>
      </c>
      <c r="G1064">
        <v>2.8</v>
      </c>
      <c r="H1064">
        <f t="shared" si="81"/>
        <v>8.6</v>
      </c>
      <c r="I1064">
        <v>2.63</v>
      </c>
      <c r="J1064" t="str">
        <f t="shared" si="82"/>
        <v>Second class lower</v>
      </c>
      <c r="K1064">
        <v>0.6</v>
      </c>
      <c r="L1064" t="s">
        <v>21</v>
      </c>
      <c r="M1064">
        <v>5</v>
      </c>
      <c r="N1064">
        <v>3</v>
      </c>
      <c r="O1064">
        <v>7</v>
      </c>
      <c r="P1064">
        <v>0</v>
      </c>
      <c r="Q1064">
        <f t="shared" si="83"/>
        <v>15</v>
      </c>
      <c r="S1064" t="str">
        <f t="shared" si="84"/>
        <v>Mentally Strained</v>
      </c>
    </row>
    <row r="1065" spans="1:19" x14ac:dyDescent="0.25">
      <c r="A1065">
        <v>18</v>
      </c>
      <c r="B1065" t="str">
        <f t="shared" si="80"/>
        <v>Old Teenager</v>
      </c>
      <c r="C1065" t="s">
        <v>19</v>
      </c>
      <c r="D1065">
        <v>4.5999999999999996</v>
      </c>
      <c r="E1065" t="s">
        <v>20</v>
      </c>
      <c r="F1065">
        <v>6.8</v>
      </c>
      <c r="G1065">
        <v>1.5</v>
      </c>
      <c r="H1065">
        <f t="shared" si="81"/>
        <v>6.1</v>
      </c>
      <c r="I1065">
        <v>2.4</v>
      </c>
      <c r="J1065" t="str">
        <f t="shared" si="82"/>
        <v>third class</v>
      </c>
      <c r="K1065">
        <v>1.4</v>
      </c>
      <c r="L1065" t="s">
        <v>22</v>
      </c>
      <c r="M1065">
        <v>5</v>
      </c>
      <c r="N1065">
        <v>10</v>
      </c>
      <c r="O1065">
        <v>2</v>
      </c>
      <c r="P1065">
        <v>0</v>
      </c>
      <c r="Q1065">
        <f t="shared" si="83"/>
        <v>17</v>
      </c>
      <c r="S1065" t="str">
        <f t="shared" si="84"/>
        <v>Mentally Strained</v>
      </c>
    </row>
    <row r="1066" spans="1:19" x14ac:dyDescent="0.25">
      <c r="A1066">
        <v>18</v>
      </c>
      <c r="B1066" t="str">
        <f t="shared" si="80"/>
        <v>Old Teenager</v>
      </c>
      <c r="C1066" t="s">
        <v>19</v>
      </c>
      <c r="D1066">
        <v>2.5</v>
      </c>
      <c r="E1066" t="s">
        <v>20</v>
      </c>
      <c r="F1066">
        <v>7.1</v>
      </c>
      <c r="G1066">
        <v>1.6</v>
      </c>
      <c r="H1066">
        <f t="shared" si="81"/>
        <v>4.0999999999999996</v>
      </c>
      <c r="I1066">
        <v>3.97</v>
      </c>
      <c r="J1066" t="str">
        <f t="shared" si="82"/>
        <v>first class</v>
      </c>
      <c r="K1066">
        <v>0.7</v>
      </c>
      <c r="L1066" t="s">
        <v>22</v>
      </c>
      <c r="M1066">
        <v>10</v>
      </c>
      <c r="N1066">
        <v>7</v>
      </c>
      <c r="O1066">
        <v>3</v>
      </c>
      <c r="P1066">
        <v>0</v>
      </c>
      <c r="Q1066">
        <f t="shared" si="83"/>
        <v>20</v>
      </c>
      <c r="S1066" t="str">
        <f t="shared" si="84"/>
        <v>Mentally Unstable</v>
      </c>
    </row>
    <row r="1067" spans="1:19" x14ac:dyDescent="0.25">
      <c r="A1067">
        <v>18</v>
      </c>
      <c r="B1067" t="str">
        <f t="shared" si="80"/>
        <v>Old Teenager</v>
      </c>
      <c r="C1067" t="s">
        <v>16</v>
      </c>
      <c r="D1067">
        <v>4</v>
      </c>
      <c r="E1067" t="s">
        <v>23</v>
      </c>
      <c r="F1067">
        <v>8</v>
      </c>
      <c r="G1067">
        <v>2</v>
      </c>
      <c r="H1067">
        <f t="shared" si="81"/>
        <v>6</v>
      </c>
      <c r="I1067">
        <v>3.04</v>
      </c>
      <c r="J1067" t="str">
        <f t="shared" si="82"/>
        <v>Second class upper</v>
      </c>
      <c r="K1067">
        <v>1.4</v>
      </c>
      <c r="L1067" t="s">
        <v>21</v>
      </c>
      <c r="M1067">
        <v>3</v>
      </c>
      <c r="N1067">
        <v>1</v>
      </c>
      <c r="O1067">
        <v>8</v>
      </c>
      <c r="P1067">
        <v>0</v>
      </c>
      <c r="Q1067">
        <f t="shared" si="83"/>
        <v>12</v>
      </c>
      <c r="S1067" t="str">
        <f t="shared" si="84"/>
        <v>Mentally Strained</v>
      </c>
    </row>
    <row r="1068" spans="1:19" x14ac:dyDescent="0.25">
      <c r="A1068">
        <v>17</v>
      </c>
      <c r="B1068" t="str">
        <f t="shared" si="80"/>
        <v>Old Teenager</v>
      </c>
      <c r="C1068" t="s">
        <v>19</v>
      </c>
      <c r="D1068">
        <v>6.6</v>
      </c>
      <c r="E1068" t="s">
        <v>23</v>
      </c>
      <c r="F1068">
        <v>8</v>
      </c>
      <c r="G1068">
        <v>1.9</v>
      </c>
      <c r="H1068">
        <f t="shared" si="81"/>
        <v>8.5</v>
      </c>
      <c r="I1068">
        <v>2.86</v>
      </c>
      <c r="J1068" t="str">
        <f t="shared" si="82"/>
        <v>Second class lower</v>
      </c>
      <c r="K1068">
        <v>0.4</v>
      </c>
      <c r="L1068" t="s">
        <v>22</v>
      </c>
      <c r="M1068">
        <v>4</v>
      </c>
      <c r="N1068">
        <v>8</v>
      </c>
      <c r="O1068">
        <v>5</v>
      </c>
      <c r="P1068">
        <v>0</v>
      </c>
      <c r="Q1068">
        <f t="shared" si="83"/>
        <v>17</v>
      </c>
      <c r="S1068" t="str">
        <f t="shared" si="84"/>
        <v>Mentally Strained</v>
      </c>
    </row>
    <row r="1069" spans="1:19" x14ac:dyDescent="0.25">
      <c r="A1069">
        <v>14</v>
      </c>
      <c r="B1069" t="str">
        <f t="shared" si="80"/>
        <v>Young Teenager</v>
      </c>
      <c r="C1069" t="s">
        <v>19</v>
      </c>
      <c r="D1069">
        <v>2.9</v>
      </c>
      <c r="E1069" t="s">
        <v>20</v>
      </c>
      <c r="F1069">
        <v>5.8</v>
      </c>
      <c r="G1069">
        <v>1.6</v>
      </c>
      <c r="H1069">
        <f t="shared" si="81"/>
        <v>4.5</v>
      </c>
      <c r="I1069">
        <v>3.34</v>
      </c>
      <c r="J1069" t="str">
        <f t="shared" si="82"/>
        <v>Second class upper</v>
      </c>
      <c r="K1069">
        <v>1.1000000000000001</v>
      </c>
      <c r="L1069" t="s">
        <v>22</v>
      </c>
      <c r="M1069">
        <v>6</v>
      </c>
      <c r="N1069">
        <v>10</v>
      </c>
      <c r="O1069">
        <v>3</v>
      </c>
      <c r="P1069">
        <v>0</v>
      </c>
      <c r="Q1069">
        <f t="shared" si="83"/>
        <v>19</v>
      </c>
      <c r="S1069" t="str">
        <f t="shared" si="84"/>
        <v>Mentally Strained</v>
      </c>
    </row>
    <row r="1070" spans="1:19" x14ac:dyDescent="0.25">
      <c r="A1070">
        <v>14</v>
      </c>
      <c r="B1070" t="str">
        <f t="shared" si="80"/>
        <v>Young Teenager</v>
      </c>
      <c r="C1070" t="s">
        <v>16</v>
      </c>
      <c r="D1070">
        <v>7.2</v>
      </c>
      <c r="E1070" t="s">
        <v>20</v>
      </c>
      <c r="F1070">
        <v>5.7</v>
      </c>
      <c r="G1070">
        <v>2.7</v>
      </c>
      <c r="H1070">
        <f t="shared" si="81"/>
        <v>9.9</v>
      </c>
      <c r="I1070">
        <v>2.76</v>
      </c>
      <c r="J1070" t="str">
        <f t="shared" si="82"/>
        <v>Second class lower</v>
      </c>
      <c r="K1070">
        <v>0.4</v>
      </c>
      <c r="L1070" t="s">
        <v>18</v>
      </c>
      <c r="M1070">
        <v>7</v>
      </c>
      <c r="N1070">
        <v>3</v>
      </c>
      <c r="O1070">
        <v>7</v>
      </c>
      <c r="P1070">
        <v>0</v>
      </c>
      <c r="Q1070">
        <f t="shared" si="83"/>
        <v>17</v>
      </c>
      <c r="S1070" t="str">
        <f t="shared" si="84"/>
        <v>Mentally Strained</v>
      </c>
    </row>
    <row r="1071" spans="1:19" x14ac:dyDescent="0.25">
      <c r="A1071">
        <v>13</v>
      </c>
      <c r="B1071" t="str">
        <f t="shared" si="80"/>
        <v>Young Teenager</v>
      </c>
      <c r="C1071" t="s">
        <v>19</v>
      </c>
      <c r="D1071">
        <v>2.9</v>
      </c>
      <c r="E1071" t="s">
        <v>17</v>
      </c>
      <c r="F1071">
        <v>5.3</v>
      </c>
      <c r="G1071">
        <v>1</v>
      </c>
      <c r="H1071">
        <f t="shared" si="81"/>
        <v>3.9</v>
      </c>
      <c r="I1071">
        <v>3.89</v>
      </c>
      <c r="J1071" t="str">
        <f t="shared" si="82"/>
        <v>first class</v>
      </c>
      <c r="K1071">
        <v>1.7</v>
      </c>
      <c r="L1071" t="s">
        <v>21</v>
      </c>
      <c r="M1071">
        <v>9</v>
      </c>
      <c r="N1071">
        <v>2</v>
      </c>
      <c r="O1071">
        <v>4</v>
      </c>
      <c r="P1071">
        <v>0</v>
      </c>
      <c r="Q1071">
        <f t="shared" si="83"/>
        <v>15</v>
      </c>
      <c r="S1071" t="str">
        <f t="shared" si="84"/>
        <v>Mentally Strained</v>
      </c>
    </row>
    <row r="1072" spans="1:19" x14ac:dyDescent="0.25">
      <c r="A1072">
        <v>15</v>
      </c>
      <c r="B1072" t="str">
        <f t="shared" si="80"/>
        <v>Young Teenager</v>
      </c>
      <c r="C1072" t="s">
        <v>19</v>
      </c>
      <c r="D1072">
        <v>7.3</v>
      </c>
      <c r="E1072" t="s">
        <v>23</v>
      </c>
      <c r="F1072">
        <v>5.7</v>
      </c>
      <c r="G1072">
        <v>2.9</v>
      </c>
      <c r="H1072">
        <f t="shared" si="81"/>
        <v>10.199999999999999</v>
      </c>
      <c r="I1072">
        <v>3.48</v>
      </c>
      <c r="J1072" t="str">
        <f t="shared" si="82"/>
        <v>Second class upper</v>
      </c>
      <c r="K1072">
        <v>1.8</v>
      </c>
      <c r="L1072" t="s">
        <v>22</v>
      </c>
      <c r="M1072">
        <v>2</v>
      </c>
      <c r="N1072">
        <v>7</v>
      </c>
      <c r="O1072">
        <v>8</v>
      </c>
      <c r="P1072">
        <v>0</v>
      </c>
      <c r="Q1072">
        <f t="shared" si="83"/>
        <v>17</v>
      </c>
      <c r="S1072" t="str">
        <f t="shared" si="84"/>
        <v>Mentally Strained</v>
      </c>
    </row>
    <row r="1073" spans="1:19" x14ac:dyDescent="0.25">
      <c r="A1073">
        <v>16</v>
      </c>
      <c r="B1073" t="str">
        <f t="shared" si="80"/>
        <v>Old Teenager</v>
      </c>
      <c r="C1073" t="s">
        <v>19</v>
      </c>
      <c r="D1073">
        <v>3.7</v>
      </c>
      <c r="E1073" t="s">
        <v>20</v>
      </c>
      <c r="F1073">
        <v>9</v>
      </c>
      <c r="G1073">
        <v>1.5</v>
      </c>
      <c r="H1073">
        <f t="shared" si="81"/>
        <v>5.2</v>
      </c>
      <c r="I1073">
        <v>3.37</v>
      </c>
      <c r="J1073" t="str">
        <f t="shared" si="82"/>
        <v>Second class upper</v>
      </c>
      <c r="K1073">
        <v>1.9</v>
      </c>
      <c r="L1073" t="s">
        <v>18</v>
      </c>
      <c r="M1073">
        <v>4</v>
      </c>
      <c r="N1073">
        <v>3</v>
      </c>
      <c r="O1073">
        <v>1</v>
      </c>
      <c r="P1073">
        <v>0</v>
      </c>
      <c r="Q1073">
        <f t="shared" si="83"/>
        <v>8</v>
      </c>
      <c r="S1073" t="str">
        <f t="shared" si="84"/>
        <v>Mentally Sound</v>
      </c>
    </row>
    <row r="1074" spans="1:19" x14ac:dyDescent="0.25">
      <c r="A1074">
        <v>16</v>
      </c>
      <c r="B1074" t="str">
        <f t="shared" si="80"/>
        <v>Old Teenager</v>
      </c>
      <c r="C1074" t="s">
        <v>16</v>
      </c>
      <c r="D1074">
        <v>7</v>
      </c>
      <c r="E1074" t="s">
        <v>17</v>
      </c>
      <c r="F1074">
        <v>4.8</v>
      </c>
      <c r="G1074">
        <v>1.7</v>
      </c>
      <c r="H1074">
        <f t="shared" si="81"/>
        <v>8.6999999999999993</v>
      </c>
      <c r="I1074">
        <v>2.9</v>
      </c>
      <c r="J1074" t="str">
        <f t="shared" si="82"/>
        <v>Second class lower</v>
      </c>
      <c r="K1074">
        <v>0.3</v>
      </c>
      <c r="L1074" t="s">
        <v>18</v>
      </c>
      <c r="M1074">
        <v>4</v>
      </c>
      <c r="N1074">
        <v>1</v>
      </c>
      <c r="O1074">
        <v>8</v>
      </c>
      <c r="P1074">
        <v>0</v>
      </c>
      <c r="Q1074">
        <f t="shared" si="83"/>
        <v>13</v>
      </c>
      <c r="S1074" t="str">
        <f t="shared" si="84"/>
        <v>Mentally Strained</v>
      </c>
    </row>
    <row r="1075" spans="1:19" x14ac:dyDescent="0.25">
      <c r="A1075">
        <v>15</v>
      </c>
      <c r="B1075" t="str">
        <f t="shared" si="80"/>
        <v>Young Teenager</v>
      </c>
      <c r="C1075" t="s">
        <v>16</v>
      </c>
      <c r="D1075">
        <v>4</v>
      </c>
      <c r="E1075" t="s">
        <v>20</v>
      </c>
      <c r="F1075">
        <v>8.4</v>
      </c>
      <c r="G1075">
        <v>2.2999999999999998</v>
      </c>
      <c r="H1075">
        <f t="shared" si="81"/>
        <v>6.3</v>
      </c>
      <c r="I1075">
        <v>2.52</v>
      </c>
      <c r="J1075" t="str">
        <f t="shared" si="82"/>
        <v>Second class lower</v>
      </c>
      <c r="K1075">
        <v>0.9</v>
      </c>
      <c r="L1075" t="s">
        <v>18</v>
      </c>
      <c r="M1075">
        <v>4</v>
      </c>
      <c r="N1075">
        <v>5</v>
      </c>
      <c r="O1075">
        <v>3</v>
      </c>
      <c r="P1075">
        <v>0</v>
      </c>
      <c r="Q1075">
        <f t="shared" si="83"/>
        <v>12</v>
      </c>
      <c r="S1075" t="str">
        <f t="shared" si="84"/>
        <v>Mentally Strained</v>
      </c>
    </row>
    <row r="1076" spans="1:19" x14ac:dyDescent="0.25">
      <c r="A1076">
        <v>16</v>
      </c>
      <c r="B1076" t="str">
        <f t="shared" si="80"/>
        <v>Old Teenager</v>
      </c>
      <c r="C1076" t="s">
        <v>16</v>
      </c>
      <c r="D1076">
        <v>2.7</v>
      </c>
      <c r="E1076" t="s">
        <v>23</v>
      </c>
      <c r="F1076">
        <v>7.5</v>
      </c>
      <c r="G1076">
        <v>2.8</v>
      </c>
      <c r="H1076">
        <f t="shared" si="81"/>
        <v>5.5</v>
      </c>
      <c r="I1076">
        <v>3.53</v>
      </c>
      <c r="J1076" t="str">
        <f t="shared" si="82"/>
        <v>Second class upper</v>
      </c>
      <c r="K1076">
        <v>0.9</v>
      </c>
      <c r="L1076" t="s">
        <v>22</v>
      </c>
      <c r="M1076">
        <v>3</v>
      </c>
      <c r="N1076">
        <v>1</v>
      </c>
      <c r="O1076">
        <v>5</v>
      </c>
      <c r="P1076">
        <v>0</v>
      </c>
      <c r="Q1076">
        <f t="shared" si="83"/>
        <v>9</v>
      </c>
      <c r="S1076" t="str">
        <f t="shared" si="84"/>
        <v>Mentally Sound</v>
      </c>
    </row>
    <row r="1077" spans="1:19" x14ac:dyDescent="0.25">
      <c r="A1077">
        <v>15</v>
      </c>
      <c r="B1077" t="str">
        <f t="shared" si="80"/>
        <v>Young Teenager</v>
      </c>
      <c r="C1077" t="s">
        <v>16</v>
      </c>
      <c r="D1077">
        <v>7.2</v>
      </c>
      <c r="E1077" t="s">
        <v>23</v>
      </c>
      <c r="F1077">
        <v>5.7</v>
      </c>
      <c r="G1077">
        <v>0.7</v>
      </c>
      <c r="H1077">
        <f t="shared" si="81"/>
        <v>7.9</v>
      </c>
      <c r="I1077">
        <v>3.89</v>
      </c>
      <c r="J1077" t="str">
        <f t="shared" si="82"/>
        <v>first class</v>
      </c>
      <c r="K1077">
        <v>1</v>
      </c>
      <c r="L1077" t="s">
        <v>22</v>
      </c>
      <c r="M1077">
        <v>1</v>
      </c>
      <c r="N1077">
        <v>3</v>
      </c>
      <c r="O1077">
        <v>6</v>
      </c>
      <c r="P1077">
        <v>0</v>
      </c>
      <c r="Q1077">
        <f t="shared" si="83"/>
        <v>10</v>
      </c>
      <c r="S1077" t="str">
        <f t="shared" si="84"/>
        <v>Mentally Strained</v>
      </c>
    </row>
    <row r="1078" spans="1:19" x14ac:dyDescent="0.25">
      <c r="A1078">
        <v>18</v>
      </c>
      <c r="B1078" t="str">
        <f t="shared" si="80"/>
        <v>Old Teenager</v>
      </c>
      <c r="C1078" t="s">
        <v>16</v>
      </c>
      <c r="D1078">
        <v>7.9</v>
      </c>
      <c r="E1078" t="s">
        <v>23</v>
      </c>
      <c r="F1078">
        <v>7</v>
      </c>
      <c r="G1078">
        <v>2.7</v>
      </c>
      <c r="H1078">
        <f t="shared" si="81"/>
        <v>10.600000000000001</v>
      </c>
      <c r="I1078">
        <v>3.9</v>
      </c>
      <c r="J1078" t="str">
        <f t="shared" si="82"/>
        <v>first class</v>
      </c>
      <c r="K1078">
        <v>1</v>
      </c>
      <c r="L1078" t="s">
        <v>22</v>
      </c>
      <c r="M1078">
        <v>1</v>
      </c>
      <c r="N1078">
        <v>2</v>
      </c>
      <c r="O1078">
        <v>10</v>
      </c>
      <c r="P1078">
        <v>0</v>
      </c>
      <c r="Q1078">
        <f t="shared" si="83"/>
        <v>13</v>
      </c>
      <c r="S1078" t="str">
        <f t="shared" si="84"/>
        <v>Mentally Strained</v>
      </c>
    </row>
    <row r="1079" spans="1:19" x14ac:dyDescent="0.25">
      <c r="A1079">
        <v>14</v>
      </c>
      <c r="B1079" t="str">
        <f t="shared" si="80"/>
        <v>Young Teenager</v>
      </c>
      <c r="C1079" t="s">
        <v>19</v>
      </c>
      <c r="D1079">
        <v>5.0999999999999996</v>
      </c>
      <c r="E1079" t="s">
        <v>17</v>
      </c>
      <c r="F1079">
        <v>5.3</v>
      </c>
      <c r="G1079">
        <v>2.2999999999999998</v>
      </c>
      <c r="H1079">
        <f t="shared" si="81"/>
        <v>7.3999999999999995</v>
      </c>
      <c r="I1079">
        <v>2.31</v>
      </c>
      <c r="J1079" t="str">
        <f t="shared" si="82"/>
        <v>third class</v>
      </c>
      <c r="K1079">
        <v>0.2</v>
      </c>
      <c r="L1079" t="s">
        <v>21</v>
      </c>
      <c r="M1079">
        <v>3</v>
      </c>
      <c r="N1079">
        <v>3</v>
      </c>
      <c r="O1079">
        <v>6</v>
      </c>
      <c r="P1079">
        <v>0</v>
      </c>
      <c r="Q1079">
        <f t="shared" si="83"/>
        <v>12</v>
      </c>
      <c r="S1079" t="str">
        <f t="shared" si="84"/>
        <v>Mentally Strained</v>
      </c>
    </row>
    <row r="1080" spans="1:19" x14ac:dyDescent="0.25">
      <c r="A1080">
        <v>15</v>
      </c>
      <c r="B1080" t="str">
        <f t="shared" si="80"/>
        <v>Young Teenager</v>
      </c>
      <c r="C1080" t="s">
        <v>19</v>
      </c>
      <c r="D1080">
        <v>6.4</v>
      </c>
      <c r="E1080" t="s">
        <v>23</v>
      </c>
      <c r="F1080">
        <v>7.7</v>
      </c>
      <c r="G1080">
        <v>0.7</v>
      </c>
      <c r="H1080">
        <f t="shared" si="81"/>
        <v>7.1000000000000005</v>
      </c>
      <c r="I1080">
        <v>3.86</v>
      </c>
      <c r="J1080" t="str">
        <f t="shared" si="82"/>
        <v>first class</v>
      </c>
      <c r="K1080">
        <v>1.5</v>
      </c>
      <c r="L1080" t="s">
        <v>21</v>
      </c>
      <c r="M1080">
        <v>10</v>
      </c>
      <c r="N1080">
        <v>2</v>
      </c>
      <c r="O1080">
        <v>7</v>
      </c>
      <c r="P1080">
        <v>0</v>
      </c>
      <c r="Q1080">
        <f t="shared" si="83"/>
        <v>19</v>
      </c>
      <c r="S1080" t="str">
        <f t="shared" si="84"/>
        <v>Mentally Strained</v>
      </c>
    </row>
    <row r="1081" spans="1:19" x14ac:dyDescent="0.25">
      <c r="A1081">
        <v>16</v>
      </c>
      <c r="B1081" t="str">
        <f t="shared" si="80"/>
        <v>Old Teenager</v>
      </c>
      <c r="C1081" t="s">
        <v>19</v>
      </c>
      <c r="D1081">
        <v>4.4000000000000004</v>
      </c>
      <c r="E1081" t="s">
        <v>23</v>
      </c>
      <c r="F1081">
        <v>4.2</v>
      </c>
      <c r="G1081">
        <v>2</v>
      </c>
      <c r="H1081">
        <f t="shared" si="81"/>
        <v>6.4</v>
      </c>
      <c r="I1081">
        <v>3.89</v>
      </c>
      <c r="J1081" t="str">
        <f t="shared" si="82"/>
        <v>first class</v>
      </c>
      <c r="K1081">
        <v>1.1000000000000001</v>
      </c>
      <c r="L1081" t="s">
        <v>22</v>
      </c>
      <c r="M1081">
        <v>2</v>
      </c>
      <c r="N1081">
        <v>9</v>
      </c>
      <c r="O1081">
        <v>8</v>
      </c>
      <c r="P1081">
        <v>0</v>
      </c>
      <c r="Q1081">
        <f t="shared" si="83"/>
        <v>19</v>
      </c>
      <c r="S1081" t="str">
        <f t="shared" si="84"/>
        <v>Mentally Strained</v>
      </c>
    </row>
    <row r="1082" spans="1:19" x14ac:dyDescent="0.25">
      <c r="A1082">
        <v>16</v>
      </c>
      <c r="B1082" t="str">
        <f t="shared" si="80"/>
        <v>Old Teenager</v>
      </c>
      <c r="C1082" t="s">
        <v>16</v>
      </c>
      <c r="D1082">
        <v>7</v>
      </c>
      <c r="E1082" t="s">
        <v>20</v>
      </c>
      <c r="F1082">
        <v>7.4</v>
      </c>
      <c r="G1082">
        <v>2.6</v>
      </c>
      <c r="H1082">
        <f t="shared" si="81"/>
        <v>9.6</v>
      </c>
      <c r="I1082">
        <v>2.92</v>
      </c>
      <c r="J1082" t="str">
        <f t="shared" si="82"/>
        <v>Second class lower</v>
      </c>
      <c r="K1082">
        <v>1</v>
      </c>
      <c r="L1082" t="s">
        <v>22</v>
      </c>
      <c r="M1082">
        <v>10</v>
      </c>
      <c r="N1082">
        <v>6</v>
      </c>
      <c r="O1082">
        <v>3</v>
      </c>
      <c r="P1082">
        <v>0</v>
      </c>
      <c r="Q1082">
        <f t="shared" si="83"/>
        <v>19</v>
      </c>
      <c r="S1082" t="str">
        <f t="shared" si="84"/>
        <v>Mentally Strained</v>
      </c>
    </row>
    <row r="1083" spans="1:19" x14ac:dyDescent="0.25">
      <c r="A1083">
        <v>17</v>
      </c>
      <c r="B1083" t="str">
        <f t="shared" si="80"/>
        <v>Old Teenager</v>
      </c>
      <c r="C1083" t="s">
        <v>19</v>
      </c>
      <c r="D1083">
        <v>7.8</v>
      </c>
      <c r="E1083" t="s">
        <v>20</v>
      </c>
      <c r="F1083">
        <v>5.7</v>
      </c>
      <c r="G1083">
        <v>1.2</v>
      </c>
      <c r="H1083">
        <f t="shared" si="81"/>
        <v>9</v>
      </c>
      <c r="I1083">
        <v>3.72</v>
      </c>
      <c r="J1083" t="str">
        <f t="shared" si="82"/>
        <v>first class</v>
      </c>
      <c r="K1083">
        <v>1.2</v>
      </c>
      <c r="L1083" t="s">
        <v>21</v>
      </c>
      <c r="M1083">
        <v>10</v>
      </c>
      <c r="N1083">
        <v>2</v>
      </c>
      <c r="O1083">
        <v>6</v>
      </c>
      <c r="P1083">
        <v>0</v>
      </c>
      <c r="Q1083">
        <f t="shared" si="83"/>
        <v>18</v>
      </c>
      <c r="S1083" t="str">
        <f t="shared" si="84"/>
        <v>Mentally Strained</v>
      </c>
    </row>
    <row r="1084" spans="1:19" x14ac:dyDescent="0.25">
      <c r="A1084">
        <v>14</v>
      </c>
      <c r="B1084" t="str">
        <f t="shared" si="80"/>
        <v>Young Teenager</v>
      </c>
      <c r="C1084" t="s">
        <v>19</v>
      </c>
      <c r="D1084">
        <v>5</v>
      </c>
      <c r="E1084" t="s">
        <v>17</v>
      </c>
      <c r="F1084">
        <v>6.2</v>
      </c>
      <c r="G1084">
        <v>1</v>
      </c>
      <c r="H1084">
        <f t="shared" si="81"/>
        <v>6</v>
      </c>
      <c r="I1084">
        <v>2</v>
      </c>
      <c r="J1084" t="str">
        <f t="shared" si="82"/>
        <v>third class</v>
      </c>
      <c r="K1084">
        <v>1.5</v>
      </c>
      <c r="L1084" t="s">
        <v>18</v>
      </c>
      <c r="M1084">
        <v>5</v>
      </c>
      <c r="N1084">
        <v>6</v>
      </c>
      <c r="O1084">
        <v>1</v>
      </c>
      <c r="P1084">
        <v>0</v>
      </c>
      <c r="Q1084">
        <f t="shared" si="83"/>
        <v>12</v>
      </c>
      <c r="S1084" t="str">
        <f t="shared" si="84"/>
        <v>Mentally Strained</v>
      </c>
    </row>
    <row r="1085" spans="1:19" x14ac:dyDescent="0.25">
      <c r="A1085">
        <v>17</v>
      </c>
      <c r="B1085" t="str">
        <f t="shared" si="80"/>
        <v>Old Teenager</v>
      </c>
      <c r="C1085" t="s">
        <v>16</v>
      </c>
      <c r="D1085">
        <v>6.6</v>
      </c>
      <c r="E1085" t="s">
        <v>20</v>
      </c>
      <c r="F1085">
        <v>5.3</v>
      </c>
      <c r="G1085">
        <v>1.1000000000000001</v>
      </c>
      <c r="H1085">
        <f t="shared" si="81"/>
        <v>7.6999999999999993</v>
      </c>
      <c r="I1085">
        <v>3.5</v>
      </c>
      <c r="J1085" t="str">
        <f t="shared" si="82"/>
        <v>Second class upper</v>
      </c>
      <c r="K1085">
        <v>1.7</v>
      </c>
      <c r="L1085" t="s">
        <v>22</v>
      </c>
      <c r="M1085">
        <v>1</v>
      </c>
      <c r="N1085">
        <v>10</v>
      </c>
      <c r="O1085">
        <v>7</v>
      </c>
      <c r="P1085">
        <v>0</v>
      </c>
      <c r="Q1085">
        <f t="shared" si="83"/>
        <v>18</v>
      </c>
      <c r="S1085" t="str">
        <f t="shared" si="84"/>
        <v>Mentally Strained</v>
      </c>
    </row>
    <row r="1086" spans="1:19" x14ac:dyDescent="0.25">
      <c r="A1086">
        <v>18</v>
      </c>
      <c r="B1086" t="str">
        <f t="shared" si="80"/>
        <v>Old Teenager</v>
      </c>
      <c r="C1086" t="s">
        <v>16</v>
      </c>
      <c r="D1086">
        <v>2.6</v>
      </c>
      <c r="E1086" t="s">
        <v>23</v>
      </c>
      <c r="F1086">
        <v>8.6</v>
      </c>
      <c r="G1086">
        <v>2.7</v>
      </c>
      <c r="H1086">
        <f t="shared" si="81"/>
        <v>5.3000000000000007</v>
      </c>
      <c r="I1086">
        <v>3.28</v>
      </c>
      <c r="J1086" t="str">
        <f t="shared" si="82"/>
        <v>Second class upper</v>
      </c>
      <c r="K1086">
        <v>0.8</v>
      </c>
      <c r="L1086" t="s">
        <v>21</v>
      </c>
      <c r="M1086">
        <v>5</v>
      </c>
      <c r="N1086">
        <v>4</v>
      </c>
      <c r="O1086">
        <v>6</v>
      </c>
      <c r="P1086">
        <v>0</v>
      </c>
      <c r="Q1086">
        <f t="shared" si="83"/>
        <v>15</v>
      </c>
      <c r="S1086" t="str">
        <f t="shared" si="84"/>
        <v>Mentally Strained</v>
      </c>
    </row>
    <row r="1087" spans="1:19" x14ac:dyDescent="0.25">
      <c r="A1087">
        <v>13</v>
      </c>
      <c r="B1087" t="str">
        <f t="shared" si="80"/>
        <v>Young Teenager</v>
      </c>
      <c r="C1087" t="s">
        <v>19</v>
      </c>
      <c r="D1087">
        <v>5.8</v>
      </c>
      <c r="E1087" t="s">
        <v>17</v>
      </c>
      <c r="F1087">
        <v>4.4000000000000004</v>
      </c>
      <c r="G1087">
        <v>1.8</v>
      </c>
      <c r="H1087">
        <f t="shared" si="81"/>
        <v>7.6</v>
      </c>
      <c r="I1087">
        <v>3.8</v>
      </c>
      <c r="J1087" t="str">
        <f t="shared" si="82"/>
        <v>first class</v>
      </c>
      <c r="K1087">
        <v>1</v>
      </c>
      <c r="L1087" t="s">
        <v>21</v>
      </c>
      <c r="M1087">
        <v>2</v>
      </c>
      <c r="N1087">
        <v>2</v>
      </c>
      <c r="O1087">
        <v>1</v>
      </c>
      <c r="P1087">
        <v>0</v>
      </c>
      <c r="Q1087">
        <f t="shared" si="83"/>
        <v>5</v>
      </c>
      <c r="S1087" t="str">
        <f t="shared" si="84"/>
        <v>Mentally Sound</v>
      </c>
    </row>
    <row r="1088" spans="1:19" x14ac:dyDescent="0.25">
      <c r="A1088">
        <v>14</v>
      </c>
      <c r="B1088" t="str">
        <f t="shared" si="80"/>
        <v>Young Teenager</v>
      </c>
      <c r="C1088" t="s">
        <v>19</v>
      </c>
      <c r="D1088">
        <v>5.6</v>
      </c>
      <c r="E1088" t="s">
        <v>20</v>
      </c>
      <c r="F1088">
        <v>6.8</v>
      </c>
      <c r="G1088">
        <v>2.2999999999999998</v>
      </c>
      <c r="H1088">
        <f t="shared" si="81"/>
        <v>7.8999999999999995</v>
      </c>
      <c r="I1088">
        <v>2.66</v>
      </c>
      <c r="J1088" t="str">
        <f t="shared" si="82"/>
        <v>Second class lower</v>
      </c>
      <c r="K1088">
        <v>1.1000000000000001</v>
      </c>
      <c r="L1088" t="s">
        <v>21</v>
      </c>
      <c r="M1088">
        <v>7</v>
      </c>
      <c r="N1088">
        <v>6</v>
      </c>
      <c r="O1088">
        <v>2</v>
      </c>
      <c r="P1088">
        <v>0</v>
      </c>
      <c r="Q1088">
        <f t="shared" si="83"/>
        <v>15</v>
      </c>
      <c r="S1088" t="str">
        <f t="shared" si="84"/>
        <v>Mentally Strained</v>
      </c>
    </row>
    <row r="1089" spans="1:19" x14ac:dyDescent="0.25">
      <c r="A1089">
        <v>18</v>
      </c>
      <c r="B1089" t="str">
        <f t="shared" si="80"/>
        <v>Old Teenager</v>
      </c>
      <c r="C1089" t="s">
        <v>16</v>
      </c>
      <c r="D1089">
        <v>4.5999999999999996</v>
      </c>
      <c r="E1089" t="s">
        <v>23</v>
      </c>
      <c r="F1089">
        <v>4.3</v>
      </c>
      <c r="G1089">
        <v>2.9</v>
      </c>
      <c r="H1089">
        <f t="shared" si="81"/>
        <v>7.5</v>
      </c>
      <c r="I1089">
        <v>2.95</v>
      </c>
      <c r="J1089" t="str">
        <f t="shared" si="82"/>
        <v>Second class lower</v>
      </c>
      <c r="K1089">
        <v>0.6</v>
      </c>
      <c r="L1089" t="s">
        <v>22</v>
      </c>
      <c r="M1089">
        <v>7</v>
      </c>
      <c r="N1089">
        <v>9</v>
      </c>
      <c r="O1089">
        <v>8</v>
      </c>
      <c r="P1089">
        <v>0</v>
      </c>
      <c r="Q1089">
        <f t="shared" si="83"/>
        <v>24</v>
      </c>
      <c r="S1089" t="str">
        <f t="shared" si="84"/>
        <v>Mentally Unstable</v>
      </c>
    </row>
    <row r="1090" spans="1:19" x14ac:dyDescent="0.25">
      <c r="A1090">
        <v>19</v>
      </c>
      <c r="B1090" t="str">
        <f t="shared" si="80"/>
        <v>Old Teenager</v>
      </c>
      <c r="C1090" t="s">
        <v>16</v>
      </c>
      <c r="D1090">
        <v>1.4</v>
      </c>
      <c r="E1090" t="s">
        <v>23</v>
      </c>
      <c r="F1090">
        <v>4.7</v>
      </c>
      <c r="G1090">
        <v>0.5</v>
      </c>
      <c r="H1090">
        <f t="shared" si="81"/>
        <v>1.9</v>
      </c>
      <c r="I1090">
        <v>3.57</v>
      </c>
      <c r="J1090" t="str">
        <f t="shared" si="82"/>
        <v>Second class upper</v>
      </c>
      <c r="K1090">
        <v>1.7</v>
      </c>
      <c r="L1090" t="s">
        <v>21</v>
      </c>
      <c r="M1090">
        <v>1</v>
      </c>
      <c r="N1090">
        <v>5</v>
      </c>
      <c r="O1090">
        <v>6</v>
      </c>
      <c r="P1090">
        <v>0</v>
      </c>
      <c r="Q1090">
        <f t="shared" si="83"/>
        <v>12</v>
      </c>
      <c r="S1090" t="str">
        <f t="shared" si="84"/>
        <v>Mentally Strained</v>
      </c>
    </row>
    <row r="1091" spans="1:19" x14ac:dyDescent="0.25">
      <c r="A1091">
        <v>13</v>
      </c>
      <c r="B1091" t="str">
        <f t="shared" ref="B1091:B1154" si="85">IF(A1091&lt;=15,"Young Teenager","Old Teenager")</f>
        <v>Young Teenager</v>
      </c>
      <c r="C1091" t="s">
        <v>19</v>
      </c>
      <c r="D1091">
        <v>2.9</v>
      </c>
      <c r="E1091" t="s">
        <v>23</v>
      </c>
      <c r="F1091">
        <v>8.1999999999999993</v>
      </c>
      <c r="G1091">
        <v>2.2999999999999998</v>
      </c>
      <c r="H1091">
        <f t="shared" ref="H1091:H1154" si="86">SUM(D1091,G1091)</f>
        <v>5.1999999999999993</v>
      </c>
      <c r="I1091">
        <v>2.48</v>
      </c>
      <c r="J1091" t="str">
        <f t="shared" ref="J1091:J1154" si="87">IF(I1091&lt;=2.49,"third class",IF(I1091&lt;3,"Second class lower",IF(I1091&lt;3.6,"Second class upper","first class")))</f>
        <v>third class</v>
      </c>
      <c r="K1091">
        <v>0.9</v>
      </c>
      <c r="L1091" t="s">
        <v>18</v>
      </c>
      <c r="M1091">
        <v>5</v>
      </c>
      <c r="N1091">
        <v>8</v>
      </c>
      <c r="O1091">
        <v>9</v>
      </c>
      <c r="P1091">
        <v>0</v>
      </c>
      <c r="Q1091">
        <f t="shared" ref="Q1091:Q1154" si="88">SUM(M1091:P1091)</f>
        <v>22</v>
      </c>
      <c r="S1091" t="str">
        <f t="shared" ref="S1091:S1154" si="89">IF(Q1091&lt;10,"Mentally Sound",IF(Q1091&gt;=20,"Mentally Unstable","Mentally Strained"))</f>
        <v>Mentally Unstable</v>
      </c>
    </row>
    <row r="1092" spans="1:19" x14ac:dyDescent="0.25">
      <c r="A1092">
        <v>16</v>
      </c>
      <c r="B1092" t="str">
        <f t="shared" si="85"/>
        <v>Old Teenager</v>
      </c>
      <c r="C1092" t="s">
        <v>19</v>
      </c>
      <c r="D1092">
        <v>7.9</v>
      </c>
      <c r="E1092" t="s">
        <v>17</v>
      </c>
      <c r="F1092">
        <v>6.3</v>
      </c>
      <c r="G1092">
        <v>2.7</v>
      </c>
      <c r="H1092">
        <f t="shared" si="86"/>
        <v>10.600000000000001</v>
      </c>
      <c r="I1092">
        <v>2.88</v>
      </c>
      <c r="J1092" t="str">
        <f t="shared" si="87"/>
        <v>Second class lower</v>
      </c>
      <c r="K1092">
        <v>0.2</v>
      </c>
      <c r="L1092" t="s">
        <v>21</v>
      </c>
      <c r="M1092">
        <v>2</v>
      </c>
      <c r="N1092">
        <v>7</v>
      </c>
      <c r="O1092">
        <v>5</v>
      </c>
      <c r="P1092">
        <v>0</v>
      </c>
      <c r="Q1092">
        <f t="shared" si="88"/>
        <v>14</v>
      </c>
      <c r="S1092" t="str">
        <f t="shared" si="89"/>
        <v>Mentally Strained</v>
      </c>
    </row>
    <row r="1093" spans="1:19" x14ac:dyDescent="0.25">
      <c r="A1093">
        <v>13</v>
      </c>
      <c r="B1093" t="str">
        <f t="shared" si="85"/>
        <v>Young Teenager</v>
      </c>
      <c r="C1093" t="s">
        <v>16</v>
      </c>
      <c r="D1093">
        <v>3.5</v>
      </c>
      <c r="E1093" t="s">
        <v>23</v>
      </c>
      <c r="F1093">
        <v>6.8</v>
      </c>
      <c r="G1093">
        <v>2.2999999999999998</v>
      </c>
      <c r="H1093">
        <f t="shared" si="86"/>
        <v>5.8</v>
      </c>
      <c r="I1093">
        <v>2.2799999999999998</v>
      </c>
      <c r="J1093" t="str">
        <f t="shared" si="87"/>
        <v>third class</v>
      </c>
      <c r="K1093">
        <v>1</v>
      </c>
      <c r="L1093" t="s">
        <v>18</v>
      </c>
      <c r="M1093">
        <v>7</v>
      </c>
      <c r="N1093">
        <v>2</v>
      </c>
      <c r="O1093">
        <v>6</v>
      </c>
      <c r="P1093">
        <v>0</v>
      </c>
      <c r="Q1093">
        <f t="shared" si="88"/>
        <v>15</v>
      </c>
      <c r="S1093" t="str">
        <f t="shared" si="89"/>
        <v>Mentally Strained</v>
      </c>
    </row>
    <row r="1094" spans="1:19" x14ac:dyDescent="0.25">
      <c r="A1094">
        <v>14</v>
      </c>
      <c r="B1094" t="str">
        <f t="shared" si="85"/>
        <v>Young Teenager</v>
      </c>
      <c r="C1094" t="s">
        <v>19</v>
      </c>
      <c r="D1094">
        <v>3.8</v>
      </c>
      <c r="E1094" t="s">
        <v>17</v>
      </c>
      <c r="F1094">
        <v>7.9</v>
      </c>
      <c r="G1094">
        <v>1.2</v>
      </c>
      <c r="H1094">
        <f t="shared" si="86"/>
        <v>5</v>
      </c>
      <c r="I1094">
        <v>3.24</v>
      </c>
      <c r="J1094" t="str">
        <f t="shared" si="87"/>
        <v>Second class upper</v>
      </c>
      <c r="K1094">
        <v>1.6</v>
      </c>
      <c r="L1094" t="s">
        <v>21</v>
      </c>
      <c r="M1094">
        <v>6</v>
      </c>
      <c r="N1094">
        <v>10</v>
      </c>
      <c r="O1094">
        <v>5</v>
      </c>
      <c r="P1094">
        <v>0</v>
      </c>
      <c r="Q1094">
        <f t="shared" si="88"/>
        <v>21</v>
      </c>
      <c r="S1094" t="str">
        <f t="shared" si="89"/>
        <v>Mentally Unstable</v>
      </c>
    </row>
    <row r="1095" spans="1:19" x14ac:dyDescent="0.25">
      <c r="A1095">
        <v>19</v>
      </c>
      <c r="B1095" t="str">
        <f t="shared" si="85"/>
        <v>Old Teenager</v>
      </c>
      <c r="C1095" t="s">
        <v>16</v>
      </c>
      <c r="D1095">
        <v>2.9</v>
      </c>
      <c r="E1095" t="s">
        <v>17</v>
      </c>
      <c r="F1095">
        <v>8.6999999999999993</v>
      </c>
      <c r="G1095">
        <v>0.9</v>
      </c>
      <c r="H1095">
        <f t="shared" si="86"/>
        <v>3.8</v>
      </c>
      <c r="I1095">
        <v>2.99</v>
      </c>
      <c r="J1095" t="str">
        <f t="shared" si="87"/>
        <v>Second class lower</v>
      </c>
      <c r="K1095">
        <v>0.8</v>
      </c>
      <c r="L1095" t="s">
        <v>22</v>
      </c>
      <c r="M1095">
        <v>7</v>
      </c>
      <c r="N1095">
        <v>8</v>
      </c>
      <c r="O1095">
        <v>2</v>
      </c>
      <c r="P1095">
        <v>0</v>
      </c>
      <c r="Q1095">
        <f t="shared" si="88"/>
        <v>17</v>
      </c>
      <c r="S1095" t="str">
        <f t="shared" si="89"/>
        <v>Mentally Strained</v>
      </c>
    </row>
    <row r="1096" spans="1:19" x14ac:dyDescent="0.25">
      <c r="A1096">
        <v>17</v>
      </c>
      <c r="B1096" t="str">
        <f t="shared" si="85"/>
        <v>Old Teenager</v>
      </c>
      <c r="C1096" t="s">
        <v>16</v>
      </c>
      <c r="D1096">
        <v>3.5</v>
      </c>
      <c r="E1096" t="s">
        <v>23</v>
      </c>
      <c r="F1096">
        <v>4.5999999999999996</v>
      </c>
      <c r="G1096">
        <v>0.7</v>
      </c>
      <c r="H1096">
        <f t="shared" si="86"/>
        <v>4.2</v>
      </c>
      <c r="I1096">
        <v>3.9</v>
      </c>
      <c r="J1096" t="str">
        <f t="shared" si="87"/>
        <v>first class</v>
      </c>
      <c r="K1096">
        <v>0.6</v>
      </c>
      <c r="L1096" t="s">
        <v>21</v>
      </c>
      <c r="M1096">
        <v>7</v>
      </c>
      <c r="N1096">
        <v>3</v>
      </c>
      <c r="O1096">
        <v>1</v>
      </c>
      <c r="P1096">
        <v>0</v>
      </c>
      <c r="Q1096">
        <f t="shared" si="88"/>
        <v>11</v>
      </c>
      <c r="S1096" t="str">
        <f t="shared" si="89"/>
        <v>Mentally Strained</v>
      </c>
    </row>
    <row r="1097" spans="1:19" x14ac:dyDescent="0.25">
      <c r="A1097">
        <v>16</v>
      </c>
      <c r="B1097" t="str">
        <f t="shared" si="85"/>
        <v>Old Teenager</v>
      </c>
      <c r="C1097" t="s">
        <v>16</v>
      </c>
      <c r="D1097">
        <v>4.8</v>
      </c>
      <c r="E1097" t="s">
        <v>17</v>
      </c>
      <c r="F1097">
        <v>8.6</v>
      </c>
      <c r="G1097">
        <v>1.8</v>
      </c>
      <c r="H1097">
        <f t="shared" si="86"/>
        <v>6.6</v>
      </c>
      <c r="I1097">
        <v>2.44</v>
      </c>
      <c r="J1097" t="str">
        <f t="shared" si="87"/>
        <v>third class</v>
      </c>
      <c r="K1097">
        <v>1.7</v>
      </c>
      <c r="L1097" t="s">
        <v>21</v>
      </c>
      <c r="M1097">
        <v>8</v>
      </c>
      <c r="N1097">
        <v>7</v>
      </c>
      <c r="O1097">
        <v>3</v>
      </c>
      <c r="P1097">
        <v>0</v>
      </c>
      <c r="Q1097">
        <f t="shared" si="88"/>
        <v>18</v>
      </c>
      <c r="S1097" t="str">
        <f t="shared" si="89"/>
        <v>Mentally Strained</v>
      </c>
    </row>
    <row r="1098" spans="1:19" x14ac:dyDescent="0.25">
      <c r="A1098">
        <v>13</v>
      </c>
      <c r="B1098" t="str">
        <f t="shared" si="85"/>
        <v>Young Teenager</v>
      </c>
      <c r="C1098" t="s">
        <v>16</v>
      </c>
      <c r="D1098">
        <v>5.8</v>
      </c>
      <c r="E1098" t="s">
        <v>20</v>
      </c>
      <c r="F1098">
        <v>7.2</v>
      </c>
      <c r="G1098">
        <v>1.1000000000000001</v>
      </c>
      <c r="H1098">
        <f t="shared" si="86"/>
        <v>6.9</v>
      </c>
      <c r="I1098">
        <v>2.69</v>
      </c>
      <c r="J1098" t="str">
        <f t="shared" si="87"/>
        <v>Second class lower</v>
      </c>
      <c r="K1098">
        <v>0.4</v>
      </c>
      <c r="L1098" t="s">
        <v>18</v>
      </c>
      <c r="M1098">
        <v>7</v>
      </c>
      <c r="N1098">
        <v>3</v>
      </c>
      <c r="O1098">
        <v>7</v>
      </c>
      <c r="P1098">
        <v>0</v>
      </c>
      <c r="Q1098">
        <f t="shared" si="88"/>
        <v>17</v>
      </c>
      <c r="S1098" t="str">
        <f t="shared" si="89"/>
        <v>Mentally Strained</v>
      </c>
    </row>
    <row r="1099" spans="1:19" x14ac:dyDescent="0.25">
      <c r="A1099">
        <v>16</v>
      </c>
      <c r="B1099" t="str">
        <f t="shared" si="85"/>
        <v>Old Teenager</v>
      </c>
      <c r="C1099" t="s">
        <v>19</v>
      </c>
      <c r="D1099">
        <v>6.1</v>
      </c>
      <c r="E1099" t="s">
        <v>23</v>
      </c>
      <c r="F1099">
        <v>7.5</v>
      </c>
      <c r="G1099">
        <v>2.5</v>
      </c>
      <c r="H1099">
        <f t="shared" si="86"/>
        <v>8.6</v>
      </c>
      <c r="I1099">
        <v>3.14</v>
      </c>
      <c r="J1099" t="str">
        <f t="shared" si="87"/>
        <v>Second class upper</v>
      </c>
      <c r="K1099">
        <v>0.5</v>
      </c>
      <c r="L1099" t="s">
        <v>18</v>
      </c>
      <c r="M1099">
        <v>9</v>
      </c>
      <c r="N1099">
        <v>6</v>
      </c>
      <c r="O1099">
        <v>10</v>
      </c>
      <c r="P1099">
        <v>0</v>
      </c>
      <c r="Q1099">
        <f t="shared" si="88"/>
        <v>25</v>
      </c>
      <c r="S1099" t="str">
        <f t="shared" si="89"/>
        <v>Mentally Unstable</v>
      </c>
    </row>
    <row r="1100" spans="1:19" x14ac:dyDescent="0.25">
      <c r="A1100">
        <v>14</v>
      </c>
      <c r="B1100" t="str">
        <f t="shared" si="85"/>
        <v>Young Teenager</v>
      </c>
      <c r="C1100" t="s">
        <v>19</v>
      </c>
      <c r="D1100">
        <v>4.3</v>
      </c>
      <c r="E1100" t="s">
        <v>23</v>
      </c>
      <c r="F1100">
        <v>7.8</v>
      </c>
      <c r="G1100">
        <v>0.5</v>
      </c>
      <c r="H1100">
        <f t="shared" si="86"/>
        <v>4.8</v>
      </c>
      <c r="I1100">
        <v>3.92</v>
      </c>
      <c r="J1100" t="str">
        <f t="shared" si="87"/>
        <v>first class</v>
      </c>
      <c r="K1100">
        <v>0.7</v>
      </c>
      <c r="L1100" t="s">
        <v>21</v>
      </c>
      <c r="M1100">
        <v>3</v>
      </c>
      <c r="N1100">
        <v>4</v>
      </c>
      <c r="O1100">
        <v>8</v>
      </c>
      <c r="P1100">
        <v>0</v>
      </c>
      <c r="Q1100">
        <f t="shared" si="88"/>
        <v>15</v>
      </c>
      <c r="S1100" t="str">
        <f t="shared" si="89"/>
        <v>Mentally Strained</v>
      </c>
    </row>
    <row r="1101" spans="1:19" x14ac:dyDescent="0.25">
      <c r="A1101">
        <v>15</v>
      </c>
      <c r="B1101" t="str">
        <f t="shared" si="85"/>
        <v>Young Teenager</v>
      </c>
      <c r="C1101" t="s">
        <v>19</v>
      </c>
      <c r="D1101">
        <v>7.8</v>
      </c>
      <c r="E1101" t="s">
        <v>17</v>
      </c>
      <c r="F1101">
        <v>4.5999999999999996</v>
      </c>
      <c r="G1101">
        <v>3</v>
      </c>
      <c r="H1101">
        <f t="shared" si="86"/>
        <v>10.8</v>
      </c>
      <c r="I1101">
        <v>2.44</v>
      </c>
      <c r="J1101" t="str">
        <f t="shared" si="87"/>
        <v>third class</v>
      </c>
      <c r="K1101">
        <v>1.4</v>
      </c>
      <c r="L1101" t="s">
        <v>22</v>
      </c>
      <c r="M1101">
        <v>8</v>
      </c>
      <c r="N1101">
        <v>10</v>
      </c>
      <c r="O1101">
        <v>6</v>
      </c>
      <c r="P1101">
        <v>1</v>
      </c>
      <c r="Q1101">
        <f t="shared" si="88"/>
        <v>25</v>
      </c>
      <c r="S1101" t="str">
        <f t="shared" si="89"/>
        <v>Mentally Unstable</v>
      </c>
    </row>
    <row r="1102" spans="1:19" x14ac:dyDescent="0.25">
      <c r="A1102">
        <v>15</v>
      </c>
      <c r="B1102" t="str">
        <f t="shared" si="85"/>
        <v>Young Teenager</v>
      </c>
      <c r="C1102" t="s">
        <v>19</v>
      </c>
      <c r="D1102">
        <v>5.2</v>
      </c>
      <c r="E1102" t="s">
        <v>20</v>
      </c>
      <c r="F1102">
        <v>7.5</v>
      </c>
      <c r="G1102">
        <v>1.1000000000000001</v>
      </c>
      <c r="H1102">
        <f t="shared" si="86"/>
        <v>6.3000000000000007</v>
      </c>
      <c r="I1102">
        <v>3.61</v>
      </c>
      <c r="J1102" t="str">
        <f t="shared" si="87"/>
        <v>first class</v>
      </c>
      <c r="K1102">
        <v>0.1</v>
      </c>
      <c r="L1102" t="s">
        <v>18</v>
      </c>
      <c r="M1102">
        <v>4</v>
      </c>
      <c r="N1102">
        <v>6</v>
      </c>
      <c r="O1102">
        <v>7</v>
      </c>
      <c r="P1102">
        <v>0</v>
      </c>
      <c r="Q1102">
        <f t="shared" si="88"/>
        <v>17</v>
      </c>
      <c r="S1102" t="str">
        <f t="shared" si="89"/>
        <v>Mentally Strained</v>
      </c>
    </row>
    <row r="1103" spans="1:19" x14ac:dyDescent="0.25">
      <c r="A1103">
        <v>17</v>
      </c>
      <c r="B1103" t="str">
        <f t="shared" si="85"/>
        <v>Old Teenager</v>
      </c>
      <c r="C1103" t="s">
        <v>16</v>
      </c>
      <c r="D1103">
        <v>3.5</v>
      </c>
      <c r="E1103" t="s">
        <v>17</v>
      </c>
      <c r="F1103">
        <v>4.3</v>
      </c>
      <c r="G1103">
        <v>2.2000000000000002</v>
      </c>
      <c r="H1103">
        <f t="shared" si="86"/>
        <v>5.7</v>
      </c>
      <c r="I1103">
        <v>3.19</v>
      </c>
      <c r="J1103" t="str">
        <f t="shared" si="87"/>
        <v>Second class upper</v>
      </c>
      <c r="K1103">
        <v>1</v>
      </c>
      <c r="L1103" t="s">
        <v>21</v>
      </c>
      <c r="M1103">
        <v>4</v>
      </c>
      <c r="N1103">
        <v>5</v>
      </c>
      <c r="O1103">
        <v>9</v>
      </c>
      <c r="P1103">
        <v>0</v>
      </c>
      <c r="Q1103">
        <f t="shared" si="88"/>
        <v>18</v>
      </c>
      <c r="S1103" t="str">
        <f t="shared" si="89"/>
        <v>Mentally Strained</v>
      </c>
    </row>
    <row r="1104" spans="1:19" x14ac:dyDescent="0.25">
      <c r="A1104">
        <v>16</v>
      </c>
      <c r="B1104" t="str">
        <f t="shared" si="85"/>
        <v>Old Teenager</v>
      </c>
      <c r="C1104" t="s">
        <v>19</v>
      </c>
      <c r="D1104">
        <v>6.5</v>
      </c>
      <c r="E1104" t="s">
        <v>20</v>
      </c>
      <c r="F1104">
        <v>4.5999999999999996</v>
      </c>
      <c r="G1104">
        <v>1.8</v>
      </c>
      <c r="H1104">
        <f t="shared" si="86"/>
        <v>8.3000000000000007</v>
      </c>
      <c r="I1104">
        <v>2.2000000000000002</v>
      </c>
      <c r="J1104" t="str">
        <f t="shared" si="87"/>
        <v>third class</v>
      </c>
      <c r="K1104">
        <v>1.2</v>
      </c>
      <c r="L1104" t="s">
        <v>18</v>
      </c>
      <c r="M1104">
        <v>7</v>
      </c>
      <c r="N1104">
        <v>4</v>
      </c>
      <c r="O1104">
        <v>4</v>
      </c>
      <c r="P1104">
        <v>0</v>
      </c>
      <c r="Q1104">
        <f t="shared" si="88"/>
        <v>15</v>
      </c>
      <c r="S1104" t="str">
        <f t="shared" si="89"/>
        <v>Mentally Strained</v>
      </c>
    </row>
    <row r="1105" spans="1:19" x14ac:dyDescent="0.25">
      <c r="A1105">
        <v>17</v>
      </c>
      <c r="B1105" t="str">
        <f t="shared" si="85"/>
        <v>Old Teenager</v>
      </c>
      <c r="C1105" t="s">
        <v>16</v>
      </c>
      <c r="D1105">
        <v>4.7</v>
      </c>
      <c r="E1105" t="s">
        <v>20</v>
      </c>
      <c r="F1105">
        <v>7.2</v>
      </c>
      <c r="G1105">
        <v>2.7</v>
      </c>
      <c r="H1105">
        <f t="shared" si="86"/>
        <v>7.4</v>
      </c>
      <c r="I1105">
        <v>2.06</v>
      </c>
      <c r="J1105" t="str">
        <f t="shared" si="87"/>
        <v>third class</v>
      </c>
      <c r="K1105">
        <v>1.4</v>
      </c>
      <c r="L1105" t="s">
        <v>18</v>
      </c>
      <c r="M1105">
        <v>3</v>
      </c>
      <c r="N1105">
        <v>1</v>
      </c>
      <c r="O1105">
        <v>4</v>
      </c>
      <c r="P1105">
        <v>0</v>
      </c>
      <c r="Q1105">
        <f t="shared" si="88"/>
        <v>8</v>
      </c>
      <c r="S1105" t="str">
        <f t="shared" si="89"/>
        <v>Mentally Sound</v>
      </c>
    </row>
    <row r="1106" spans="1:19" x14ac:dyDescent="0.25">
      <c r="A1106">
        <v>13</v>
      </c>
      <c r="B1106" t="str">
        <f t="shared" si="85"/>
        <v>Young Teenager</v>
      </c>
      <c r="C1106" t="s">
        <v>16</v>
      </c>
      <c r="D1106">
        <v>2.5</v>
      </c>
      <c r="E1106" t="s">
        <v>17</v>
      </c>
      <c r="F1106">
        <v>6.3</v>
      </c>
      <c r="G1106">
        <v>1.8</v>
      </c>
      <c r="H1106">
        <f t="shared" si="86"/>
        <v>4.3</v>
      </c>
      <c r="I1106">
        <v>2.2000000000000002</v>
      </c>
      <c r="J1106" t="str">
        <f t="shared" si="87"/>
        <v>third class</v>
      </c>
      <c r="K1106">
        <v>0.1</v>
      </c>
      <c r="L1106" t="s">
        <v>21</v>
      </c>
      <c r="M1106">
        <v>9</v>
      </c>
      <c r="N1106">
        <v>3</v>
      </c>
      <c r="O1106">
        <v>9</v>
      </c>
      <c r="P1106">
        <v>0</v>
      </c>
      <c r="Q1106">
        <f t="shared" si="88"/>
        <v>21</v>
      </c>
      <c r="S1106" t="str">
        <f t="shared" si="89"/>
        <v>Mentally Unstable</v>
      </c>
    </row>
    <row r="1107" spans="1:19" x14ac:dyDescent="0.25">
      <c r="A1107">
        <v>19</v>
      </c>
      <c r="B1107" t="str">
        <f t="shared" si="85"/>
        <v>Old Teenager</v>
      </c>
      <c r="C1107" t="s">
        <v>19</v>
      </c>
      <c r="D1107">
        <v>5.5</v>
      </c>
      <c r="E1107" t="s">
        <v>20</v>
      </c>
      <c r="F1107">
        <v>7.4</v>
      </c>
      <c r="G1107">
        <v>2</v>
      </c>
      <c r="H1107">
        <f t="shared" si="86"/>
        <v>7.5</v>
      </c>
      <c r="I1107">
        <v>2.8</v>
      </c>
      <c r="J1107" t="str">
        <f t="shared" si="87"/>
        <v>Second class lower</v>
      </c>
      <c r="K1107">
        <v>1.8</v>
      </c>
      <c r="L1107" t="s">
        <v>21</v>
      </c>
      <c r="M1107">
        <v>9</v>
      </c>
      <c r="N1107">
        <v>8</v>
      </c>
      <c r="O1107">
        <v>10</v>
      </c>
      <c r="P1107">
        <v>0</v>
      </c>
      <c r="Q1107">
        <f t="shared" si="88"/>
        <v>27</v>
      </c>
      <c r="S1107" t="str">
        <f t="shared" si="89"/>
        <v>Mentally Unstable</v>
      </c>
    </row>
    <row r="1108" spans="1:19" x14ac:dyDescent="0.25">
      <c r="A1108">
        <v>15</v>
      </c>
      <c r="B1108" t="str">
        <f t="shared" si="85"/>
        <v>Young Teenager</v>
      </c>
      <c r="C1108" t="s">
        <v>19</v>
      </c>
      <c r="D1108">
        <v>3.5</v>
      </c>
      <c r="E1108" t="s">
        <v>17</v>
      </c>
      <c r="F1108">
        <v>8</v>
      </c>
      <c r="G1108">
        <v>1.9</v>
      </c>
      <c r="H1108">
        <f t="shared" si="86"/>
        <v>5.4</v>
      </c>
      <c r="I1108">
        <v>3.45</v>
      </c>
      <c r="J1108" t="str">
        <f t="shared" si="87"/>
        <v>Second class upper</v>
      </c>
      <c r="K1108">
        <v>1.5</v>
      </c>
      <c r="L1108" t="s">
        <v>21</v>
      </c>
      <c r="M1108">
        <v>10</v>
      </c>
      <c r="N1108">
        <v>4</v>
      </c>
      <c r="O1108">
        <v>1</v>
      </c>
      <c r="P1108">
        <v>0</v>
      </c>
      <c r="Q1108">
        <f t="shared" si="88"/>
        <v>15</v>
      </c>
      <c r="S1108" t="str">
        <f t="shared" si="89"/>
        <v>Mentally Strained</v>
      </c>
    </row>
    <row r="1109" spans="1:19" x14ac:dyDescent="0.25">
      <c r="A1109">
        <v>14</v>
      </c>
      <c r="B1109" t="str">
        <f t="shared" si="85"/>
        <v>Young Teenager</v>
      </c>
      <c r="C1109" t="s">
        <v>19</v>
      </c>
      <c r="D1109">
        <v>4.5999999999999996</v>
      </c>
      <c r="E1109" t="s">
        <v>20</v>
      </c>
      <c r="F1109">
        <v>7</v>
      </c>
      <c r="G1109">
        <v>1.6</v>
      </c>
      <c r="H1109">
        <f t="shared" si="86"/>
        <v>6.1999999999999993</v>
      </c>
      <c r="I1109">
        <v>2.74</v>
      </c>
      <c r="J1109" t="str">
        <f t="shared" si="87"/>
        <v>Second class lower</v>
      </c>
      <c r="K1109">
        <v>0.9</v>
      </c>
      <c r="L1109" t="s">
        <v>18</v>
      </c>
      <c r="M1109">
        <v>3</v>
      </c>
      <c r="N1109">
        <v>2</v>
      </c>
      <c r="O1109">
        <v>9</v>
      </c>
      <c r="P1109">
        <v>0</v>
      </c>
      <c r="Q1109">
        <f t="shared" si="88"/>
        <v>14</v>
      </c>
      <c r="S1109" t="str">
        <f t="shared" si="89"/>
        <v>Mentally Strained</v>
      </c>
    </row>
    <row r="1110" spans="1:19" x14ac:dyDescent="0.25">
      <c r="A1110">
        <v>13</v>
      </c>
      <c r="B1110" t="str">
        <f t="shared" si="85"/>
        <v>Young Teenager</v>
      </c>
      <c r="C1110" t="s">
        <v>19</v>
      </c>
      <c r="D1110">
        <v>3.5</v>
      </c>
      <c r="E1110" t="s">
        <v>17</v>
      </c>
      <c r="F1110">
        <v>6.9</v>
      </c>
      <c r="G1110">
        <v>1.6</v>
      </c>
      <c r="H1110">
        <f t="shared" si="86"/>
        <v>5.0999999999999996</v>
      </c>
      <c r="I1110">
        <v>2.08</v>
      </c>
      <c r="J1110" t="str">
        <f t="shared" si="87"/>
        <v>third class</v>
      </c>
      <c r="K1110">
        <v>0.7</v>
      </c>
      <c r="L1110" t="s">
        <v>18</v>
      </c>
      <c r="M1110">
        <v>9</v>
      </c>
      <c r="N1110">
        <v>9</v>
      </c>
      <c r="O1110">
        <v>9</v>
      </c>
      <c r="P1110">
        <v>0</v>
      </c>
      <c r="Q1110">
        <f t="shared" si="88"/>
        <v>27</v>
      </c>
      <c r="S1110" t="str">
        <f t="shared" si="89"/>
        <v>Mentally Unstable</v>
      </c>
    </row>
    <row r="1111" spans="1:19" x14ac:dyDescent="0.25">
      <c r="A1111">
        <v>19</v>
      </c>
      <c r="B1111" t="str">
        <f t="shared" si="85"/>
        <v>Old Teenager</v>
      </c>
      <c r="C1111" t="s">
        <v>16</v>
      </c>
      <c r="D1111">
        <v>1.6</v>
      </c>
      <c r="E1111" t="s">
        <v>20</v>
      </c>
      <c r="F1111">
        <v>8.6</v>
      </c>
      <c r="G1111">
        <v>1.4</v>
      </c>
      <c r="H1111">
        <f t="shared" si="86"/>
        <v>3</v>
      </c>
      <c r="I1111">
        <v>2.69</v>
      </c>
      <c r="J1111" t="str">
        <f t="shared" si="87"/>
        <v>Second class lower</v>
      </c>
      <c r="K1111">
        <v>1.6</v>
      </c>
      <c r="L1111" t="s">
        <v>22</v>
      </c>
      <c r="M1111">
        <v>4</v>
      </c>
      <c r="N1111">
        <v>3</v>
      </c>
      <c r="O1111">
        <v>4</v>
      </c>
      <c r="P1111">
        <v>0</v>
      </c>
      <c r="Q1111">
        <f t="shared" si="88"/>
        <v>11</v>
      </c>
      <c r="S1111" t="str">
        <f t="shared" si="89"/>
        <v>Mentally Strained</v>
      </c>
    </row>
    <row r="1112" spans="1:19" x14ac:dyDescent="0.25">
      <c r="A1112">
        <v>13</v>
      </c>
      <c r="B1112" t="str">
        <f t="shared" si="85"/>
        <v>Young Teenager</v>
      </c>
      <c r="C1112" t="s">
        <v>19</v>
      </c>
      <c r="D1112">
        <v>3.2</v>
      </c>
      <c r="E1112" t="s">
        <v>23</v>
      </c>
      <c r="F1112">
        <v>5.9</v>
      </c>
      <c r="G1112">
        <v>0.7</v>
      </c>
      <c r="H1112">
        <f t="shared" si="86"/>
        <v>3.9000000000000004</v>
      </c>
      <c r="I1112">
        <v>3.98</v>
      </c>
      <c r="J1112" t="str">
        <f t="shared" si="87"/>
        <v>first class</v>
      </c>
      <c r="K1112">
        <v>0.8</v>
      </c>
      <c r="L1112" t="s">
        <v>18</v>
      </c>
      <c r="M1112">
        <v>6</v>
      </c>
      <c r="N1112">
        <v>8</v>
      </c>
      <c r="O1112">
        <v>1</v>
      </c>
      <c r="P1112">
        <v>0</v>
      </c>
      <c r="Q1112">
        <f t="shared" si="88"/>
        <v>15</v>
      </c>
      <c r="S1112" t="str">
        <f t="shared" si="89"/>
        <v>Mentally Strained</v>
      </c>
    </row>
    <row r="1113" spans="1:19" x14ac:dyDescent="0.25">
      <c r="A1113">
        <v>19</v>
      </c>
      <c r="B1113" t="str">
        <f t="shared" si="85"/>
        <v>Old Teenager</v>
      </c>
      <c r="C1113" t="s">
        <v>19</v>
      </c>
      <c r="D1113">
        <v>1.7</v>
      </c>
      <c r="E1113" t="s">
        <v>23</v>
      </c>
      <c r="F1113">
        <v>7</v>
      </c>
      <c r="G1113">
        <v>2.7</v>
      </c>
      <c r="H1113">
        <f t="shared" si="86"/>
        <v>4.4000000000000004</v>
      </c>
      <c r="I1113">
        <v>2.0699999999999998</v>
      </c>
      <c r="J1113" t="str">
        <f t="shared" si="87"/>
        <v>third class</v>
      </c>
      <c r="K1113">
        <v>0.5</v>
      </c>
      <c r="L1113" t="s">
        <v>21</v>
      </c>
      <c r="M1113">
        <v>6</v>
      </c>
      <c r="N1113">
        <v>4</v>
      </c>
      <c r="O1113">
        <v>10</v>
      </c>
      <c r="P1113">
        <v>0</v>
      </c>
      <c r="Q1113">
        <f t="shared" si="88"/>
        <v>20</v>
      </c>
      <c r="S1113" t="str">
        <f t="shared" si="89"/>
        <v>Mentally Unstable</v>
      </c>
    </row>
    <row r="1114" spans="1:19" x14ac:dyDescent="0.25">
      <c r="A1114">
        <v>14</v>
      </c>
      <c r="B1114" t="str">
        <f t="shared" si="85"/>
        <v>Young Teenager</v>
      </c>
      <c r="C1114" t="s">
        <v>16</v>
      </c>
      <c r="D1114">
        <v>6.4</v>
      </c>
      <c r="E1114" t="s">
        <v>17</v>
      </c>
      <c r="F1114">
        <v>4.3</v>
      </c>
      <c r="G1114">
        <v>2.2999999999999998</v>
      </c>
      <c r="H1114">
        <f t="shared" si="86"/>
        <v>8.6999999999999993</v>
      </c>
      <c r="I1114">
        <v>3.99</v>
      </c>
      <c r="J1114" t="str">
        <f t="shared" si="87"/>
        <v>first class</v>
      </c>
      <c r="K1114">
        <v>1.1000000000000001</v>
      </c>
      <c r="L1114" t="s">
        <v>18</v>
      </c>
      <c r="M1114">
        <v>7</v>
      </c>
      <c r="N1114">
        <v>4</v>
      </c>
      <c r="O1114">
        <v>3</v>
      </c>
      <c r="P1114">
        <v>0</v>
      </c>
      <c r="Q1114">
        <f t="shared" si="88"/>
        <v>14</v>
      </c>
      <c r="S1114" t="str">
        <f t="shared" si="89"/>
        <v>Mentally Strained</v>
      </c>
    </row>
    <row r="1115" spans="1:19" x14ac:dyDescent="0.25">
      <c r="A1115">
        <v>13</v>
      </c>
      <c r="B1115" t="str">
        <f t="shared" si="85"/>
        <v>Young Teenager</v>
      </c>
      <c r="C1115" t="s">
        <v>19</v>
      </c>
      <c r="D1115">
        <v>3.3</v>
      </c>
      <c r="E1115" t="s">
        <v>20</v>
      </c>
      <c r="F1115">
        <v>6.4</v>
      </c>
      <c r="G1115">
        <v>1</v>
      </c>
      <c r="H1115">
        <f t="shared" si="86"/>
        <v>4.3</v>
      </c>
      <c r="I1115">
        <v>2.4900000000000002</v>
      </c>
      <c r="J1115" t="str">
        <f t="shared" si="87"/>
        <v>third class</v>
      </c>
      <c r="K1115">
        <v>1</v>
      </c>
      <c r="L1115" t="s">
        <v>18</v>
      </c>
      <c r="M1115">
        <v>9</v>
      </c>
      <c r="N1115">
        <v>2</v>
      </c>
      <c r="O1115">
        <v>4</v>
      </c>
      <c r="P1115">
        <v>0</v>
      </c>
      <c r="Q1115">
        <f t="shared" si="88"/>
        <v>15</v>
      </c>
      <c r="S1115" t="str">
        <f t="shared" si="89"/>
        <v>Mentally Strained</v>
      </c>
    </row>
    <row r="1116" spans="1:19" x14ac:dyDescent="0.25">
      <c r="A1116">
        <v>18</v>
      </c>
      <c r="B1116" t="str">
        <f t="shared" si="85"/>
        <v>Old Teenager</v>
      </c>
      <c r="C1116" t="s">
        <v>16</v>
      </c>
      <c r="D1116">
        <v>1.2</v>
      </c>
      <c r="E1116" t="s">
        <v>23</v>
      </c>
      <c r="F1116">
        <v>6.8</v>
      </c>
      <c r="G1116">
        <v>2.6</v>
      </c>
      <c r="H1116">
        <f t="shared" si="86"/>
        <v>3.8</v>
      </c>
      <c r="I1116">
        <v>2.85</v>
      </c>
      <c r="J1116" t="str">
        <f t="shared" si="87"/>
        <v>Second class lower</v>
      </c>
      <c r="K1116">
        <v>1.8</v>
      </c>
      <c r="L1116" t="s">
        <v>22</v>
      </c>
      <c r="M1116">
        <v>4</v>
      </c>
      <c r="N1116">
        <v>3</v>
      </c>
      <c r="O1116">
        <v>9</v>
      </c>
      <c r="P1116">
        <v>0</v>
      </c>
      <c r="Q1116">
        <f t="shared" si="88"/>
        <v>16</v>
      </c>
      <c r="S1116" t="str">
        <f t="shared" si="89"/>
        <v>Mentally Strained</v>
      </c>
    </row>
    <row r="1117" spans="1:19" x14ac:dyDescent="0.25">
      <c r="A1117">
        <v>13</v>
      </c>
      <c r="B1117" t="str">
        <f t="shared" si="85"/>
        <v>Young Teenager</v>
      </c>
      <c r="C1117" t="s">
        <v>19</v>
      </c>
      <c r="D1117">
        <v>2.5</v>
      </c>
      <c r="E1117" t="s">
        <v>23</v>
      </c>
      <c r="F1117">
        <v>7.8</v>
      </c>
      <c r="G1117">
        <v>1.4</v>
      </c>
      <c r="H1117">
        <f t="shared" si="86"/>
        <v>3.9</v>
      </c>
      <c r="I1117">
        <v>3.43</v>
      </c>
      <c r="J1117" t="str">
        <f t="shared" si="87"/>
        <v>Second class upper</v>
      </c>
      <c r="K1117">
        <v>0.9</v>
      </c>
      <c r="L1117" t="s">
        <v>22</v>
      </c>
      <c r="M1117">
        <v>1</v>
      </c>
      <c r="N1117">
        <v>4</v>
      </c>
      <c r="O1117">
        <v>6</v>
      </c>
      <c r="P1117">
        <v>0</v>
      </c>
      <c r="Q1117">
        <f t="shared" si="88"/>
        <v>11</v>
      </c>
      <c r="S1117" t="str">
        <f t="shared" si="89"/>
        <v>Mentally Strained</v>
      </c>
    </row>
    <row r="1118" spans="1:19" x14ac:dyDescent="0.25">
      <c r="A1118">
        <v>16</v>
      </c>
      <c r="B1118" t="str">
        <f t="shared" si="85"/>
        <v>Old Teenager</v>
      </c>
      <c r="C1118" t="s">
        <v>16</v>
      </c>
      <c r="D1118">
        <v>2.2000000000000002</v>
      </c>
      <c r="E1118" t="s">
        <v>20</v>
      </c>
      <c r="F1118">
        <v>5.0999999999999996</v>
      </c>
      <c r="G1118">
        <v>2.2999999999999998</v>
      </c>
      <c r="H1118">
        <f t="shared" si="86"/>
        <v>4.5</v>
      </c>
      <c r="I1118">
        <v>3.6</v>
      </c>
      <c r="J1118" t="str">
        <f t="shared" si="87"/>
        <v>first class</v>
      </c>
      <c r="K1118">
        <v>1</v>
      </c>
      <c r="L1118" t="s">
        <v>21</v>
      </c>
      <c r="M1118">
        <v>4</v>
      </c>
      <c r="N1118">
        <v>7</v>
      </c>
      <c r="O1118">
        <v>6</v>
      </c>
      <c r="P1118">
        <v>0</v>
      </c>
      <c r="Q1118">
        <f t="shared" si="88"/>
        <v>17</v>
      </c>
      <c r="S1118" t="str">
        <f t="shared" si="89"/>
        <v>Mentally Strained</v>
      </c>
    </row>
    <row r="1119" spans="1:19" x14ac:dyDescent="0.25">
      <c r="A1119">
        <v>18</v>
      </c>
      <c r="B1119" t="str">
        <f t="shared" si="85"/>
        <v>Old Teenager</v>
      </c>
      <c r="C1119" t="s">
        <v>19</v>
      </c>
      <c r="D1119">
        <v>5.2</v>
      </c>
      <c r="E1119" t="s">
        <v>23</v>
      </c>
      <c r="F1119">
        <v>7.1</v>
      </c>
      <c r="G1119">
        <v>1.9</v>
      </c>
      <c r="H1119">
        <f t="shared" si="86"/>
        <v>7.1</v>
      </c>
      <c r="I1119">
        <v>2.87</v>
      </c>
      <c r="J1119" t="str">
        <f t="shared" si="87"/>
        <v>Second class lower</v>
      </c>
      <c r="K1119">
        <v>1.7</v>
      </c>
      <c r="L1119" t="s">
        <v>22</v>
      </c>
      <c r="M1119">
        <v>5</v>
      </c>
      <c r="N1119">
        <v>8</v>
      </c>
      <c r="O1119">
        <v>6</v>
      </c>
      <c r="P1119">
        <v>0</v>
      </c>
      <c r="Q1119">
        <f t="shared" si="88"/>
        <v>19</v>
      </c>
      <c r="S1119" t="str">
        <f t="shared" si="89"/>
        <v>Mentally Strained</v>
      </c>
    </row>
    <row r="1120" spans="1:19" x14ac:dyDescent="0.25">
      <c r="A1120">
        <v>16</v>
      </c>
      <c r="B1120" t="str">
        <f t="shared" si="85"/>
        <v>Old Teenager</v>
      </c>
      <c r="C1120" t="s">
        <v>16</v>
      </c>
      <c r="D1120">
        <v>7.9</v>
      </c>
      <c r="E1120" t="s">
        <v>17</v>
      </c>
      <c r="F1120">
        <v>8.6999999999999993</v>
      </c>
      <c r="G1120">
        <v>2.5</v>
      </c>
      <c r="H1120">
        <f t="shared" si="86"/>
        <v>10.4</v>
      </c>
      <c r="I1120">
        <v>2.29</v>
      </c>
      <c r="J1120" t="str">
        <f t="shared" si="87"/>
        <v>third class</v>
      </c>
      <c r="K1120">
        <v>0.7</v>
      </c>
      <c r="L1120" t="s">
        <v>21</v>
      </c>
      <c r="M1120">
        <v>7</v>
      </c>
      <c r="N1120">
        <v>7</v>
      </c>
      <c r="O1120">
        <v>4</v>
      </c>
      <c r="P1120">
        <v>0</v>
      </c>
      <c r="Q1120">
        <f t="shared" si="88"/>
        <v>18</v>
      </c>
      <c r="S1120" t="str">
        <f t="shared" si="89"/>
        <v>Mentally Strained</v>
      </c>
    </row>
    <row r="1121" spans="1:19" x14ac:dyDescent="0.25">
      <c r="A1121">
        <v>18</v>
      </c>
      <c r="B1121" t="str">
        <f t="shared" si="85"/>
        <v>Old Teenager</v>
      </c>
      <c r="C1121" t="s">
        <v>16</v>
      </c>
      <c r="D1121">
        <v>5.6</v>
      </c>
      <c r="E1121" t="s">
        <v>23</v>
      </c>
      <c r="F1121">
        <v>8</v>
      </c>
      <c r="G1121">
        <v>2.4</v>
      </c>
      <c r="H1121">
        <f t="shared" si="86"/>
        <v>8</v>
      </c>
      <c r="I1121">
        <v>2.95</v>
      </c>
      <c r="J1121" t="str">
        <f t="shared" si="87"/>
        <v>Second class lower</v>
      </c>
      <c r="K1121">
        <v>0</v>
      </c>
      <c r="L1121" t="s">
        <v>18</v>
      </c>
      <c r="M1121">
        <v>2</v>
      </c>
      <c r="N1121">
        <v>10</v>
      </c>
      <c r="O1121">
        <v>3</v>
      </c>
      <c r="P1121">
        <v>0</v>
      </c>
      <c r="Q1121">
        <f t="shared" si="88"/>
        <v>15</v>
      </c>
      <c r="S1121" t="str">
        <f t="shared" si="89"/>
        <v>Mentally Strained</v>
      </c>
    </row>
    <row r="1122" spans="1:19" x14ac:dyDescent="0.25">
      <c r="A1122">
        <v>16</v>
      </c>
      <c r="B1122" t="str">
        <f t="shared" si="85"/>
        <v>Old Teenager</v>
      </c>
      <c r="C1122" t="s">
        <v>16</v>
      </c>
      <c r="D1122">
        <v>3.9</v>
      </c>
      <c r="E1122" t="s">
        <v>20</v>
      </c>
      <c r="F1122">
        <v>4.2</v>
      </c>
      <c r="G1122">
        <v>2.1</v>
      </c>
      <c r="H1122">
        <f t="shared" si="86"/>
        <v>6</v>
      </c>
      <c r="I1122">
        <v>2.2799999999999998</v>
      </c>
      <c r="J1122" t="str">
        <f t="shared" si="87"/>
        <v>third class</v>
      </c>
      <c r="K1122">
        <v>1.1000000000000001</v>
      </c>
      <c r="L1122" t="s">
        <v>22</v>
      </c>
      <c r="M1122">
        <v>6</v>
      </c>
      <c r="N1122">
        <v>5</v>
      </c>
      <c r="O1122">
        <v>7</v>
      </c>
      <c r="P1122">
        <v>0</v>
      </c>
      <c r="Q1122">
        <f t="shared" si="88"/>
        <v>18</v>
      </c>
      <c r="S1122" t="str">
        <f t="shared" si="89"/>
        <v>Mentally Strained</v>
      </c>
    </row>
    <row r="1123" spans="1:19" x14ac:dyDescent="0.25">
      <c r="A1123">
        <v>18</v>
      </c>
      <c r="B1123" t="str">
        <f t="shared" si="85"/>
        <v>Old Teenager</v>
      </c>
      <c r="C1123" t="s">
        <v>19</v>
      </c>
      <c r="D1123">
        <v>1.8</v>
      </c>
      <c r="E1123" t="s">
        <v>20</v>
      </c>
      <c r="F1123">
        <v>6.1</v>
      </c>
      <c r="G1123">
        <v>2.7</v>
      </c>
      <c r="H1123">
        <f t="shared" si="86"/>
        <v>4.5</v>
      </c>
      <c r="I1123">
        <v>2.86</v>
      </c>
      <c r="J1123" t="str">
        <f t="shared" si="87"/>
        <v>Second class lower</v>
      </c>
      <c r="K1123">
        <v>1.1000000000000001</v>
      </c>
      <c r="L1123" t="s">
        <v>18</v>
      </c>
      <c r="M1123">
        <v>4</v>
      </c>
      <c r="N1123">
        <v>2</v>
      </c>
      <c r="O1123">
        <v>4</v>
      </c>
      <c r="P1123">
        <v>0</v>
      </c>
      <c r="Q1123">
        <f t="shared" si="88"/>
        <v>10</v>
      </c>
      <c r="S1123" t="str">
        <f t="shared" si="89"/>
        <v>Mentally Strained</v>
      </c>
    </row>
    <row r="1124" spans="1:19" x14ac:dyDescent="0.25">
      <c r="A1124">
        <v>18</v>
      </c>
      <c r="B1124" t="str">
        <f t="shared" si="85"/>
        <v>Old Teenager</v>
      </c>
      <c r="C1124" t="s">
        <v>19</v>
      </c>
      <c r="D1124">
        <v>5.8</v>
      </c>
      <c r="E1124" t="s">
        <v>23</v>
      </c>
      <c r="F1124">
        <v>5.0999999999999996</v>
      </c>
      <c r="G1124">
        <v>1.2</v>
      </c>
      <c r="H1124">
        <f t="shared" si="86"/>
        <v>7</v>
      </c>
      <c r="I1124">
        <v>3.24</v>
      </c>
      <c r="J1124" t="str">
        <f t="shared" si="87"/>
        <v>Second class upper</v>
      </c>
      <c r="K1124">
        <v>0.4</v>
      </c>
      <c r="L1124" t="s">
        <v>21</v>
      </c>
      <c r="M1124">
        <v>5</v>
      </c>
      <c r="N1124">
        <v>9</v>
      </c>
      <c r="O1124">
        <v>2</v>
      </c>
      <c r="P1124">
        <v>0</v>
      </c>
      <c r="Q1124">
        <f t="shared" si="88"/>
        <v>16</v>
      </c>
      <c r="S1124" t="str">
        <f t="shared" si="89"/>
        <v>Mentally Strained</v>
      </c>
    </row>
    <row r="1125" spans="1:19" x14ac:dyDescent="0.25">
      <c r="A1125">
        <v>18</v>
      </c>
      <c r="B1125" t="str">
        <f t="shared" si="85"/>
        <v>Old Teenager</v>
      </c>
      <c r="C1125" t="s">
        <v>19</v>
      </c>
      <c r="D1125">
        <v>2.2000000000000002</v>
      </c>
      <c r="E1125" t="s">
        <v>17</v>
      </c>
      <c r="F1125">
        <v>4.4000000000000004</v>
      </c>
      <c r="G1125">
        <v>1.7</v>
      </c>
      <c r="H1125">
        <f t="shared" si="86"/>
        <v>3.9000000000000004</v>
      </c>
      <c r="I1125">
        <v>2.86</v>
      </c>
      <c r="J1125" t="str">
        <f t="shared" si="87"/>
        <v>Second class lower</v>
      </c>
      <c r="K1125">
        <v>1.1000000000000001</v>
      </c>
      <c r="L1125" t="s">
        <v>21</v>
      </c>
      <c r="M1125">
        <v>8</v>
      </c>
      <c r="N1125">
        <v>9</v>
      </c>
      <c r="O1125">
        <v>7</v>
      </c>
      <c r="P1125">
        <v>0</v>
      </c>
      <c r="Q1125">
        <f t="shared" si="88"/>
        <v>24</v>
      </c>
      <c r="S1125" t="str">
        <f t="shared" si="89"/>
        <v>Mentally Unstable</v>
      </c>
    </row>
    <row r="1126" spans="1:19" x14ac:dyDescent="0.25">
      <c r="A1126">
        <v>17</v>
      </c>
      <c r="B1126" t="str">
        <f t="shared" si="85"/>
        <v>Old Teenager</v>
      </c>
      <c r="C1126" t="s">
        <v>16</v>
      </c>
      <c r="D1126">
        <v>6.9</v>
      </c>
      <c r="E1126" t="s">
        <v>23</v>
      </c>
      <c r="F1126">
        <v>4.5999999999999996</v>
      </c>
      <c r="G1126">
        <v>2.5</v>
      </c>
      <c r="H1126">
        <f t="shared" si="86"/>
        <v>9.4</v>
      </c>
      <c r="I1126">
        <v>2.04</v>
      </c>
      <c r="J1126" t="str">
        <f t="shared" si="87"/>
        <v>third class</v>
      </c>
      <c r="K1126">
        <v>0.8</v>
      </c>
      <c r="L1126" t="s">
        <v>21</v>
      </c>
      <c r="M1126">
        <v>10</v>
      </c>
      <c r="N1126">
        <v>9</v>
      </c>
      <c r="O1126">
        <v>2</v>
      </c>
      <c r="P1126">
        <v>1</v>
      </c>
      <c r="Q1126">
        <f t="shared" si="88"/>
        <v>22</v>
      </c>
      <c r="S1126" t="str">
        <f t="shared" si="89"/>
        <v>Mentally Unstable</v>
      </c>
    </row>
    <row r="1127" spans="1:19" x14ac:dyDescent="0.25">
      <c r="A1127">
        <v>14</v>
      </c>
      <c r="B1127" t="str">
        <f t="shared" si="85"/>
        <v>Young Teenager</v>
      </c>
      <c r="C1127" t="s">
        <v>19</v>
      </c>
      <c r="D1127">
        <v>5.7</v>
      </c>
      <c r="E1127" t="s">
        <v>17</v>
      </c>
      <c r="F1127">
        <v>6.7</v>
      </c>
      <c r="G1127">
        <v>2.6</v>
      </c>
      <c r="H1127">
        <f t="shared" si="86"/>
        <v>8.3000000000000007</v>
      </c>
      <c r="I1127">
        <v>2.35</v>
      </c>
      <c r="J1127" t="str">
        <f t="shared" si="87"/>
        <v>third class</v>
      </c>
      <c r="K1127">
        <v>1.8</v>
      </c>
      <c r="L1127" t="s">
        <v>21</v>
      </c>
      <c r="M1127">
        <v>10</v>
      </c>
      <c r="N1127">
        <v>10</v>
      </c>
      <c r="O1127">
        <v>7</v>
      </c>
      <c r="P1127">
        <v>0</v>
      </c>
      <c r="Q1127">
        <f t="shared" si="88"/>
        <v>27</v>
      </c>
      <c r="S1127" t="str">
        <f t="shared" si="89"/>
        <v>Mentally Unstable</v>
      </c>
    </row>
    <row r="1128" spans="1:19" x14ac:dyDescent="0.25">
      <c r="A1128">
        <v>17</v>
      </c>
      <c r="B1128" t="str">
        <f t="shared" si="85"/>
        <v>Old Teenager</v>
      </c>
      <c r="C1128" t="s">
        <v>16</v>
      </c>
      <c r="D1128">
        <v>7.5</v>
      </c>
      <c r="E1128" t="s">
        <v>20</v>
      </c>
      <c r="F1128">
        <v>5.6</v>
      </c>
      <c r="G1128">
        <v>2.2999999999999998</v>
      </c>
      <c r="H1128">
        <f t="shared" si="86"/>
        <v>9.8000000000000007</v>
      </c>
      <c r="I1128">
        <v>2.37</v>
      </c>
      <c r="J1128" t="str">
        <f t="shared" si="87"/>
        <v>third class</v>
      </c>
      <c r="K1128">
        <v>0</v>
      </c>
      <c r="L1128" t="s">
        <v>21</v>
      </c>
      <c r="M1128">
        <v>3</v>
      </c>
      <c r="N1128">
        <v>10</v>
      </c>
      <c r="O1128">
        <v>8</v>
      </c>
      <c r="P1128">
        <v>0</v>
      </c>
      <c r="Q1128">
        <f t="shared" si="88"/>
        <v>21</v>
      </c>
      <c r="S1128" t="str">
        <f t="shared" si="89"/>
        <v>Mentally Unstable</v>
      </c>
    </row>
    <row r="1129" spans="1:19" x14ac:dyDescent="0.25">
      <c r="A1129">
        <v>13</v>
      </c>
      <c r="B1129" t="str">
        <f t="shared" si="85"/>
        <v>Young Teenager</v>
      </c>
      <c r="C1129" t="s">
        <v>16</v>
      </c>
      <c r="D1129">
        <v>5.2</v>
      </c>
      <c r="E1129" t="s">
        <v>23</v>
      </c>
      <c r="F1129">
        <v>6.4</v>
      </c>
      <c r="G1129">
        <v>2.5</v>
      </c>
      <c r="H1129">
        <f t="shared" si="86"/>
        <v>7.7</v>
      </c>
      <c r="I1129">
        <v>3.13</v>
      </c>
      <c r="J1129" t="str">
        <f t="shared" si="87"/>
        <v>Second class upper</v>
      </c>
      <c r="K1129">
        <v>0.3</v>
      </c>
      <c r="L1129" t="s">
        <v>22</v>
      </c>
      <c r="M1129">
        <v>8</v>
      </c>
      <c r="N1129">
        <v>6</v>
      </c>
      <c r="O1129">
        <v>7</v>
      </c>
      <c r="P1129">
        <v>0</v>
      </c>
      <c r="Q1129">
        <f t="shared" si="88"/>
        <v>21</v>
      </c>
      <c r="S1129" t="str">
        <f t="shared" si="89"/>
        <v>Mentally Unstable</v>
      </c>
    </row>
    <row r="1130" spans="1:19" x14ac:dyDescent="0.25">
      <c r="A1130">
        <v>16</v>
      </c>
      <c r="B1130" t="str">
        <f t="shared" si="85"/>
        <v>Old Teenager</v>
      </c>
      <c r="C1130" t="s">
        <v>16</v>
      </c>
      <c r="D1130">
        <v>7.2</v>
      </c>
      <c r="E1130" t="s">
        <v>23</v>
      </c>
      <c r="F1130">
        <v>6.9</v>
      </c>
      <c r="G1130">
        <v>2.1</v>
      </c>
      <c r="H1130">
        <f t="shared" si="86"/>
        <v>9.3000000000000007</v>
      </c>
      <c r="I1130">
        <v>2.3199999999999998</v>
      </c>
      <c r="J1130" t="str">
        <f t="shared" si="87"/>
        <v>third class</v>
      </c>
      <c r="K1130">
        <v>1.1000000000000001</v>
      </c>
      <c r="L1130" t="s">
        <v>18</v>
      </c>
      <c r="M1130">
        <v>3</v>
      </c>
      <c r="N1130">
        <v>4</v>
      </c>
      <c r="O1130">
        <v>10</v>
      </c>
      <c r="P1130">
        <v>0</v>
      </c>
      <c r="Q1130">
        <f t="shared" si="88"/>
        <v>17</v>
      </c>
      <c r="S1130" t="str">
        <f t="shared" si="89"/>
        <v>Mentally Strained</v>
      </c>
    </row>
    <row r="1131" spans="1:19" x14ac:dyDescent="0.25">
      <c r="A1131">
        <v>19</v>
      </c>
      <c r="B1131" t="str">
        <f t="shared" si="85"/>
        <v>Old Teenager</v>
      </c>
      <c r="C1131" t="s">
        <v>16</v>
      </c>
      <c r="D1131">
        <v>2</v>
      </c>
      <c r="E1131" t="s">
        <v>20</v>
      </c>
      <c r="F1131">
        <v>4.3</v>
      </c>
      <c r="G1131">
        <v>0.8</v>
      </c>
      <c r="H1131">
        <f t="shared" si="86"/>
        <v>2.8</v>
      </c>
      <c r="I1131">
        <v>3.4</v>
      </c>
      <c r="J1131" t="str">
        <f t="shared" si="87"/>
        <v>Second class upper</v>
      </c>
      <c r="K1131">
        <v>0.7</v>
      </c>
      <c r="L1131" t="s">
        <v>18</v>
      </c>
      <c r="M1131">
        <v>8</v>
      </c>
      <c r="N1131">
        <v>1</v>
      </c>
      <c r="O1131">
        <v>1</v>
      </c>
      <c r="P1131">
        <v>0</v>
      </c>
      <c r="Q1131">
        <f t="shared" si="88"/>
        <v>10</v>
      </c>
      <c r="S1131" t="str">
        <f t="shared" si="89"/>
        <v>Mentally Strained</v>
      </c>
    </row>
    <row r="1132" spans="1:19" x14ac:dyDescent="0.25">
      <c r="A1132">
        <v>13</v>
      </c>
      <c r="B1132" t="str">
        <f t="shared" si="85"/>
        <v>Young Teenager</v>
      </c>
      <c r="C1132" t="s">
        <v>19</v>
      </c>
      <c r="D1132">
        <v>4.7</v>
      </c>
      <c r="E1132" t="s">
        <v>23</v>
      </c>
      <c r="F1132">
        <v>6.8</v>
      </c>
      <c r="G1132">
        <v>1.4</v>
      </c>
      <c r="H1132">
        <f t="shared" si="86"/>
        <v>6.1</v>
      </c>
      <c r="I1132">
        <v>3.91</v>
      </c>
      <c r="J1132" t="str">
        <f t="shared" si="87"/>
        <v>first class</v>
      </c>
      <c r="K1132">
        <v>0.8</v>
      </c>
      <c r="L1132" t="s">
        <v>21</v>
      </c>
      <c r="M1132">
        <v>10</v>
      </c>
      <c r="N1132">
        <v>6</v>
      </c>
      <c r="O1132">
        <v>9</v>
      </c>
      <c r="P1132">
        <v>0</v>
      </c>
      <c r="Q1132">
        <f t="shared" si="88"/>
        <v>25</v>
      </c>
      <c r="S1132" t="str">
        <f t="shared" si="89"/>
        <v>Mentally Unstable</v>
      </c>
    </row>
    <row r="1133" spans="1:19" x14ac:dyDescent="0.25">
      <c r="A1133">
        <v>14</v>
      </c>
      <c r="B1133" t="str">
        <f t="shared" si="85"/>
        <v>Young Teenager</v>
      </c>
      <c r="C1133" t="s">
        <v>16</v>
      </c>
      <c r="D1133">
        <v>5.6</v>
      </c>
      <c r="E1133" t="s">
        <v>23</v>
      </c>
      <c r="F1133">
        <v>4.5</v>
      </c>
      <c r="G1133">
        <v>1.4</v>
      </c>
      <c r="H1133">
        <f t="shared" si="86"/>
        <v>7</v>
      </c>
      <c r="I1133">
        <v>2.44</v>
      </c>
      <c r="J1133" t="str">
        <f t="shared" si="87"/>
        <v>third class</v>
      </c>
      <c r="K1133">
        <v>1.2</v>
      </c>
      <c r="L1133" t="s">
        <v>18</v>
      </c>
      <c r="M1133">
        <v>5</v>
      </c>
      <c r="N1133">
        <v>10</v>
      </c>
      <c r="O1133">
        <v>9</v>
      </c>
      <c r="P1133">
        <v>0</v>
      </c>
      <c r="Q1133">
        <f t="shared" si="88"/>
        <v>24</v>
      </c>
      <c r="S1133" t="str">
        <f t="shared" si="89"/>
        <v>Mentally Unstable</v>
      </c>
    </row>
    <row r="1134" spans="1:19" x14ac:dyDescent="0.25">
      <c r="A1134">
        <v>18</v>
      </c>
      <c r="B1134" t="str">
        <f t="shared" si="85"/>
        <v>Old Teenager</v>
      </c>
      <c r="C1134" t="s">
        <v>19</v>
      </c>
      <c r="D1134">
        <v>4.5</v>
      </c>
      <c r="E1134" t="s">
        <v>17</v>
      </c>
      <c r="F1134">
        <v>4</v>
      </c>
      <c r="G1134">
        <v>2.9</v>
      </c>
      <c r="H1134">
        <f t="shared" si="86"/>
        <v>7.4</v>
      </c>
      <c r="I1134">
        <v>3.15</v>
      </c>
      <c r="J1134" t="str">
        <f t="shared" si="87"/>
        <v>Second class upper</v>
      </c>
      <c r="K1134">
        <v>1.9</v>
      </c>
      <c r="L1134" t="s">
        <v>22</v>
      </c>
      <c r="M1134">
        <v>8</v>
      </c>
      <c r="N1134">
        <v>6</v>
      </c>
      <c r="O1134">
        <v>5</v>
      </c>
      <c r="P1134">
        <v>0</v>
      </c>
      <c r="Q1134">
        <f t="shared" si="88"/>
        <v>19</v>
      </c>
      <c r="S1134" t="str">
        <f t="shared" si="89"/>
        <v>Mentally Strained</v>
      </c>
    </row>
    <row r="1135" spans="1:19" x14ac:dyDescent="0.25">
      <c r="A1135">
        <v>15</v>
      </c>
      <c r="B1135" t="str">
        <f t="shared" si="85"/>
        <v>Young Teenager</v>
      </c>
      <c r="C1135" t="s">
        <v>19</v>
      </c>
      <c r="D1135">
        <v>1.1000000000000001</v>
      </c>
      <c r="E1135" t="s">
        <v>17</v>
      </c>
      <c r="F1135">
        <v>9</v>
      </c>
      <c r="G1135">
        <v>1.2</v>
      </c>
      <c r="H1135">
        <f t="shared" si="86"/>
        <v>2.2999999999999998</v>
      </c>
      <c r="I1135">
        <v>2.9</v>
      </c>
      <c r="J1135" t="str">
        <f t="shared" si="87"/>
        <v>Second class lower</v>
      </c>
      <c r="K1135">
        <v>1.8</v>
      </c>
      <c r="L1135" t="s">
        <v>22</v>
      </c>
      <c r="M1135">
        <v>5</v>
      </c>
      <c r="N1135">
        <v>10</v>
      </c>
      <c r="O1135">
        <v>2</v>
      </c>
      <c r="P1135">
        <v>0</v>
      </c>
      <c r="Q1135">
        <f t="shared" si="88"/>
        <v>17</v>
      </c>
      <c r="S1135" t="str">
        <f t="shared" si="89"/>
        <v>Mentally Strained</v>
      </c>
    </row>
    <row r="1136" spans="1:19" x14ac:dyDescent="0.25">
      <c r="A1136">
        <v>18</v>
      </c>
      <c r="B1136" t="str">
        <f t="shared" si="85"/>
        <v>Old Teenager</v>
      </c>
      <c r="C1136" t="s">
        <v>19</v>
      </c>
      <c r="D1136">
        <v>5.3</v>
      </c>
      <c r="E1136" t="s">
        <v>23</v>
      </c>
      <c r="F1136">
        <v>4.5999999999999996</v>
      </c>
      <c r="G1136">
        <v>1.5</v>
      </c>
      <c r="H1136">
        <f t="shared" si="86"/>
        <v>6.8</v>
      </c>
      <c r="I1136">
        <v>2.54</v>
      </c>
      <c r="J1136" t="str">
        <f t="shared" si="87"/>
        <v>Second class lower</v>
      </c>
      <c r="K1136">
        <v>0.6</v>
      </c>
      <c r="L1136" t="s">
        <v>22</v>
      </c>
      <c r="M1136">
        <v>4</v>
      </c>
      <c r="N1136">
        <v>3</v>
      </c>
      <c r="O1136">
        <v>4</v>
      </c>
      <c r="P1136">
        <v>0</v>
      </c>
      <c r="Q1136">
        <f t="shared" si="88"/>
        <v>11</v>
      </c>
      <c r="S1136" t="str">
        <f t="shared" si="89"/>
        <v>Mentally Strained</v>
      </c>
    </row>
    <row r="1137" spans="1:19" x14ac:dyDescent="0.25">
      <c r="A1137">
        <v>14</v>
      </c>
      <c r="B1137" t="str">
        <f t="shared" si="85"/>
        <v>Young Teenager</v>
      </c>
      <c r="C1137" t="s">
        <v>19</v>
      </c>
      <c r="D1137">
        <v>3.5</v>
      </c>
      <c r="E1137" t="s">
        <v>23</v>
      </c>
      <c r="F1137">
        <v>5.3</v>
      </c>
      <c r="G1137">
        <v>2.5</v>
      </c>
      <c r="H1137">
        <f t="shared" si="86"/>
        <v>6</v>
      </c>
      <c r="I1137">
        <v>2.29</v>
      </c>
      <c r="J1137" t="str">
        <f t="shared" si="87"/>
        <v>third class</v>
      </c>
      <c r="K1137">
        <v>0.7</v>
      </c>
      <c r="L1137" t="s">
        <v>18</v>
      </c>
      <c r="M1137">
        <v>1</v>
      </c>
      <c r="N1137">
        <v>10</v>
      </c>
      <c r="O1137">
        <v>3</v>
      </c>
      <c r="P1137">
        <v>0</v>
      </c>
      <c r="Q1137">
        <f t="shared" si="88"/>
        <v>14</v>
      </c>
      <c r="S1137" t="str">
        <f t="shared" si="89"/>
        <v>Mentally Strained</v>
      </c>
    </row>
    <row r="1138" spans="1:19" x14ac:dyDescent="0.25">
      <c r="A1138">
        <v>15</v>
      </c>
      <c r="B1138" t="str">
        <f t="shared" si="85"/>
        <v>Young Teenager</v>
      </c>
      <c r="C1138" t="s">
        <v>16</v>
      </c>
      <c r="D1138">
        <v>6.5</v>
      </c>
      <c r="E1138" t="s">
        <v>23</v>
      </c>
      <c r="F1138">
        <v>6.2</v>
      </c>
      <c r="G1138">
        <v>1.2</v>
      </c>
      <c r="H1138">
        <f t="shared" si="86"/>
        <v>7.7</v>
      </c>
      <c r="I1138">
        <v>3.19</v>
      </c>
      <c r="J1138" t="str">
        <f t="shared" si="87"/>
        <v>Second class upper</v>
      </c>
      <c r="K1138">
        <v>0</v>
      </c>
      <c r="L1138" t="s">
        <v>22</v>
      </c>
      <c r="M1138">
        <v>6</v>
      </c>
      <c r="N1138">
        <v>5</v>
      </c>
      <c r="O1138">
        <v>2</v>
      </c>
      <c r="P1138">
        <v>0</v>
      </c>
      <c r="Q1138">
        <f t="shared" si="88"/>
        <v>13</v>
      </c>
      <c r="S1138" t="str">
        <f t="shared" si="89"/>
        <v>Mentally Strained</v>
      </c>
    </row>
    <row r="1139" spans="1:19" x14ac:dyDescent="0.25">
      <c r="A1139">
        <v>14</v>
      </c>
      <c r="B1139" t="str">
        <f t="shared" si="85"/>
        <v>Young Teenager</v>
      </c>
      <c r="C1139" t="s">
        <v>16</v>
      </c>
      <c r="D1139">
        <v>7</v>
      </c>
      <c r="E1139" t="s">
        <v>23</v>
      </c>
      <c r="F1139">
        <v>6.7</v>
      </c>
      <c r="G1139">
        <v>1.9</v>
      </c>
      <c r="H1139">
        <f t="shared" si="86"/>
        <v>8.9</v>
      </c>
      <c r="I1139">
        <v>2.48</v>
      </c>
      <c r="J1139" t="str">
        <f t="shared" si="87"/>
        <v>third class</v>
      </c>
      <c r="K1139">
        <v>1.3</v>
      </c>
      <c r="L1139" t="s">
        <v>18</v>
      </c>
      <c r="M1139">
        <v>7</v>
      </c>
      <c r="N1139">
        <v>1</v>
      </c>
      <c r="O1139">
        <v>5</v>
      </c>
      <c r="P1139">
        <v>0</v>
      </c>
      <c r="Q1139">
        <f t="shared" si="88"/>
        <v>13</v>
      </c>
      <c r="S1139" t="str">
        <f t="shared" si="89"/>
        <v>Mentally Strained</v>
      </c>
    </row>
    <row r="1140" spans="1:19" x14ac:dyDescent="0.25">
      <c r="A1140">
        <v>14</v>
      </c>
      <c r="B1140" t="str">
        <f t="shared" si="85"/>
        <v>Young Teenager</v>
      </c>
      <c r="C1140" t="s">
        <v>19</v>
      </c>
      <c r="D1140">
        <v>4</v>
      </c>
      <c r="E1140" t="s">
        <v>20</v>
      </c>
      <c r="F1140">
        <v>4.0999999999999996</v>
      </c>
      <c r="G1140">
        <v>0.9</v>
      </c>
      <c r="H1140">
        <f t="shared" si="86"/>
        <v>4.9000000000000004</v>
      </c>
      <c r="I1140">
        <v>2.99</v>
      </c>
      <c r="J1140" t="str">
        <f t="shared" si="87"/>
        <v>Second class lower</v>
      </c>
      <c r="K1140">
        <v>1.9</v>
      </c>
      <c r="L1140" t="s">
        <v>18</v>
      </c>
      <c r="M1140">
        <v>2</v>
      </c>
      <c r="N1140">
        <v>9</v>
      </c>
      <c r="O1140">
        <v>10</v>
      </c>
      <c r="P1140">
        <v>0</v>
      </c>
      <c r="Q1140">
        <f t="shared" si="88"/>
        <v>21</v>
      </c>
      <c r="S1140" t="str">
        <f t="shared" si="89"/>
        <v>Mentally Unstable</v>
      </c>
    </row>
    <row r="1141" spans="1:19" x14ac:dyDescent="0.25">
      <c r="A1141">
        <v>15</v>
      </c>
      <c r="B1141" t="str">
        <f t="shared" si="85"/>
        <v>Young Teenager</v>
      </c>
      <c r="C1141" t="s">
        <v>19</v>
      </c>
      <c r="D1141">
        <v>1.7</v>
      </c>
      <c r="E1141" t="s">
        <v>17</v>
      </c>
      <c r="F1141">
        <v>5.3</v>
      </c>
      <c r="G1141">
        <v>1.5</v>
      </c>
      <c r="H1141">
        <f t="shared" si="86"/>
        <v>3.2</v>
      </c>
      <c r="I1141">
        <v>3.6</v>
      </c>
      <c r="J1141" t="str">
        <f t="shared" si="87"/>
        <v>first class</v>
      </c>
      <c r="K1141">
        <v>1.5</v>
      </c>
      <c r="L1141" t="s">
        <v>21</v>
      </c>
      <c r="M1141">
        <v>6</v>
      </c>
      <c r="N1141">
        <v>4</v>
      </c>
      <c r="O1141">
        <v>3</v>
      </c>
      <c r="P1141">
        <v>0</v>
      </c>
      <c r="Q1141">
        <f t="shared" si="88"/>
        <v>13</v>
      </c>
      <c r="S1141" t="str">
        <f t="shared" si="89"/>
        <v>Mentally Strained</v>
      </c>
    </row>
    <row r="1142" spans="1:19" x14ac:dyDescent="0.25">
      <c r="A1142">
        <v>14</v>
      </c>
      <c r="B1142" t="str">
        <f t="shared" si="85"/>
        <v>Young Teenager</v>
      </c>
      <c r="C1142" t="s">
        <v>19</v>
      </c>
      <c r="D1142">
        <v>7.8</v>
      </c>
      <c r="E1142" t="s">
        <v>20</v>
      </c>
      <c r="F1142">
        <v>4.7</v>
      </c>
      <c r="G1142">
        <v>2.2000000000000002</v>
      </c>
      <c r="H1142">
        <f t="shared" si="86"/>
        <v>10</v>
      </c>
      <c r="I1142">
        <v>3.53</v>
      </c>
      <c r="J1142" t="str">
        <f t="shared" si="87"/>
        <v>Second class upper</v>
      </c>
      <c r="K1142">
        <v>0.6</v>
      </c>
      <c r="L1142" t="s">
        <v>18</v>
      </c>
      <c r="M1142">
        <v>5</v>
      </c>
      <c r="N1142">
        <v>8</v>
      </c>
      <c r="O1142">
        <v>2</v>
      </c>
      <c r="P1142">
        <v>0</v>
      </c>
      <c r="Q1142">
        <f t="shared" si="88"/>
        <v>15</v>
      </c>
      <c r="S1142" t="str">
        <f t="shared" si="89"/>
        <v>Mentally Strained</v>
      </c>
    </row>
    <row r="1143" spans="1:19" x14ac:dyDescent="0.25">
      <c r="A1143">
        <v>15</v>
      </c>
      <c r="B1143" t="str">
        <f t="shared" si="85"/>
        <v>Young Teenager</v>
      </c>
      <c r="C1143" t="s">
        <v>19</v>
      </c>
      <c r="D1143">
        <v>5.2</v>
      </c>
      <c r="E1143" t="s">
        <v>17</v>
      </c>
      <c r="F1143">
        <v>6.7</v>
      </c>
      <c r="G1143">
        <v>3</v>
      </c>
      <c r="H1143">
        <f t="shared" si="86"/>
        <v>8.1999999999999993</v>
      </c>
      <c r="I1143">
        <v>3.18</v>
      </c>
      <c r="J1143" t="str">
        <f t="shared" si="87"/>
        <v>Second class upper</v>
      </c>
      <c r="K1143">
        <v>0.6</v>
      </c>
      <c r="L1143" t="s">
        <v>18</v>
      </c>
      <c r="M1143">
        <v>9</v>
      </c>
      <c r="N1143">
        <v>7</v>
      </c>
      <c r="O1143">
        <v>9</v>
      </c>
      <c r="P1143">
        <v>0</v>
      </c>
      <c r="Q1143">
        <f t="shared" si="88"/>
        <v>25</v>
      </c>
      <c r="S1143" t="str">
        <f t="shared" si="89"/>
        <v>Mentally Unstable</v>
      </c>
    </row>
    <row r="1144" spans="1:19" x14ac:dyDescent="0.25">
      <c r="A1144">
        <v>19</v>
      </c>
      <c r="B1144" t="str">
        <f t="shared" si="85"/>
        <v>Old Teenager</v>
      </c>
      <c r="C1144" t="s">
        <v>19</v>
      </c>
      <c r="D1144">
        <v>7.9</v>
      </c>
      <c r="E1144" t="s">
        <v>20</v>
      </c>
      <c r="F1144">
        <v>5.8</v>
      </c>
      <c r="G1144">
        <v>2.1</v>
      </c>
      <c r="H1144">
        <f t="shared" si="86"/>
        <v>10</v>
      </c>
      <c r="I1144">
        <v>3.91</v>
      </c>
      <c r="J1144" t="str">
        <f t="shared" si="87"/>
        <v>first class</v>
      </c>
      <c r="K1144">
        <v>1.4</v>
      </c>
      <c r="L1144" t="s">
        <v>21</v>
      </c>
      <c r="M1144">
        <v>7</v>
      </c>
      <c r="N1144">
        <v>1</v>
      </c>
      <c r="O1144">
        <v>10</v>
      </c>
      <c r="P1144">
        <v>0</v>
      </c>
      <c r="Q1144">
        <f t="shared" si="88"/>
        <v>18</v>
      </c>
      <c r="S1144" t="str">
        <f t="shared" si="89"/>
        <v>Mentally Strained</v>
      </c>
    </row>
    <row r="1145" spans="1:19" x14ac:dyDescent="0.25">
      <c r="A1145">
        <v>17</v>
      </c>
      <c r="B1145" t="str">
        <f t="shared" si="85"/>
        <v>Old Teenager</v>
      </c>
      <c r="C1145" t="s">
        <v>16</v>
      </c>
      <c r="D1145">
        <v>5.9</v>
      </c>
      <c r="E1145" t="s">
        <v>23</v>
      </c>
      <c r="F1145">
        <v>6.6</v>
      </c>
      <c r="G1145">
        <v>1.3</v>
      </c>
      <c r="H1145">
        <f t="shared" si="86"/>
        <v>7.2</v>
      </c>
      <c r="I1145">
        <v>2.11</v>
      </c>
      <c r="J1145" t="str">
        <f t="shared" si="87"/>
        <v>third class</v>
      </c>
      <c r="K1145">
        <v>1.4</v>
      </c>
      <c r="L1145" t="s">
        <v>18</v>
      </c>
      <c r="M1145">
        <v>10</v>
      </c>
      <c r="N1145">
        <v>4</v>
      </c>
      <c r="O1145">
        <v>9</v>
      </c>
      <c r="P1145">
        <v>0</v>
      </c>
      <c r="Q1145">
        <f t="shared" si="88"/>
        <v>23</v>
      </c>
      <c r="S1145" t="str">
        <f t="shared" si="89"/>
        <v>Mentally Unstable</v>
      </c>
    </row>
    <row r="1146" spans="1:19" x14ac:dyDescent="0.25">
      <c r="A1146">
        <v>13</v>
      </c>
      <c r="B1146" t="str">
        <f t="shared" si="85"/>
        <v>Young Teenager</v>
      </c>
      <c r="C1146" t="s">
        <v>19</v>
      </c>
      <c r="D1146">
        <v>2.6</v>
      </c>
      <c r="E1146" t="s">
        <v>20</v>
      </c>
      <c r="F1146">
        <v>8.5</v>
      </c>
      <c r="G1146">
        <v>1.9</v>
      </c>
      <c r="H1146">
        <f t="shared" si="86"/>
        <v>4.5</v>
      </c>
      <c r="I1146">
        <v>3.06</v>
      </c>
      <c r="J1146" t="str">
        <f t="shared" si="87"/>
        <v>Second class upper</v>
      </c>
      <c r="K1146">
        <v>1.9</v>
      </c>
      <c r="L1146" t="s">
        <v>21</v>
      </c>
      <c r="M1146">
        <v>5</v>
      </c>
      <c r="N1146">
        <v>7</v>
      </c>
      <c r="O1146">
        <v>6</v>
      </c>
      <c r="P1146">
        <v>0</v>
      </c>
      <c r="Q1146">
        <f t="shared" si="88"/>
        <v>18</v>
      </c>
      <c r="S1146" t="str">
        <f t="shared" si="89"/>
        <v>Mentally Strained</v>
      </c>
    </row>
    <row r="1147" spans="1:19" x14ac:dyDescent="0.25">
      <c r="A1147">
        <v>18</v>
      </c>
      <c r="B1147" t="str">
        <f t="shared" si="85"/>
        <v>Old Teenager</v>
      </c>
      <c r="C1147" t="s">
        <v>19</v>
      </c>
      <c r="D1147">
        <v>6.3</v>
      </c>
      <c r="E1147" t="s">
        <v>20</v>
      </c>
      <c r="F1147">
        <v>4.8</v>
      </c>
      <c r="G1147">
        <v>1.2</v>
      </c>
      <c r="H1147">
        <f t="shared" si="86"/>
        <v>7.5</v>
      </c>
      <c r="I1147">
        <v>2.91</v>
      </c>
      <c r="J1147" t="str">
        <f t="shared" si="87"/>
        <v>Second class lower</v>
      </c>
      <c r="K1147">
        <v>1.3</v>
      </c>
      <c r="L1147" t="s">
        <v>22</v>
      </c>
      <c r="M1147">
        <v>9</v>
      </c>
      <c r="N1147">
        <v>10</v>
      </c>
      <c r="O1147">
        <v>3</v>
      </c>
      <c r="P1147">
        <v>1</v>
      </c>
      <c r="Q1147">
        <f t="shared" si="88"/>
        <v>23</v>
      </c>
      <c r="S1147" t="str">
        <f t="shared" si="89"/>
        <v>Mentally Unstable</v>
      </c>
    </row>
    <row r="1148" spans="1:19" x14ac:dyDescent="0.25">
      <c r="A1148">
        <v>19</v>
      </c>
      <c r="B1148" t="str">
        <f t="shared" si="85"/>
        <v>Old Teenager</v>
      </c>
      <c r="C1148" t="s">
        <v>19</v>
      </c>
      <c r="D1148">
        <v>4.5</v>
      </c>
      <c r="E1148" t="s">
        <v>20</v>
      </c>
      <c r="F1148">
        <v>8.4</v>
      </c>
      <c r="G1148">
        <v>2.1</v>
      </c>
      <c r="H1148">
        <f t="shared" si="86"/>
        <v>6.6</v>
      </c>
      <c r="I1148">
        <v>2.62</v>
      </c>
      <c r="J1148" t="str">
        <f t="shared" si="87"/>
        <v>Second class lower</v>
      </c>
      <c r="K1148">
        <v>2</v>
      </c>
      <c r="L1148" t="s">
        <v>18</v>
      </c>
      <c r="M1148">
        <v>5</v>
      </c>
      <c r="N1148">
        <v>10</v>
      </c>
      <c r="O1148">
        <v>5</v>
      </c>
      <c r="P1148">
        <v>0</v>
      </c>
      <c r="Q1148">
        <f t="shared" si="88"/>
        <v>20</v>
      </c>
      <c r="S1148" t="str">
        <f t="shared" si="89"/>
        <v>Mentally Unstable</v>
      </c>
    </row>
    <row r="1149" spans="1:19" x14ac:dyDescent="0.25">
      <c r="A1149">
        <v>19</v>
      </c>
      <c r="B1149" t="str">
        <f t="shared" si="85"/>
        <v>Old Teenager</v>
      </c>
      <c r="C1149" t="s">
        <v>16</v>
      </c>
      <c r="D1149">
        <v>5.3</v>
      </c>
      <c r="E1149" t="s">
        <v>17</v>
      </c>
      <c r="F1149">
        <v>4.7</v>
      </c>
      <c r="G1149">
        <v>2.8</v>
      </c>
      <c r="H1149">
        <f t="shared" si="86"/>
        <v>8.1</v>
      </c>
      <c r="I1149">
        <v>2.82</v>
      </c>
      <c r="J1149" t="str">
        <f t="shared" si="87"/>
        <v>Second class lower</v>
      </c>
      <c r="K1149">
        <v>0.3</v>
      </c>
      <c r="L1149" t="s">
        <v>21</v>
      </c>
      <c r="M1149">
        <v>1</v>
      </c>
      <c r="N1149">
        <v>9</v>
      </c>
      <c r="O1149">
        <v>6</v>
      </c>
      <c r="P1149">
        <v>0</v>
      </c>
      <c r="Q1149">
        <f t="shared" si="88"/>
        <v>16</v>
      </c>
      <c r="S1149" t="str">
        <f t="shared" si="89"/>
        <v>Mentally Strained</v>
      </c>
    </row>
    <row r="1150" spans="1:19" x14ac:dyDescent="0.25">
      <c r="A1150">
        <v>13</v>
      </c>
      <c r="B1150" t="str">
        <f t="shared" si="85"/>
        <v>Young Teenager</v>
      </c>
      <c r="C1150" t="s">
        <v>19</v>
      </c>
      <c r="D1150">
        <v>5.2</v>
      </c>
      <c r="E1150" t="s">
        <v>23</v>
      </c>
      <c r="F1150">
        <v>7.4</v>
      </c>
      <c r="G1150">
        <v>2.5</v>
      </c>
      <c r="H1150">
        <f t="shared" si="86"/>
        <v>7.7</v>
      </c>
      <c r="I1150">
        <v>3.93</v>
      </c>
      <c r="J1150" t="str">
        <f t="shared" si="87"/>
        <v>first class</v>
      </c>
      <c r="K1150">
        <v>0.8</v>
      </c>
      <c r="L1150" t="s">
        <v>18</v>
      </c>
      <c r="M1150">
        <v>4</v>
      </c>
      <c r="N1150">
        <v>4</v>
      </c>
      <c r="O1150">
        <v>8</v>
      </c>
      <c r="P1150">
        <v>0</v>
      </c>
      <c r="Q1150">
        <f t="shared" si="88"/>
        <v>16</v>
      </c>
      <c r="S1150" t="str">
        <f t="shared" si="89"/>
        <v>Mentally Strained</v>
      </c>
    </row>
    <row r="1151" spans="1:19" x14ac:dyDescent="0.25">
      <c r="A1151">
        <v>15</v>
      </c>
      <c r="B1151" t="str">
        <f t="shared" si="85"/>
        <v>Young Teenager</v>
      </c>
      <c r="C1151" t="s">
        <v>16</v>
      </c>
      <c r="D1151">
        <v>3.3</v>
      </c>
      <c r="E1151" t="s">
        <v>23</v>
      </c>
      <c r="F1151">
        <v>6.1</v>
      </c>
      <c r="G1151">
        <v>1.2</v>
      </c>
      <c r="H1151">
        <f t="shared" si="86"/>
        <v>4.5</v>
      </c>
      <c r="I1151">
        <v>2.56</v>
      </c>
      <c r="J1151" t="str">
        <f t="shared" si="87"/>
        <v>Second class lower</v>
      </c>
      <c r="K1151">
        <v>1.4</v>
      </c>
      <c r="L1151" t="s">
        <v>18</v>
      </c>
      <c r="M1151">
        <v>8</v>
      </c>
      <c r="N1151">
        <v>6</v>
      </c>
      <c r="O1151">
        <v>3</v>
      </c>
      <c r="P1151">
        <v>0</v>
      </c>
      <c r="Q1151">
        <f t="shared" si="88"/>
        <v>17</v>
      </c>
      <c r="S1151" t="str">
        <f t="shared" si="89"/>
        <v>Mentally Strained</v>
      </c>
    </row>
    <row r="1152" spans="1:19" x14ac:dyDescent="0.25">
      <c r="A1152">
        <v>14</v>
      </c>
      <c r="B1152" t="str">
        <f t="shared" si="85"/>
        <v>Young Teenager</v>
      </c>
      <c r="C1152" t="s">
        <v>19</v>
      </c>
      <c r="D1152">
        <v>1.1000000000000001</v>
      </c>
      <c r="E1152" t="s">
        <v>23</v>
      </c>
      <c r="F1152">
        <v>5.4</v>
      </c>
      <c r="G1152">
        <v>1.6</v>
      </c>
      <c r="H1152">
        <f t="shared" si="86"/>
        <v>2.7</v>
      </c>
      <c r="I1152">
        <v>3.34</v>
      </c>
      <c r="J1152" t="str">
        <f t="shared" si="87"/>
        <v>Second class upper</v>
      </c>
      <c r="K1152">
        <v>1.5</v>
      </c>
      <c r="L1152" t="s">
        <v>22</v>
      </c>
      <c r="M1152">
        <v>4</v>
      </c>
      <c r="N1152">
        <v>5</v>
      </c>
      <c r="O1152">
        <v>8</v>
      </c>
      <c r="P1152">
        <v>0</v>
      </c>
      <c r="Q1152">
        <f t="shared" si="88"/>
        <v>17</v>
      </c>
      <c r="S1152" t="str">
        <f t="shared" si="89"/>
        <v>Mentally Strained</v>
      </c>
    </row>
    <row r="1153" spans="1:19" x14ac:dyDescent="0.25">
      <c r="A1153">
        <v>17</v>
      </c>
      <c r="B1153" t="str">
        <f t="shared" si="85"/>
        <v>Old Teenager</v>
      </c>
      <c r="C1153" t="s">
        <v>19</v>
      </c>
      <c r="D1153">
        <v>5</v>
      </c>
      <c r="E1153" t="s">
        <v>17</v>
      </c>
      <c r="F1153">
        <v>7.3</v>
      </c>
      <c r="G1153">
        <v>1.2</v>
      </c>
      <c r="H1153">
        <f t="shared" si="86"/>
        <v>6.2</v>
      </c>
      <c r="I1153">
        <v>3.39</v>
      </c>
      <c r="J1153" t="str">
        <f t="shared" si="87"/>
        <v>Second class upper</v>
      </c>
      <c r="K1153">
        <v>0.7</v>
      </c>
      <c r="L1153" t="s">
        <v>22</v>
      </c>
      <c r="M1153">
        <v>9</v>
      </c>
      <c r="N1153">
        <v>10</v>
      </c>
      <c r="O1153">
        <v>8</v>
      </c>
      <c r="P1153">
        <v>0</v>
      </c>
      <c r="Q1153">
        <f t="shared" si="88"/>
        <v>27</v>
      </c>
      <c r="S1153" t="str">
        <f t="shared" si="89"/>
        <v>Mentally Unstable</v>
      </c>
    </row>
    <row r="1154" spans="1:19" x14ac:dyDescent="0.25">
      <c r="A1154">
        <v>15</v>
      </c>
      <c r="B1154" t="str">
        <f t="shared" si="85"/>
        <v>Young Teenager</v>
      </c>
      <c r="C1154" t="s">
        <v>19</v>
      </c>
      <c r="D1154">
        <v>7.4</v>
      </c>
      <c r="E1154" t="s">
        <v>20</v>
      </c>
      <c r="F1154">
        <v>8.6</v>
      </c>
      <c r="G1154">
        <v>1.4</v>
      </c>
      <c r="H1154">
        <f t="shared" si="86"/>
        <v>8.8000000000000007</v>
      </c>
      <c r="I1154">
        <v>2.19</v>
      </c>
      <c r="J1154" t="str">
        <f t="shared" si="87"/>
        <v>third class</v>
      </c>
      <c r="K1154">
        <v>1.8</v>
      </c>
      <c r="L1154" t="s">
        <v>18</v>
      </c>
      <c r="M1154">
        <v>10</v>
      </c>
      <c r="N1154">
        <v>10</v>
      </c>
      <c r="O1154">
        <v>1</v>
      </c>
      <c r="P1154">
        <v>0</v>
      </c>
      <c r="Q1154">
        <f t="shared" si="88"/>
        <v>21</v>
      </c>
      <c r="S1154" t="str">
        <f t="shared" si="89"/>
        <v>Mentally Unstable</v>
      </c>
    </row>
    <row r="1155" spans="1:19" x14ac:dyDescent="0.25">
      <c r="A1155">
        <v>15</v>
      </c>
      <c r="B1155" t="str">
        <f t="shared" ref="B1155:B1201" si="90">IF(A1155&lt;=15,"Young Teenager","Old Teenager")</f>
        <v>Young Teenager</v>
      </c>
      <c r="C1155" t="s">
        <v>19</v>
      </c>
      <c r="D1155">
        <v>7.4</v>
      </c>
      <c r="E1155" t="s">
        <v>20</v>
      </c>
      <c r="F1155">
        <v>8.9</v>
      </c>
      <c r="G1155">
        <v>2.9</v>
      </c>
      <c r="H1155">
        <f t="shared" ref="H1155:H1201" si="91">SUM(D1155,G1155)</f>
        <v>10.3</v>
      </c>
      <c r="I1155">
        <v>3.39</v>
      </c>
      <c r="J1155" t="str">
        <f t="shared" ref="J1155:J1201" si="92">IF(I1155&lt;=2.49,"third class",IF(I1155&lt;3,"Second class lower",IF(I1155&lt;3.6,"Second class upper","first class")))</f>
        <v>Second class upper</v>
      </c>
      <c r="K1155">
        <v>1.1000000000000001</v>
      </c>
      <c r="L1155" t="s">
        <v>21</v>
      </c>
      <c r="M1155">
        <v>4</v>
      </c>
      <c r="N1155">
        <v>9</v>
      </c>
      <c r="O1155">
        <v>1</v>
      </c>
      <c r="P1155">
        <v>0</v>
      </c>
      <c r="Q1155">
        <f t="shared" ref="Q1155:Q1201" si="93">SUM(M1155:P1155)</f>
        <v>14</v>
      </c>
      <c r="S1155" t="str">
        <f t="shared" ref="S1155:S1201" si="94">IF(Q1155&lt;10,"Mentally Sound",IF(Q1155&gt;=20,"Mentally Unstable","Mentally Strained"))</f>
        <v>Mentally Strained</v>
      </c>
    </row>
    <row r="1156" spans="1:19" x14ac:dyDescent="0.25">
      <c r="A1156">
        <v>17</v>
      </c>
      <c r="B1156" t="str">
        <f t="shared" si="90"/>
        <v>Old Teenager</v>
      </c>
      <c r="C1156" t="s">
        <v>16</v>
      </c>
      <c r="D1156">
        <v>6.6</v>
      </c>
      <c r="E1156" t="s">
        <v>20</v>
      </c>
      <c r="F1156">
        <v>5.2</v>
      </c>
      <c r="G1156">
        <v>2.2000000000000002</v>
      </c>
      <c r="H1156">
        <f t="shared" si="91"/>
        <v>8.8000000000000007</v>
      </c>
      <c r="I1156">
        <v>2.98</v>
      </c>
      <c r="J1156" t="str">
        <f t="shared" si="92"/>
        <v>Second class lower</v>
      </c>
      <c r="K1156">
        <v>0.8</v>
      </c>
      <c r="L1156" t="s">
        <v>21</v>
      </c>
      <c r="M1156">
        <v>6</v>
      </c>
      <c r="N1156">
        <v>8</v>
      </c>
      <c r="O1156">
        <v>7</v>
      </c>
      <c r="P1156">
        <v>0</v>
      </c>
      <c r="Q1156">
        <f t="shared" si="93"/>
        <v>21</v>
      </c>
      <c r="S1156" t="str">
        <f t="shared" si="94"/>
        <v>Mentally Unstable</v>
      </c>
    </row>
    <row r="1157" spans="1:19" x14ac:dyDescent="0.25">
      <c r="A1157">
        <v>13</v>
      </c>
      <c r="B1157" t="str">
        <f t="shared" si="90"/>
        <v>Young Teenager</v>
      </c>
      <c r="C1157" t="s">
        <v>19</v>
      </c>
      <c r="D1157">
        <v>7.1</v>
      </c>
      <c r="E1157" t="s">
        <v>23</v>
      </c>
      <c r="F1157">
        <v>7.2</v>
      </c>
      <c r="G1157">
        <v>1.1000000000000001</v>
      </c>
      <c r="H1157">
        <f t="shared" si="91"/>
        <v>8.1999999999999993</v>
      </c>
      <c r="I1157">
        <v>3.69</v>
      </c>
      <c r="J1157" t="str">
        <f t="shared" si="92"/>
        <v>first class</v>
      </c>
      <c r="K1157">
        <v>1</v>
      </c>
      <c r="L1157" t="s">
        <v>18</v>
      </c>
      <c r="M1157">
        <v>4</v>
      </c>
      <c r="N1157">
        <v>6</v>
      </c>
      <c r="O1157">
        <v>3</v>
      </c>
      <c r="P1157">
        <v>0</v>
      </c>
      <c r="Q1157">
        <f t="shared" si="93"/>
        <v>13</v>
      </c>
      <c r="S1157" t="str">
        <f t="shared" si="94"/>
        <v>Mentally Strained</v>
      </c>
    </row>
    <row r="1158" spans="1:19" x14ac:dyDescent="0.25">
      <c r="A1158">
        <v>15</v>
      </c>
      <c r="B1158" t="str">
        <f t="shared" si="90"/>
        <v>Young Teenager</v>
      </c>
      <c r="C1158" t="s">
        <v>19</v>
      </c>
      <c r="D1158">
        <v>1.1000000000000001</v>
      </c>
      <c r="E1158" t="s">
        <v>20</v>
      </c>
      <c r="F1158">
        <v>8.6</v>
      </c>
      <c r="G1158">
        <v>2.2999999999999998</v>
      </c>
      <c r="H1158">
        <f t="shared" si="91"/>
        <v>3.4</v>
      </c>
      <c r="I1158">
        <v>3.68</v>
      </c>
      <c r="J1158" t="str">
        <f t="shared" si="92"/>
        <v>first class</v>
      </c>
      <c r="K1158">
        <v>0.5</v>
      </c>
      <c r="L1158" t="s">
        <v>18</v>
      </c>
      <c r="M1158">
        <v>1</v>
      </c>
      <c r="N1158">
        <v>2</v>
      </c>
      <c r="O1158">
        <v>7</v>
      </c>
      <c r="P1158">
        <v>0</v>
      </c>
      <c r="Q1158">
        <f t="shared" si="93"/>
        <v>10</v>
      </c>
      <c r="S1158" t="str">
        <f t="shared" si="94"/>
        <v>Mentally Strained</v>
      </c>
    </row>
    <row r="1159" spans="1:19" x14ac:dyDescent="0.25">
      <c r="A1159">
        <v>13</v>
      </c>
      <c r="B1159" t="str">
        <f t="shared" si="90"/>
        <v>Young Teenager</v>
      </c>
      <c r="C1159" t="s">
        <v>19</v>
      </c>
      <c r="D1159">
        <v>3.6</v>
      </c>
      <c r="E1159" t="s">
        <v>20</v>
      </c>
      <c r="F1159">
        <v>8.6999999999999993</v>
      </c>
      <c r="G1159">
        <v>0.8</v>
      </c>
      <c r="H1159">
        <f t="shared" si="91"/>
        <v>4.4000000000000004</v>
      </c>
      <c r="I1159">
        <v>2.41</v>
      </c>
      <c r="J1159" t="str">
        <f t="shared" si="92"/>
        <v>third class</v>
      </c>
      <c r="K1159">
        <v>1.3</v>
      </c>
      <c r="L1159" t="s">
        <v>18</v>
      </c>
      <c r="M1159">
        <v>4</v>
      </c>
      <c r="N1159">
        <v>6</v>
      </c>
      <c r="O1159">
        <v>8</v>
      </c>
      <c r="P1159">
        <v>0</v>
      </c>
      <c r="Q1159">
        <f t="shared" si="93"/>
        <v>18</v>
      </c>
      <c r="S1159" t="str">
        <f t="shared" si="94"/>
        <v>Mentally Strained</v>
      </c>
    </row>
    <row r="1160" spans="1:19" x14ac:dyDescent="0.25">
      <c r="A1160">
        <v>16</v>
      </c>
      <c r="B1160" t="str">
        <f t="shared" si="90"/>
        <v>Old Teenager</v>
      </c>
      <c r="C1160" t="s">
        <v>16</v>
      </c>
      <c r="D1160">
        <v>5.0999999999999996</v>
      </c>
      <c r="E1160" t="s">
        <v>20</v>
      </c>
      <c r="F1160">
        <v>4.5999999999999996</v>
      </c>
      <c r="G1160">
        <v>1.1000000000000001</v>
      </c>
      <c r="H1160">
        <f t="shared" si="91"/>
        <v>6.1999999999999993</v>
      </c>
      <c r="I1160">
        <v>2.75</v>
      </c>
      <c r="J1160" t="str">
        <f t="shared" si="92"/>
        <v>Second class lower</v>
      </c>
      <c r="K1160">
        <v>1.5</v>
      </c>
      <c r="L1160" t="s">
        <v>22</v>
      </c>
      <c r="M1160">
        <v>6</v>
      </c>
      <c r="N1160">
        <v>3</v>
      </c>
      <c r="O1160">
        <v>6</v>
      </c>
      <c r="P1160">
        <v>0</v>
      </c>
      <c r="Q1160">
        <f t="shared" si="93"/>
        <v>15</v>
      </c>
      <c r="S1160" t="str">
        <f t="shared" si="94"/>
        <v>Mentally Strained</v>
      </c>
    </row>
    <row r="1161" spans="1:19" x14ac:dyDescent="0.25">
      <c r="A1161">
        <v>19</v>
      </c>
      <c r="B1161" t="str">
        <f t="shared" si="90"/>
        <v>Old Teenager</v>
      </c>
      <c r="C1161" t="s">
        <v>19</v>
      </c>
      <c r="D1161">
        <v>7.3</v>
      </c>
      <c r="E1161" t="s">
        <v>17</v>
      </c>
      <c r="F1161">
        <v>7.8</v>
      </c>
      <c r="G1161">
        <v>1</v>
      </c>
      <c r="H1161">
        <f t="shared" si="91"/>
        <v>8.3000000000000007</v>
      </c>
      <c r="I1161">
        <v>2.91</v>
      </c>
      <c r="J1161" t="str">
        <f t="shared" si="92"/>
        <v>Second class lower</v>
      </c>
      <c r="K1161">
        <v>0.8</v>
      </c>
      <c r="L1161" t="s">
        <v>22</v>
      </c>
      <c r="M1161">
        <v>9</v>
      </c>
      <c r="N1161">
        <v>7</v>
      </c>
      <c r="O1161">
        <v>5</v>
      </c>
      <c r="P1161">
        <v>0</v>
      </c>
      <c r="Q1161">
        <f t="shared" si="93"/>
        <v>21</v>
      </c>
      <c r="S1161" t="str">
        <f t="shared" si="94"/>
        <v>Mentally Unstable</v>
      </c>
    </row>
    <row r="1162" spans="1:19" x14ac:dyDescent="0.25">
      <c r="A1162">
        <v>13</v>
      </c>
      <c r="B1162" t="str">
        <f t="shared" si="90"/>
        <v>Young Teenager</v>
      </c>
      <c r="C1162" t="s">
        <v>19</v>
      </c>
      <c r="D1162">
        <v>7.7</v>
      </c>
      <c r="E1162" t="s">
        <v>23</v>
      </c>
      <c r="F1162">
        <v>7.5</v>
      </c>
      <c r="G1162">
        <v>1.4</v>
      </c>
      <c r="H1162">
        <f t="shared" si="91"/>
        <v>9.1</v>
      </c>
      <c r="I1162">
        <v>2.2400000000000002</v>
      </c>
      <c r="J1162" t="str">
        <f t="shared" si="92"/>
        <v>third class</v>
      </c>
      <c r="K1162">
        <v>0.1</v>
      </c>
      <c r="L1162" t="s">
        <v>18</v>
      </c>
      <c r="M1162">
        <v>5</v>
      </c>
      <c r="N1162">
        <v>3</v>
      </c>
      <c r="O1162">
        <v>3</v>
      </c>
      <c r="P1162">
        <v>0</v>
      </c>
      <c r="Q1162">
        <f t="shared" si="93"/>
        <v>11</v>
      </c>
      <c r="S1162" t="str">
        <f t="shared" si="94"/>
        <v>Mentally Strained</v>
      </c>
    </row>
    <row r="1163" spans="1:19" x14ac:dyDescent="0.25">
      <c r="A1163">
        <v>13</v>
      </c>
      <c r="B1163" t="str">
        <f t="shared" si="90"/>
        <v>Young Teenager</v>
      </c>
      <c r="C1163" t="s">
        <v>19</v>
      </c>
      <c r="D1163">
        <v>7.9</v>
      </c>
      <c r="E1163" t="s">
        <v>20</v>
      </c>
      <c r="F1163">
        <v>4.0999999999999996</v>
      </c>
      <c r="G1163">
        <v>1.6</v>
      </c>
      <c r="H1163">
        <f t="shared" si="91"/>
        <v>9.5</v>
      </c>
      <c r="I1163">
        <v>2.74</v>
      </c>
      <c r="J1163" t="str">
        <f t="shared" si="92"/>
        <v>Second class lower</v>
      </c>
      <c r="K1163">
        <v>0.9</v>
      </c>
      <c r="L1163" t="s">
        <v>22</v>
      </c>
      <c r="M1163">
        <v>9</v>
      </c>
      <c r="N1163">
        <v>3</v>
      </c>
      <c r="O1163">
        <v>5</v>
      </c>
      <c r="P1163">
        <v>0</v>
      </c>
      <c r="Q1163">
        <f t="shared" si="93"/>
        <v>17</v>
      </c>
      <c r="S1163" t="str">
        <f t="shared" si="94"/>
        <v>Mentally Strained</v>
      </c>
    </row>
    <row r="1164" spans="1:19" x14ac:dyDescent="0.25">
      <c r="A1164">
        <v>16</v>
      </c>
      <c r="B1164" t="str">
        <f t="shared" si="90"/>
        <v>Old Teenager</v>
      </c>
      <c r="C1164" t="s">
        <v>19</v>
      </c>
      <c r="D1164">
        <v>5.5</v>
      </c>
      <c r="E1164" t="s">
        <v>23</v>
      </c>
      <c r="F1164">
        <v>5.8</v>
      </c>
      <c r="G1164">
        <v>2.5</v>
      </c>
      <c r="H1164">
        <f t="shared" si="91"/>
        <v>8</v>
      </c>
      <c r="I1164">
        <v>2.34</v>
      </c>
      <c r="J1164" t="str">
        <f t="shared" si="92"/>
        <v>third class</v>
      </c>
      <c r="K1164">
        <v>1</v>
      </c>
      <c r="L1164" t="s">
        <v>18</v>
      </c>
      <c r="M1164">
        <v>5</v>
      </c>
      <c r="N1164">
        <v>2</v>
      </c>
      <c r="O1164">
        <v>8</v>
      </c>
      <c r="P1164">
        <v>0</v>
      </c>
      <c r="Q1164">
        <f t="shared" si="93"/>
        <v>15</v>
      </c>
      <c r="S1164" t="str">
        <f t="shared" si="94"/>
        <v>Mentally Strained</v>
      </c>
    </row>
    <row r="1165" spans="1:19" x14ac:dyDescent="0.25">
      <c r="A1165">
        <v>19</v>
      </c>
      <c r="B1165" t="str">
        <f t="shared" si="90"/>
        <v>Old Teenager</v>
      </c>
      <c r="C1165" t="s">
        <v>16</v>
      </c>
      <c r="D1165">
        <v>4</v>
      </c>
      <c r="E1165" t="s">
        <v>17</v>
      </c>
      <c r="F1165">
        <v>7.8</v>
      </c>
      <c r="G1165">
        <v>0.6</v>
      </c>
      <c r="H1165">
        <f t="shared" si="91"/>
        <v>4.5999999999999996</v>
      </c>
      <c r="I1165">
        <v>3.61</v>
      </c>
      <c r="J1165" t="str">
        <f t="shared" si="92"/>
        <v>first class</v>
      </c>
      <c r="K1165">
        <v>1.7</v>
      </c>
      <c r="L1165" t="s">
        <v>21</v>
      </c>
      <c r="M1165">
        <v>2</v>
      </c>
      <c r="N1165">
        <v>7</v>
      </c>
      <c r="O1165">
        <v>9</v>
      </c>
      <c r="P1165">
        <v>0</v>
      </c>
      <c r="Q1165">
        <f t="shared" si="93"/>
        <v>18</v>
      </c>
      <c r="S1165" t="str">
        <f t="shared" si="94"/>
        <v>Mentally Strained</v>
      </c>
    </row>
    <row r="1166" spans="1:19" x14ac:dyDescent="0.25">
      <c r="A1166">
        <v>15</v>
      </c>
      <c r="B1166" t="str">
        <f t="shared" si="90"/>
        <v>Young Teenager</v>
      </c>
      <c r="C1166" t="s">
        <v>19</v>
      </c>
      <c r="D1166">
        <v>7.9</v>
      </c>
      <c r="E1166" t="s">
        <v>20</v>
      </c>
      <c r="F1166">
        <v>4.7</v>
      </c>
      <c r="G1166">
        <v>1.5</v>
      </c>
      <c r="H1166">
        <f t="shared" si="91"/>
        <v>9.4</v>
      </c>
      <c r="I1166">
        <v>3.3</v>
      </c>
      <c r="J1166" t="str">
        <f t="shared" si="92"/>
        <v>Second class upper</v>
      </c>
      <c r="K1166">
        <v>0</v>
      </c>
      <c r="L1166" t="s">
        <v>18</v>
      </c>
      <c r="M1166">
        <v>5</v>
      </c>
      <c r="N1166">
        <v>8</v>
      </c>
      <c r="O1166">
        <v>5</v>
      </c>
      <c r="P1166">
        <v>0</v>
      </c>
      <c r="Q1166">
        <f t="shared" si="93"/>
        <v>18</v>
      </c>
      <c r="S1166" t="str">
        <f t="shared" si="94"/>
        <v>Mentally Strained</v>
      </c>
    </row>
    <row r="1167" spans="1:19" x14ac:dyDescent="0.25">
      <c r="A1167">
        <v>18</v>
      </c>
      <c r="B1167" t="str">
        <f t="shared" si="90"/>
        <v>Old Teenager</v>
      </c>
      <c r="C1167" t="s">
        <v>19</v>
      </c>
      <c r="D1167">
        <v>5.5</v>
      </c>
      <c r="E1167" t="s">
        <v>23</v>
      </c>
      <c r="F1167">
        <v>8.1999999999999993</v>
      </c>
      <c r="G1167">
        <v>0.5</v>
      </c>
      <c r="H1167">
        <f t="shared" si="91"/>
        <v>6</v>
      </c>
      <c r="I1167">
        <v>3.15</v>
      </c>
      <c r="J1167" t="str">
        <f t="shared" si="92"/>
        <v>Second class upper</v>
      </c>
      <c r="K1167">
        <v>1.2</v>
      </c>
      <c r="L1167" t="s">
        <v>22</v>
      </c>
      <c r="M1167">
        <v>8</v>
      </c>
      <c r="N1167">
        <v>7</v>
      </c>
      <c r="O1167">
        <v>7</v>
      </c>
      <c r="P1167">
        <v>0</v>
      </c>
      <c r="Q1167">
        <f t="shared" si="93"/>
        <v>22</v>
      </c>
      <c r="S1167" t="str">
        <f t="shared" si="94"/>
        <v>Mentally Unstable</v>
      </c>
    </row>
    <row r="1168" spans="1:19" x14ac:dyDescent="0.25">
      <c r="A1168">
        <v>17</v>
      </c>
      <c r="B1168" t="str">
        <f t="shared" si="90"/>
        <v>Old Teenager</v>
      </c>
      <c r="C1168" t="s">
        <v>19</v>
      </c>
      <c r="D1168">
        <v>7.6</v>
      </c>
      <c r="E1168" t="s">
        <v>23</v>
      </c>
      <c r="F1168">
        <v>7.1</v>
      </c>
      <c r="G1168">
        <v>1.1000000000000001</v>
      </c>
      <c r="H1168">
        <f t="shared" si="91"/>
        <v>8.6999999999999993</v>
      </c>
      <c r="I1168">
        <v>2.0699999999999998</v>
      </c>
      <c r="J1168" t="str">
        <f t="shared" si="92"/>
        <v>third class</v>
      </c>
      <c r="K1168">
        <v>1.9</v>
      </c>
      <c r="L1168" t="s">
        <v>21</v>
      </c>
      <c r="M1168">
        <v>3</v>
      </c>
      <c r="N1168">
        <v>2</v>
      </c>
      <c r="O1168">
        <v>6</v>
      </c>
      <c r="P1168">
        <v>0</v>
      </c>
      <c r="Q1168">
        <f t="shared" si="93"/>
        <v>11</v>
      </c>
      <c r="S1168" t="str">
        <f t="shared" si="94"/>
        <v>Mentally Strained</v>
      </c>
    </row>
    <row r="1169" spans="1:19" x14ac:dyDescent="0.25">
      <c r="A1169">
        <v>13</v>
      </c>
      <c r="B1169" t="str">
        <f t="shared" si="90"/>
        <v>Young Teenager</v>
      </c>
      <c r="C1169" t="s">
        <v>16</v>
      </c>
      <c r="D1169">
        <v>1.3</v>
      </c>
      <c r="E1169" t="s">
        <v>20</v>
      </c>
      <c r="F1169">
        <v>4.4000000000000004</v>
      </c>
      <c r="G1169">
        <v>0.9</v>
      </c>
      <c r="H1169">
        <f t="shared" si="91"/>
        <v>2.2000000000000002</v>
      </c>
      <c r="I1169">
        <v>2.99</v>
      </c>
      <c r="J1169" t="str">
        <f t="shared" si="92"/>
        <v>Second class lower</v>
      </c>
      <c r="K1169">
        <v>0</v>
      </c>
      <c r="L1169" t="s">
        <v>21</v>
      </c>
      <c r="M1169">
        <v>8</v>
      </c>
      <c r="N1169">
        <v>2</v>
      </c>
      <c r="O1169">
        <v>5</v>
      </c>
      <c r="P1169">
        <v>0</v>
      </c>
      <c r="Q1169">
        <f t="shared" si="93"/>
        <v>15</v>
      </c>
      <c r="S1169" t="str">
        <f t="shared" si="94"/>
        <v>Mentally Strained</v>
      </c>
    </row>
    <row r="1170" spans="1:19" x14ac:dyDescent="0.25">
      <c r="A1170">
        <v>16</v>
      </c>
      <c r="B1170" t="str">
        <f t="shared" si="90"/>
        <v>Old Teenager</v>
      </c>
      <c r="C1170" t="s">
        <v>16</v>
      </c>
      <c r="D1170">
        <v>7.3</v>
      </c>
      <c r="E1170" t="s">
        <v>20</v>
      </c>
      <c r="F1170">
        <v>7</v>
      </c>
      <c r="G1170">
        <v>2.2000000000000002</v>
      </c>
      <c r="H1170">
        <f t="shared" si="91"/>
        <v>9.5</v>
      </c>
      <c r="I1170">
        <v>2.0699999999999998</v>
      </c>
      <c r="J1170" t="str">
        <f t="shared" si="92"/>
        <v>third class</v>
      </c>
      <c r="K1170">
        <v>1</v>
      </c>
      <c r="L1170" t="s">
        <v>22</v>
      </c>
      <c r="M1170">
        <v>3</v>
      </c>
      <c r="N1170">
        <v>7</v>
      </c>
      <c r="O1170">
        <v>1</v>
      </c>
      <c r="P1170">
        <v>0</v>
      </c>
      <c r="Q1170">
        <f t="shared" si="93"/>
        <v>11</v>
      </c>
      <c r="S1170" t="str">
        <f t="shared" si="94"/>
        <v>Mentally Strained</v>
      </c>
    </row>
    <row r="1171" spans="1:19" x14ac:dyDescent="0.25">
      <c r="A1171">
        <v>18</v>
      </c>
      <c r="B1171" t="str">
        <f t="shared" si="90"/>
        <v>Old Teenager</v>
      </c>
      <c r="C1171" t="s">
        <v>16</v>
      </c>
      <c r="D1171">
        <v>4.3</v>
      </c>
      <c r="E1171" t="s">
        <v>17</v>
      </c>
      <c r="F1171">
        <v>6.7</v>
      </c>
      <c r="G1171">
        <v>2.5</v>
      </c>
      <c r="H1171">
        <f t="shared" si="91"/>
        <v>6.8</v>
      </c>
      <c r="I1171">
        <v>3.19</v>
      </c>
      <c r="J1171" t="str">
        <f t="shared" si="92"/>
        <v>Second class upper</v>
      </c>
      <c r="K1171">
        <v>1</v>
      </c>
      <c r="L1171" t="s">
        <v>21</v>
      </c>
      <c r="M1171">
        <v>5</v>
      </c>
      <c r="N1171">
        <v>5</v>
      </c>
      <c r="O1171">
        <v>5</v>
      </c>
      <c r="P1171">
        <v>0</v>
      </c>
      <c r="Q1171">
        <f t="shared" si="93"/>
        <v>15</v>
      </c>
      <c r="S1171" t="str">
        <f t="shared" si="94"/>
        <v>Mentally Strained</v>
      </c>
    </row>
    <row r="1172" spans="1:19" x14ac:dyDescent="0.25">
      <c r="A1172">
        <v>16</v>
      </c>
      <c r="B1172" t="str">
        <f t="shared" si="90"/>
        <v>Old Teenager</v>
      </c>
      <c r="C1172" t="s">
        <v>16</v>
      </c>
      <c r="D1172">
        <v>7.1</v>
      </c>
      <c r="E1172" t="s">
        <v>20</v>
      </c>
      <c r="F1172">
        <v>7.7</v>
      </c>
      <c r="G1172">
        <v>1.9</v>
      </c>
      <c r="H1172">
        <f t="shared" si="91"/>
        <v>9</v>
      </c>
      <c r="I1172">
        <v>2.2400000000000002</v>
      </c>
      <c r="J1172" t="str">
        <f t="shared" si="92"/>
        <v>third class</v>
      </c>
      <c r="K1172">
        <v>0.6</v>
      </c>
      <c r="L1172" t="s">
        <v>21</v>
      </c>
      <c r="M1172">
        <v>8</v>
      </c>
      <c r="N1172">
        <v>10</v>
      </c>
      <c r="O1172">
        <v>5</v>
      </c>
      <c r="P1172">
        <v>0</v>
      </c>
      <c r="Q1172">
        <f t="shared" si="93"/>
        <v>23</v>
      </c>
      <c r="S1172" t="str">
        <f t="shared" si="94"/>
        <v>Mentally Unstable</v>
      </c>
    </row>
    <row r="1173" spans="1:19" x14ac:dyDescent="0.25">
      <c r="A1173">
        <v>14</v>
      </c>
      <c r="B1173" t="str">
        <f t="shared" si="90"/>
        <v>Young Teenager</v>
      </c>
      <c r="C1173" t="s">
        <v>19</v>
      </c>
      <c r="D1173">
        <v>5.7</v>
      </c>
      <c r="E1173" t="s">
        <v>20</v>
      </c>
      <c r="F1173">
        <v>6.4</v>
      </c>
      <c r="G1173">
        <v>1.9</v>
      </c>
      <c r="H1173">
        <f t="shared" si="91"/>
        <v>7.6</v>
      </c>
      <c r="I1173">
        <v>3.3</v>
      </c>
      <c r="J1173" t="str">
        <f t="shared" si="92"/>
        <v>Second class upper</v>
      </c>
      <c r="K1173">
        <v>1.3</v>
      </c>
      <c r="L1173" t="s">
        <v>21</v>
      </c>
      <c r="M1173">
        <v>6</v>
      </c>
      <c r="N1173">
        <v>8</v>
      </c>
      <c r="O1173">
        <v>5</v>
      </c>
      <c r="P1173">
        <v>0</v>
      </c>
      <c r="Q1173">
        <f t="shared" si="93"/>
        <v>19</v>
      </c>
      <c r="S1173" t="str">
        <f t="shared" si="94"/>
        <v>Mentally Strained</v>
      </c>
    </row>
    <row r="1174" spans="1:19" x14ac:dyDescent="0.25">
      <c r="A1174">
        <v>18</v>
      </c>
      <c r="B1174" t="str">
        <f t="shared" si="90"/>
        <v>Old Teenager</v>
      </c>
      <c r="C1174" t="s">
        <v>19</v>
      </c>
      <c r="D1174">
        <v>5.2</v>
      </c>
      <c r="E1174" t="s">
        <v>23</v>
      </c>
      <c r="F1174">
        <v>7.3</v>
      </c>
      <c r="G1174">
        <v>1.7</v>
      </c>
      <c r="H1174">
        <f t="shared" si="91"/>
        <v>6.9</v>
      </c>
      <c r="I1174">
        <v>3.33</v>
      </c>
      <c r="J1174" t="str">
        <f t="shared" si="92"/>
        <v>Second class upper</v>
      </c>
      <c r="K1174">
        <v>0.9</v>
      </c>
      <c r="L1174" t="s">
        <v>18</v>
      </c>
      <c r="M1174">
        <v>7</v>
      </c>
      <c r="N1174">
        <v>4</v>
      </c>
      <c r="O1174">
        <v>9</v>
      </c>
      <c r="P1174">
        <v>0</v>
      </c>
      <c r="Q1174">
        <f t="shared" si="93"/>
        <v>20</v>
      </c>
      <c r="S1174" t="str">
        <f t="shared" si="94"/>
        <v>Mentally Unstable</v>
      </c>
    </row>
    <row r="1175" spans="1:19" x14ac:dyDescent="0.25">
      <c r="A1175">
        <v>17</v>
      </c>
      <c r="B1175" t="str">
        <f t="shared" si="90"/>
        <v>Old Teenager</v>
      </c>
      <c r="C1175" t="s">
        <v>16</v>
      </c>
      <c r="D1175">
        <v>3.1</v>
      </c>
      <c r="E1175" t="s">
        <v>20</v>
      </c>
      <c r="F1175">
        <v>7.7</v>
      </c>
      <c r="G1175">
        <v>2.2000000000000002</v>
      </c>
      <c r="H1175">
        <f t="shared" si="91"/>
        <v>5.3000000000000007</v>
      </c>
      <c r="I1175">
        <v>3.72</v>
      </c>
      <c r="J1175" t="str">
        <f t="shared" si="92"/>
        <v>first class</v>
      </c>
      <c r="K1175">
        <v>1.4</v>
      </c>
      <c r="L1175" t="s">
        <v>22</v>
      </c>
      <c r="M1175">
        <v>1</v>
      </c>
      <c r="N1175">
        <v>5</v>
      </c>
      <c r="O1175">
        <v>8</v>
      </c>
      <c r="P1175">
        <v>0</v>
      </c>
      <c r="Q1175">
        <f t="shared" si="93"/>
        <v>14</v>
      </c>
      <c r="S1175" t="str">
        <f t="shared" si="94"/>
        <v>Mentally Strained</v>
      </c>
    </row>
    <row r="1176" spans="1:19" x14ac:dyDescent="0.25">
      <c r="A1176">
        <v>13</v>
      </c>
      <c r="B1176" t="str">
        <f t="shared" si="90"/>
        <v>Young Teenager</v>
      </c>
      <c r="C1176" t="s">
        <v>16</v>
      </c>
      <c r="D1176">
        <v>3</v>
      </c>
      <c r="E1176" t="s">
        <v>23</v>
      </c>
      <c r="F1176">
        <v>6.2</v>
      </c>
      <c r="G1176">
        <v>0.8</v>
      </c>
      <c r="H1176">
        <f t="shared" si="91"/>
        <v>3.8</v>
      </c>
      <c r="I1176">
        <v>3.96</v>
      </c>
      <c r="J1176" t="str">
        <f t="shared" si="92"/>
        <v>first class</v>
      </c>
      <c r="K1176">
        <v>1.1000000000000001</v>
      </c>
      <c r="L1176" t="s">
        <v>18</v>
      </c>
      <c r="M1176">
        <v>9</v>
      </c>
      <c r="N1176">
        <v>10</v>
      </c>
      <c r="O1176">
        <v>3</v>
      </c>
      <c r="P1176">
        <v>0</v>
      </c>
      <c r="Q1176">
        <f t="shared" si="93"/>
        <v>22</v>
      </c>
      <c r="S1176" t="str">
        <f t="shared" si="94"/>
        <v>Mentally Unstable</v>
      </c>
    </row>
    <row r="1177" spans="1:19" x14ac:dyDescent="0.25">
      <c r="A1177">
        <v>17</v>
      </c>
      <c r="B1177" t="str">
        <f t="shared" si="90"/>
        <v>Old Teenager</v>
      </c>
      <c r="C1177" t="s">
        <v>19</v>
      </c>
      <c r="D1177">
        <v>6</v>
      </c>
      <c r="E1177" t="s">
        <v>23</v>
      </c>
      <c r="F1177">
        <v>4.2</v>
      </c>
      <c r="G1177">
        <v>2.2000000000000002</v>
      </c>
      <c r="H1177">
        <f t="shared" si="91"/>
        <v>8.1999999999999993</v>
      </c>
      <c r="I1177">
        <v>2.27</v>
      </c>
      <c r="J1177" t="str">
        <f t="shared" si="92"/>
        <v>third class</v>
      </c>
      <c r="K1177">
        <v>0.5</v>
      </c>
      <c r="L1177" t="s">
        <v>22</v>
      </c>
      <c r="M1177">
        <v>1</v>
      </c>
      <c r="N1177">
        <v>4</v>
      </c>
      <c r="O1177">
        <v>5</v>
      </c>
      <c r="P1177">
        <v>0</v>
      </c>
      <c r="Q1177">
        <f t="shared" si="93"/>
        <v>10</v>
      </c>
      <c r="S1177" t="str">
        <f t="shared" si="94"/>
        <v>Mentally Strained</v>
      </c>
    </row>
    <row r="1178" spans="1:19" x14ac:dyDescent="0.25">
      <c r="A1178">
        <v>13</v>
      </c>
      <c r="B1178" t="str">
        <f t="shared" si="90"/>
        <v>Young Teenager</v>
      </c>
      <c r="C1178" t="s">
        <v>16</v>
      </c>
      <c r="D1178">
        <v>5.9</v>
      </c>
      <c r="E1178" t="s">
        <v>17</v>
      </c>
      <c r="F1178">
        <v>8.6</v>
      </c>
      <c r="G1178">
        <v>1.9</v>
      </c>
      <c r="H1178">
        <f t="shared" si="91"/>
        <v>7.8000000000000007</v>
      </c>
      <c r="I1178">
        <v>3.88</v>
      </c>
      <c r="J1178" t="str">
        <f t="shared" si="92"/>
        <v>first class</v>
      </c>
      <c r="K1178">
        <v>0.2</v>
      </c>
      <c r="L1178" t="s">
        <v>22</v>
      </c>
      <c r="M1178">
        <v>1</v>
      </c>
      <c r="N1178">
        <v>6</v>
      </c>
      <c r="O1178">
        <v>9</v>
      </c>
      <c r="P1178">
        <v>0</v>
      </c>
      <c r="Q1178">
        <f t="shared" si="93"/>
        <v>16</v>
      </c>
      <c r="S1178" t="str">
        <f t="shared" si="94"/>
        <v>Mentally Strained</v>
      </c>
    </row>
    <row r="1179" spans="1:19" x14ac:dyDescent="0.25">
      <c r="A1179">
        <v>15</v>
      </c>
      <c r="B1179" t="str">
        <f t="shared" si="90"/>
        <v>Young Teenager</v>
      </c>
      <c r="C1179" t="s">
        <v>16</v>
      </c>
      <c r="D1179">
        <v>5.0999999999999996</v>
      </c>
      <c r="E1179" t="s">
        <v>20</v>
      </c>
      <c r="F1179">
        <v>5.5</v>
      </c>
      <c r="G1179">
        <v>0.7</v>
      </c>
      <c r="H1179">
        <f t="shared" si="91"/>
        <v>5.8</v>
      </c>
      <c r="I1179">
        <v>2.13</v>
      </c>
      <c r="J1179" t="str">
        <f t="shared" si="92"/>
        <v>third class</v>
      </c>
      <c r="K1179">
        <v>0.5</v>
      </c>
      <c r="L1179" t="s">
        <v>22</v>
      </c>
      <c r="M1179">
        <v>6</v>
      </c>
      <c r="N1179">
        <v>10</v>
      </c>
      <c r="O1179">
        <v>8</v>
      </c>
      <c r="P1179">
        <v>0</v>
      </c>
      <c r="Q1179">
        <f t="shared" si="93"/>
        <v>24</v>
      </c>
      <c r="S1179" t="str">
        <f t="shared" si="94"/>
        <v>Mentally Unstable</v>
      </c>
    </row>
    <row r="1180" spans="1:19" x14ac:dyDescent="0.25">
      <c r="A1180">
        <v>19</v>
      </c>
      <c r="B1180" t="str">
        <f t="shared" si="90"/>
        <v>Old Teenager</v>
      </c>
      <c r="C1180" t="s">
        <v>19</v>
      </c>
      <c r="D1180">
        <v>3.5</v>
      </c>
      <c r="E1180" t="s">
        <v>17</v>
      </c>
      <c r="F1180">
        <v>4.9000000000000004</v>
      </c>
      <c r="G1180">
        <v>0.5</v>
      </c>
      <c r="H1180">
        <f t="shared" si="91"/>
        <v>4</v>
      </c>
      <c r="I1180">
        <v>3.68</v>
      </c>
      <c r="J1180" t="str">
        <f t="shared" si="92"/>
        <v>first class</v>
      </c>
      <c r="K1180">
        <v>1.7</v>
      </c>
      <c r="L1180" t="s">
        <v>21</v>
      </c>
      <c r="M1180">
        <v>8</v>
      </c>
      <c r="N1180">
        <v>4</v>
      </c>
      <c r="O1180">
        <v>3</v>
      </c>
      <c r="P1180">
        <v>0</v>
      </c>
      <c r="Q1180">
        <f t="shared" si="93"/>
        <v>15</v>
      </c>
      <c r="S1180" t="str">
        <f t="shared" si="94"/>
        <v>Mentally Strained</v>
      </c>
    </row>
    <row r="1181" spans="1:19" x14ac:dyDescent="0.25">
      <c r="A1181">
        <v>16</v>
      </c>
      <c r="B1181" t="str">
        <f t="shared" si="90"/>
        <v>Old Teenager</v>
      </c>
      <c r="C1181" t="s">
        <v>16</v>
      </c>
      <c r="D1181">
        <v>5.3</v>
      </c>
      <c r="E1181" t="s">
        <v>20</v>
      </c>
      <c r="F1181">
        <v>5.3</v>
      </c>
      <c r="G1181">
        <v>2.4</v>
      </c>
      <c r="H1181">
        <f t="shared" si="91"/>
        <v>7.6999999999999993</v>
      </c>
      <c r="I1181">
        <v>3.01</v>
      </c>
      <c r="J1181" t="str">
        <f t="shared" si="92"/>
        <v>Second class upper</v>
      </c>
      <c r="K1181">
        <v>1.6</v>
      </c>
      <c r="L1181" t="s">
        <v>22</v>
      </c>
      <c r="M1181">
        <v>2</v>
      </c>
      <c r="N1181">
        <v>9</v>
      </c>
      <c r="O1181">
        <v>1</v>
      </c>
      <c r="P1181">
        <v>0</v>
      </c>
      <c r="Q1181">
        <f t="shared" si="93"/>
        <v>12</v>
      </c>
      <c r="S1181" t="str">
        <f t="shared" si="94"/>
        <v>Mentally Strained</v>
      </c>
    </row>
    <row r="1182" spans="1:19" x14ac:dyDescent="0.25">
      <c r="A1182">
        <v>13</v>
      </c>
      <c r="B1182" t="str">
        <f t="shared" si="90"/>
        <v>Young Teenager</v>
      </c>
      <c r="C1182" t="s">
        <v>19</v>
      </c>
      <c r="D1182">
        <v>4.0999999999999996</v>
      </c>
      <c r="E1182" t="s">
        <v>17</v>
      </c>
      <c r="F1182">
        <v>7.5</v>
      </c>
      <c r="G1182">
        <v>1.7</v>
      </c>
      <c r="H1182">
        <f t="shared" si="91"/>
        <v>5.8</v>
      </c>
      <c r="I1182">
        <v>3.12</v>
      </c>
      <c r="J1182" t="str">
        <f t="shared" si="92"/>
        <v>Second class upper</v>
      </c>
      <c r="K1182">
        <v>2</v>
      </c>
      <c r="L1182" t="s">
        <v>22</v>
      </c>
      <c r="M1182">
        <v>1</v>
      </c>
      <c r="N1182">
        <v>4</v>
      </c>
      <c r="O1182">
        <v>9</v>
      </c>
      <c r="P1182">
        <v>0</v>
      </c>
      <c r="Q1182">
        <f t="shared" si="93"/>
        <v>14</v>
      </c>
      <c r="S1182" t="str">
        <f t="shared" si="94"/>
        <v>Mentally Strained</v>
      </c>
    </row>
    <row r="1183" spans="1:19" x14ac:dyDescent="0.25">
      <c r="A1183">
        <v>18</v>
      </c>
      <c r="B1183" t="str">
        <f t="shared" si="90"/>
        <v>Old Teenager</v>
      </c>
      <c r="C1183" t="s">
        <v>16</v>
      </c>
      <c r="D1183">
        <v>4.0999999999999996</v>
      </c>
      <c r="E1183" t="s">
        <v>17</v>
      </c>
      <c r="F1183">
        <v>6.7</v>
      </c>
      <c r="G1183">
        <v>2.1</v>
      </c>
      <c r="H1183">
        <f t="shared" si="91"/>
        <v>6.1999999999999993</v>
      </c>
      <c r="I1183">
        <v>2.5</v>
      </c>
      <c r="J1183" t="str">
        <f t="shared" si="92"/>
        <v>Second class lower</v>
      </c>
      <c r="K1183">
        <v>0.1</v>
      </c>
      <c r="L1183" t="s">
        <v>22</v>
      </c>
      <c r="M1183">
        <v>8</v>
      </c>
      <c r="N1183">
        <v>1</v>
      </c>
      <c r="O1183">
        <v>5</v>
      </c>
      <c r="P1183">
        <v>0</v>
      </c>
      <c r="Q1183">
        <f t="shared" si="93"/>
        <v>14</v>
      </c>
      <c r="S1183" t="str">
        <f t="shared" si="94"/>
        <v>Mentally Strained</v>
      </c>
    </row>
    <row r="1184" spans="1:19" x14ac:dyDescent="0.25">
      <c r="A1184">
        <v>15</v>
      </c>
      <c r="B1184" t="str">
        <f t="shared" si="90"/>
        <v>Young Teenager</v>
      </c>
      <c r="C1184" t="s">
        <v>16</v>
      </c>
      <c r="D1184">
        <v>6.3</v>
      </c>
      <c r="E1184" t="s">
        <v>20</v>
      </c>
      <c r="F1184">
        <v>6.8</v>
      </c>
      <c r="G1184">
        <v>1.8</v>
      </c>
      <c r="H1184">
        <f t="shared" si="91"/>
        <v>8.1</v>
      </c>
      <c r="I1184">
        <v>2.59</v>
      </c>
      <c r="J1184" t="str">
        <f t="shared" si="92"/>
        <v>Second class lower</v>
      </c>
      <c r="K1184">
        <v>1.9</v>
      </c>
      <c r="L1184" t="s">
        <v>21</v>
      </c>
      <c r="M1184">
        <v>10</v>
      </c>
      <c r="N1184">
        <v>5</v>
      </c>
      <c r="O1184">
        <v>5</v>
      </c>
      <c r="P1184">
        <v>0</v>
      </c>
      <c r="Q1184">
        <f t="shared" si="93"/>
        <v>20</v>
      </c>
      <c r="S1184" t="str">
        <f t="shared" si="94"/>
        <v>Mentally Unstable</v>
      </c>
    </row>
    <row r="1185" spans="1:19" x14ac:dyDescent="0.25">
      <c r="A1185">
        <v>19</v>
      </c>
      <c r="B1185" t="str">
        <f t="shared" si="90"/>
        <v>Old Teenager</v>
      </c>
      <c r="C1185" t="s">
        <v>19</v>
      </c>
      <c r="D1185">
        <v>6.6</v>
      </c>
      <c r="E1185" t="s">
        <v>23</v>
      </c>
      <c r="F1185">
        <v>9</v>
      </c>
      <c r="G1185">
        <v>2.9</v>
      </c>
      <c r="H1185">
        <f t="shared" si="91"/>
        <v>9.5</v>
      </c>
      <c r="I1185">
        <v>2.4700000000000002</v>
      </c>
      <c r="J1185" t="str">
        <f t="shared" si="92"/>
        <v>third class</v>
      </c>
      <c r="K1185">
        <v>1.7</v>
      </c>
      <c r="L1185" t="s">
        <v>22</v>
      </c>
      <c r="M1185">
        <v>3</v>
      </c>
      <c r="N1185">
        <v>7</v>
      </c>
      <c r="O1185">
        <v>9</v>
      </c>
      <c r="P1185">
        <v>0</v>
      </c>
      <c r="Q1185">
        <f t="shared" si="93"/>
        <v>19</v>
      </c>
      <c r="S1185" t="str">
        <f t="shared" si="94"/>
        <v>Mentally Strained</v>
      </c>
    </row>
    <row r="1186" spans="1:19" x14ac:dyDescent="0.25">
      <c r="A1186">
        <v>19</v>
      </c>
      <c r="B1186" t="str">
        <f t="shared" si="90"/>
        <v>Old Teenager</v>
      </c>
      <c r="C1186" t="s">
        <v>16</v>
      </c>
      <c r="D1186">
        <v>1.4</v>
      </c>
      <c r="E1186" t="s">
        <v>23</v>
      </c>
      <c r="F1186">
        <v>4.5</v>
      </c>
      <c r="G1186">
        <v>2.2999999999999998</v>
      </c>
      <c r="H1186">
        <f t="shared" si="91"/>
        <v>3.6999999999999997</v>
      </c>
      <c r="I1186">
        <v>3.9</v>
      </c>
      <c r="J1186" t="str">
        <f t="shared" si="92"/>
        <v>first class</v>
      </c>
      <c r="K1186">
        <v>0</v>
      </c>
      <c r="L1186" t="s">
        <v>22</v>
      </c>
      <c r="M1186">
        <v>2</v>
      </c>
      <c r="N1186">
        <v>8</v>
      </c>
      <c r="O1186">
        <v>10</v>
      </c>
      <c r="P1186">
        <v>0</v>
      </c>
      <c r="Q1186">
        <f t="shared" si="93"/>
        <v>20</v>
      </c>
      <c r="S1186" t="str">
        <f t="shared" si="94"/>
        <v>Mentally Unstable</v>
      </c>
    </row>
    <row r="1187" spans="1:19" x14ac:dyDescent="0.25">
      <c r="A1187">
        <v>19</v>
      </c>
      <c r="B1187" t="str">
        <f t="shared" si="90"/>
        <v>Old Teenager</v>
      </c>
      <c r="C1187" t="s">
        <v>16</v>
      </c>
      <c r="D1187">
        <v>2.4</v>
      </c>
      <c r="E1187" t="s">
        <v>20</v>
      </c>
      <c r="F1187">
        <v>9</v>
      </c>
      <c r="G1187">
        <v>2.4</v>
      </c>
      <c r="H1187">
        <f t="shared" si="91"/>
        <v>4.8</v>
      </c>
      <c r="I1187">
        <v>3.13</v>
      </c>
      <c r="J1187" t="str">
        <f t="shared" si="92"/>
        <v>Second class upper</v>
      </c>
      <c r="K1187">
        <v>0.5</v>
      </c>
      <c r="L1187" t="s">
        <v>21</v>
      </c>
      <c r="M1187">
        <v>5</v>
      </c>
      <c r="N1187">
        <v>3</v>
      </c>
      <c r="O1187">
        <v>3</v>
      </c>
      <c r="P1187">
        <v>0</v>
      </c>
      <c r="Q1187">
        <f t="shared" si="93"/>
        <v>11</v>
      </c>
      <c r="S1187" t="str">
        <f t="shared" si="94"/>
        <v>Mentally Strained</v>
      </c>
    </row>
    <row r="1188" spans="1:19" x14ac:dyDescent="0.25">
      <c r="A1188">
        <v>18</v>
      </c>
      <c r="B1188" t="str">
        <f t="shared" si="90"/>
        <v>Old Teenager</v>
      </c>
      <c r="C1188" t="s">
        <v>16</v>
      </c>
      <c r="D1188">
        <v>1.6</v>
      </c>
      <c r="E1188" t="s">
        <v>23</v>
      </c>
      <c r="F1188">
        <v>5.4</v>
      </c>
      <c r="G1188">
        <v>2</v>
      </c>
      <c r="H1188">
        <f t="shared" si="91"/>
        <v>3.6</v>
      </c>
      <c r="I1188">
        <v>3.2</v>
      </c>
      <c r="J1188" t="str">
        <f t="shared" si="92"/>
        <v>Second class upper</v>
      </c>
      <c r="K1188">
        <v>1.8</v>
      </c>
      <c r="L1188" t="s">
        <v>18</v>
      </c>
      <c r="M1188">
        <v>8</v>
      </c>
      <c r="N1188">
        <v>8</v>
      </c>
      <c r="O1188">
        <v>3</v>
      </c>
      <c r="P1188">
        <v>0</v>
      </c>
      <c r="Q1188">
        <f t="shared" si="93"/>
        <v>19</v>
      </c>
      <c r="S1188" t="str">
        <f t="shared" si="94"/>
        <v>Mentally Strained</v>
      </c>
    </row>
    <row r="1189" spans="1:19" x14ac:dyDescent="0.25">
      <c r="A1189">
        <v>18</v>
      </c>
      <c r="B1189" t="str">
        <f t="shared" si="90"/>
        <v>Old Teenager</v>
      </c>
      <c r="C1189" t="s">
        <v>16</v>
      </c>
      <c r="D1189">
        <v>2</v>
      </c>
      <c r="E1189" t="s">
        <v>17</v>
      </c>
      <c r="F1189">
        <v>8.9</v>
      </c>
      <c r="G1189">
        <v>0.8</v>
      </c>
      <c r="H1189">
        <f t="shared" si="91"/>
        <v>2.8</v>
      </c>
      <c r="I1189">
        <v>2.96</v>
      </c>
      <c r="J1189" t="str">
        <f t="shared" si="92"/>
        <v>Second class lower</v>
      </c>
      <c r="K1189">
        <v>0.5</v>
      </c>
      <c r="L1189" t="s">
        <v>22</v>
      </c>
      <c r="M1189">
        <v>6</v>
      </c>
      <c r="N1189">
        <v>2</v>
      </c>
      <c r="O1189">
        <v>2</v>
      </c>
      <c r="P1189">
        <v>0</v>
      </c>
      <c r="Q1189">
        <f t="shared" si="93"/>
        <v>10</v>
      </c>
      <c r="S1189" t="str">
        <f t="shared" si="94"/>
        <v>Mentally Strained</v>
      </c>
    </row>
    <row r="1190" spans="1:19" x14ac:dyDescent="0.25">
      <c r="A1190">
        <v>17</v>
      </c>
      <c r="B1190" t="str">
        <f t="shared" si="90"/>
        <v>Old Teenager</v>
      </c>
      <c r="C1190" t="s">
        <v>19</v>
      </c>
      <c r="D1190">
        <v>7.4</v>
      </c>
      <c r="E1190" t="s">
        <v>17</v>
      </c>
      <c r="F1190">
        <v>7.4</v>
      </c>
      <c r="G1190">
        <v>2</v>
      </c>
      <c r="H1190">
        <f t="shared" si="91"/>
        <v>9.4</v>
      </c>
      <c r="I1190">
        <v>3.76</v>
      </c>
      <c r="J1190" t="str">
        <f t="shared" si="92"/>
        <v>first class</v>
      </c>
      <c r="K1190">
        <v>1.7</v>
      </c>
      <c r="L1190" t="s">
        <v>21</v>
      </c>
      <c r="M1190">
        <v>10</v>
      </c>
      <c r="N1190">
        <v>1</v>
      </c>
      <c r="O1190">
        <v>4</v>
      </c>
      <c r="P1190">
        <v>0</v>
      </c>
      <c r="Q1190">
        <f t="shared" si="93"/>
        <v>15</v>
      </c>
      <c r="S1190" t="str">
        <f t="shared" si="94"/>
        <v>Mentally Strained</v>
      </c>
    </row>
    <row r="1191" spans="1:19" x14ac:dyDescent="0.25">
      <c r="A1191">
        <v>14</v>
      </c>
      <c r="B1191" t="str">
        <f t="shared" si="90"/>
        <v>Young Teenager</v>
      </c>
      <c r="C1191" t="s">
        <v>19</v>
      </c>
      <c r="D1191">
        <v>1.6</v>
      </c>
      <c r="E1191" t="s">
        <v>20</v>
      </c>
      <c r="F1191">
        <v>4.8</v>
      </c>
      <c r="G1191">
        <v>2.4</v>
      </c>
      <c r="H1191">
        <f t="shared" si="91"/>
        <v>4</v>
      </c>
      <c r="I1191">
        <v>2.97</v>
      </c>
      <c r="J1191" t="str">
        <f t="shared" si="92"/>
        <v>Second class lower</v>
      </c>
      <c r="K1191">
        <v>1.9</v>
      </c>
      <c r="L1191" t="s">
        <v>18</v>
      </c>
      <c r="M1191">
        <v>9</v>
      </c>
      <c r="N1191">
        <v>9</v>
      </c>
      <c r="O1191">
        <v>10</v>
      </c>
      <c r="P1191">
        <v>0</v>
      </c>
      <c r="Q1191">
        <f t="shared" si="93"/>
        <v>28</v>
      </c>
      <c r="S1191" t="str">
        <f t="shared" si="94"/>
        <v>Mentally Unstable</v>
      </c>
    </row>
    <row r="1192" spans="1:19" x14ac:dyDescent="0.25">
      <c r="A1192">
        <v>17</v>
      </c>
      <c r="B1192" t="str">
        <f t="shared" si="90"/>
        <v>Old Teenager</v>
      </c>
      <c r="C1192" t="s">
        <v>19</v>
      </c>
      <c r="D1192">
        <v>3.8</v>
      </c>
      <c r="E1192" t="s">
        <v>17</v>
      </c>
      <c r="F1192">
        <v>8.4</v>
      </c>
      <c r="G1192">
        <v>0.9</v>
      </c>
      <c r="H1192">
        <f t="shared" si="91"/>
        <v>4.7</v>
      </c>
      <c r="I1192">
        <v>3.6</v>
      </c>
      <c r="J1192" t="str">
        <f t="shared" si="92"/>
        <v>first class</v>
      </c>
      <c r="K1192">
        <v>1.9</v>
      </c>
      <c r="L1192" t="s">
        <v>21</v>
      </c>
      <c r="M1192">
        <v>1</v>
      </c>
      <c r="N1192">
        <v>2</v>
      </c>
      <c r="O1192">
        <v>2</v>
      </c>
      <c r="P1192">
        <v>0</v>
      </c>
      <c r="Q1192">
        <f t="shared" si="93"/>
        <v>5</v>
      </c>
      <c r="S1192" t="str">
        <f t="shared" si="94"/>
        <v>Mentally Sound</v>
      </c>
    </row>
    <row r="1193" spans="1:19" x14ac:dyDescent="0.25">
      <c r="A1193">
        <v>19</v>
      </c>
      <c r="B1193" t="str">
        <f t="shared" si="90"/>
        <v>Old Teenager</v>
      </c>
      <c r="C1193" t="s">
        <v>16</v>
      </c>
      <c r="D1193">
        <v>8</v>
      </c>
      <c r="E1193" t="s">
        <v>20</v>
      </c>
      <c r="F1193">
        <v>4.7</v>
      </c>
      <c r="G1193">
        <v>0.5</v>
      </c>
      <c r="H1193">
        <f t="shared" si="91"/>
        <v>8.5</v>
      </c>
      <c r="I1193">
        <v>2.1800000000000002</v>
      </c>
      <c r="J1193" t="str">
        <f t="shared" si="92"/>
        <v>third class</v>
      </c>
      <c r="K1193">
        <v>0.6</v>
      </c>
      <c r="L1193" t="s">
        <v>22</v>
      </c>
      <c r="M1193">
        <v>8</v>
      </c>
      <c r="N1193">
        <v>8</v>
      </c>
      <c r="O1193">
        <v>6</v>
      </c>
      <c r="P1193">
        <v>1</v>
      </c>
      <c r="Q1193">
        <f t="shared" si="93"/>
        <v>23</v>
      </c>
      <c r="S1193" t="str">
        <f t="shared" si="94"/>
        <v>Mentally Unstable</v>
      </c>
    </row>
    <row r="1194" spans="1:19" x14ac:dyDescent="0.25">
      <c r="A1194">
        <v>13</v>
      </c>
      <c r="B1194" t="str">
        <f t="shared" si="90"/>
        <v>Young Teenager</v>
      </c>
      <c r="C1194" t="s">
        <v>16</v>
      </c>
      <c r="D1194">
        <v>7.8</v>
      </c>
      <c r="E1194" t="s">
        <v>20</v>
      </c>
      <c r="F1194">
        <v>5.9</v>
      </c>
      <c r="G1194">
        <v>1.5</v>
      </c>
      <c r="H1194">
        <f t="shared" si="91"/>
        <v>9.3000000000000007</v>
      </c>
      <c r="I1194">
        <v>3.31</v>
      </c>
      <c r="J1194" t="str">
        <f t="shared" si="92"/>
        <v>Second class upper</v>
      </c>
      <c r="K1194">
        <v>1.9</v>
      </c>
      <c r="L1194" t="s">
        <v>21</v>
      </c>
      <c r="M1194">
        <v>10</v>
      </c>
      <c r="N1194">
        <v>1</v>
      </c>
      <c r="O1194">
        <v>10</v>
      </c>
      <c r="P1194">
        <v>0</v>
      </c>
      <c r="Q1194">
        <f t="shared" si="93"/>
        <v>21</v>
      </c>
      <c r="S1194" t="str">
        <f t="shared" si="94"/>
        <v>Mentally Unstable</v>
      </c>
    </row>
    <row r="1195" spans="1:19" x14ac:dyDescent="0.25">
      <c r="A1195">
        <v>13</v>
      </c>
      <c r="B1195" t="str">
        <f t="shared" si="90"/>
        <v>Young Teenager</v>
      </c>
      <c r="C1195" t="s">
        <v>19</v>
      </c>
      <c r="D1195">
        <v>7.2</v>
      </c>
      <c r="E1195" t="s">
        <v>17</v>
      </c>
      <c r="F1195">
        <v>8.1</v>
      </c>
      <c r="G1195">
        <v>2.1</v>
      </c>
      <c r="H1195">
        <f t="shared" si="91"/>
        <v>9.3000000000000007</v>
      </c>
      <c r="I1195">
        <v>2.52</v>
      </c>
      <c r="J1195" t="str">
        <f t="shared" si="92"/>
        <v>Second class lower</v>
      </c>
      <c r="K1195">
        <v>0.4</v>
      </c>
      <c r="L1195" t="s">
        <v>22</v>
      </c>
      <c r="M1195">
        <v>3</v>
      </c>
      <c r="N1195">
        <v>3</v>
      </c>
      <c r="O1195">
        <v>7</v>
      </c>
      <c r="P1195">
        <v>0</v>
      </c>
      <c r="Q1195">
        <f t="shared" si="93"/>
        <v>13</v>
      </c>
      <c r="S1195" t="str">
        <f t="shared" si="94"/>
        <v>Mentally Strained</v>
      </c>
    </row>
    <row r="1196" spans="1:19" x14ac:dyDescent="0.25">
      <c r="A1196">
        <v>17</v>
      </c>
      <c r="B1196" t="str">
        <f t="shared" si="90"/>
        <v>Old Teenager</v>
      </c>
      <c r="C1196" t="s">
        <v>16</v>
      </c>
      <c r="D1196">
        <v>2</v>
      </c>
      <c r="E1196" t="s">
        <v>23</v>
      </c>
      <c r="F1196">
        <v>4.5</v>
      </c>
      <c r="G1196">
        <v>1.7</v>
      </c>
      <c r="H1196">
        <f t="shared" si="91"/>
        <v>3.7</v>
      </c>
      <c r="I1196">
        <v>2.65</v>
      </c>
      <c r="J1196" t="str">
        <f t="shared" si="92"/>
        <v>Second class lower</v>
      </c>
      <c r="K1196">
        <v>0</v>
      </c>
      <c r="L1196" t="s">
        <v>22</v>
      </c>
      <c r="M1196">
        <v>9</v>
      </c>
      <c r="N1196">
        <v>4</v>
      </c>
      <c r="O1196">
        <v>2</v>
      </c>
      <c r="P1196">
        <v>0</v>
      </c>
      <c r="Q1196">
        <f t="shared" si="93"/>
        <v>15</v>
      </c>
      <c r="S1196" t="str">
        <f t="shared" si="94"/>
        <v>Mentally Strained</v>
      </c>
    </row>
    <row r="1197" spans="1:19" x14ac:dyDescent="0.25">
      <c r="A1197">
        <v>18</v>
      </c>
      <c r="B1197" t="str">
        <f t="shared" si="90"/>
        <v>Old Teenager</v>
      </c>
      <c r="C1197" t="s">
        <v>19</v>
      </c>
      <c r="D1197">
        <v>6.8</v>
      </c>
      <c r="E1197" t="s">
        <v>17</v>
      </c>
      <c r="F1197">
        <v>6.6</v>
      </c>
      <c r="G1197">
        <v>2</v>
      </c>
      <c r="H1197">
        <f t="shared" si="91"/>
        <v>8.8000000000000007</v>
      </c>
      <c r="I1197">
        <v>2.76</v>
      </c>
      <c r="J1197" t="str">
        <f t="shared" si="92"/>
        <v>Second class lower</v>
      </c>
      <c r="K1197">
        <v>1</v>
      </c>
      <c r="L1197" t="s">
        <v>18</v>
      </c>
      <c r="M1197">
        <v>3</v>
      </c>
      <c r="N1197">
        <v>4</v>
      </c>
      <c r="O1197">
        <v>4</v>
      </c>
      <c r="P1197">
        <v>0</v>
      </c>
      <c r="Q1197">
        <f t="shared" si="93"/>
        <v>11</v>
      </c>
      <c r="S1197" t="str">
        <f t="shared" si="94"/>
        <v>Mentally Strained</v>
      </c>
    </row>
    <row r="1198" spans="1:19" x14ac:dyDescent="0.25">
      <c r="A1198">
        <v>16</v>
      </c>
      <c r="B1198" t="str">
        <f t="shared" si="90"/>
        <v>Old Teenager</v>
      </c>
      <c r="C1198" t="s">
        <v>16</v>
      </c>
      <c r="D1198">
        <v>2.2999999999999998</v>
      </c>
      <c r="E1198" t="s">
        <v>23</v>
      </c>
      <c r="F1198">
        <v>8</v>
      </c>
      <c r="G1198">
        <v>1.9</v>
      </c>
      <c r="H1198">
        <f t="shared" si="91"/>
        <v>4.1999999999999993</v>
      </c>
      <c r="I1198">
        <v>2.12</v>
      </c>
      <c r="J1198" t="str">
        <f t="shared" si="92"/>
        <v>third class</v>
      </c>
      <c r="K1198">
        <v>0.4</v>
      </c>
      <c r="L1198" t="s">
        <v>21</v>
      </c>
      <c r="M1198">
        <v>7</v>
      </c>
      <c r="N1198">
        <v>4</v>
      </c>
      <c r="O1198">
        <v>4</v>
      </c>
      <c r="P1198">
        <v>0</v>
      </c>
      <c r="Q1198">
        <f t="shared" si="93"/>
        <v>15</v>
      </c>
      <c r="S1198" t="str">
        <f t="shared" si="94"/>
        <v>Mentally Strained</v>
      </c>
    </row>
    <row r="1199" spans="1:19" x14ac:dyDescent="0.25">
      <c r="A1199">
        <v>14</v>
      </c>
      <c r="B1199" t="str">
        <f t="shared" si="90"/>
        <v>Young Teenager</v>
      </c>
      <c r="C1199" t="s">
        <v>19</v>
      </c>
      <c r="D1199">
        <v>1.7</v>
      </c>
      <c r="E1199" t="s">
        <v>23</v>
      </c>
      <c r="F1199">
        <v>8.6999999999999993</v>
      </c>
      <c r="G1199">
        <v>0.7</v>
      </c>
      <c r="H1199">
        <f t="shared" si="91"/>
        <v>2.4</v>
      </c>
      <c r="I1199">
        <v>3.98</v>
      </c>
      <c r="J1199" t="str">
        <f t="shared" si="92"/>
        <v>first class</v>
      </c>
      <c r="K1199">
        <v>0.8</v>
      </c>
      <c r="L1199" t="s">
        <v>21</v>
      </c>
      <c r="M1199">
        <v>1</v>
      </c>
      <c r="N1199">
        <v>1</v>
      </c>
      <c r="O1199">
        <v>1</v>
      </c>
      <c r="P1199">
        <v>0</v>
      </c>
      <c r="Q1199">
        <f t="shared" si="93"/>
        <v>3</v>
      </c>
      <c r="S1199" t="str">
        <f t="shared" si="94"/>
        <v>Mentally Sound</v>
      </c>
    </row>
    <row r="1200" spans="1:19" x14ac:dyDescent="0.25">
      <c r="A1200">
        <v>15</v>
      </c>
      <c r="B1200" t="str">
        <f t="shared" si="90"/>
        <v>Young Teenager</v>
      </c>
      <c r="C1200" t="s">
        <v>16</v>
      </c>
      <c r="D1200">
        <v>3.9</v>
      </c>
      <c r="E1200" t="s">
        <v>23</v>
      </c>
      <c r="F1200">
        <v>8.5</v>
      </c>
      <c r="G1200">
        <v>2.1</v>
      </c>
      <c r="H1200">
        <f t="shared" si="91"/>
        <v>6</v>
      </c>
      <c r="I1200">
        <v>3.19</v>
      </c>
      <c r="J1200" t="str">
        <f t="shared" si="92"/>
        <v>Second class upper</v>
      </c>
      <c r="K1200">
        <v>0.6</v>
      </c>
      <c r="L1200" t="s">
        <v>21</v>
      </c>
      <c r="M1200">
        <v>7</v>
      </c>
      <c r="N1200">
        <v>9</v>
      </c>
      <c r="O1200">
        <v>9</v>
      </c>
      <c r="P1200">
        <v>0</v>
      </c>
      <c r="Q1200">
        <f t="shared" si="93"/>
        <v>25</v>
      </c>
      <c r="S1200" t="str">
        <f t="shared" si="94"/>
        <v>Mentally Unstable</v>
      </c>
    </row>
    <row r="1201" spans="1:19" x14ac:dyDescent="0.25">
      <c r="A1201">
        <v>16</v>
      </c>
      <c r="B1201" t="str">
        <f t="shared" si="90"/>
        <v>Old Teenager</v>
      </c>
      <c r="C1201" t="s">
        <v>19</v>
      </c>
      <c r="D1201">
        <v>4.7</v>
      </c>
      <c r="E1201" t="s">
        <v>20</v>
      </c>
      <c r="F1201">
        <v>6.5</v>
      </c>
      <c r="G1201">
        <v>1</v>
      </c>
      <c r="H1201">
        <f t="shared" si="91"/>
        <v>5.7</v>
      </c>
      <c r="I1201">
        <v>2.91</v>
      </c>
      <c r="J1201" t="str">
        <f t="shared" si="92"/>
        <v>Second class lower</v>
      </c>
      <c r="K1201">
        <v>0.9</v>
      </c>
      <c r="L1201" t="s">
        <v>22</v>
      </c>
      <c r="M1201">
        <v>5</v>
      </c>
      <c r="N1201">
        <v>7</v>
      </c>
      <c r="O1201">
        <v>3</v>
      </c>
      <c r="P1201">
        <v>0</v>
      </c>
      <c r="Q1201">
        <f t="shared" si="93"/>
        <v>15</v>
      </c>
      <c r="S1201" t="str">
        <f t="shared" si="94"/>
        <v>Mentally Strained</v>
      </c>
    </row>
  </sheetData>
  <autoFilter ref="A1:S1201" xr:uid="{635C7897-5BF6-41E1-8BFF-770AD4D51E29}"/>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1BA4C-38A6-4FE9-A4F8-343B30B1BCD5}">
  <dimension ref="A3:V100"/>
  <sheetViews>
    <sheetView topLeftCell="A89" workbookViewId="0">
      <selection activeCell="B96" sqref="B96"/>
    </sheetView>
  </sheetViews>
  <sheetFormatPr defaultColWidth="4.42578125" defaultRowHeight="15" x14ac:dyDescent="0.25"/>
  <cols>
    <col min="1" max="1" width="16.85546875" bestFit="1" customWidth="1"/>
    <col min="2" max="2" width="31.28515625" bestFit="1" customWidth="1"/>
    <col min="3" max="3" width="5.42578125" bestFit="1" customWidth="1"/>
    <col min="4" max="4" width="10" bestFit="1" customWidth="1"/>
    <col min="5" max="5" width="23.7109375" bestFit="1" customWidth="1"/>
    <col min="6" max="6" width="5.42578125" bestFit="1" customWidth="1"/>
    <col min="7" max="7" width="14.85546875" bestFit="1" customWidth="1"/>
    <col min="8" max="8" width="8.5703125" bestFit="1" customWidth="1"/>
    <col min="9" max="9" width="5.42578125" bestFit="1" customWidth="1"/>
    <col min="10" max="10" width="11.5703125" bestFit="1" customWidth="1"/>
    <col min="11" max="11" width="18" bestFit="1" customWidth="1"/>
    <col min="12" max="12" width="17.28515625" bestFit="1" customWidth="1"/>
    <col min="13" max="13" width="5.42578125" bestFit="1" customWidth="1"/>
    <col min="14" max="14" width="10" bestFit="1" customWidth="1"/>
    <col min="15" max="15" width="11.7109375" bestFit="1" customWidth="1"/>
    <col min="16" max="16" width="5.42578125" bestFit="1" customWidth="1"/>
    <col min="17" max="17" width="14.85546875" bestFit="1" customWidth="1"/>
    <col min="18" max="18" width="8.5703125" bestFit="1" customWidth="1"/>
    <col min="19" max="19" width="5.42578125" bestFit="1" customWidth="1"/>
    <col min="20" max="20" width="11.5703125" bestFit="1" customWidth="1"/>
    <col min="21" max="21" width="20.42578125" bestFit="1" customWidth="1"/>
    <col min="22" max="22" width="11.28515625" bestFit="1" customWidth="1"/>
    <col min="23" max="29" width="3" bestFit="1" customWidth="1"/>
    <col min="30" max="30" width="11.28515625" bestFit="1" customWidth="1"/>
    <col min="16349" max="16349" width="4.42578125" customWidth="1"/>
  </cols>
  <sheetData>
    <row r="3" spans="1:7" x14ac:dyDescent="0.25">
      <c r="A3" t="s">
        <v>30</v>
      </c>
      <c r="C3" t="s">
        <v>31</v>
      </c>
      <c r="E3" t="s">
        <v>33</v>
      </c>
      <c r="G3" t="s">
        <v>51</v>
      </c>
    </row>
    <row r="4" spans="1:7" x14ac:dyDescent="0.25">
      <c r="A4" s="5">
        <v>831</v>
      </c>
      <c r="C4" s="3">
        <v>15.868832731648617</v>
      </c>
      <c r="E4" s="3">
        <v>5239.6999999999962</v>
      </c>
      <c r="G4" s="3">
        <v>5346.7999999999965</v>
      </c>
    </row>
    <row r="9" spans="1:7" x14ac:dyDescent="0.25">
      <c r="A9" s="1" t="s">
        <v>26</v>
      </c>
      <c r="B9" t="s">
        <v>29</v>
      </c>
    </row>
    <row r="10" spans="1:7" x14ac:dyDescent="0.25">
      <c r="A10" s="2" t="s">
        <v>20</v>
      </c>
      <c r="B10" s="5">
        <v>268</v>
      </c>
    </row>
    <row r="11" spans="1:7" x14ac:dyDescent="0.25">
      <c r="A11" s="2" t="s">
        <v>17</v>
      </c>
      <c r="B11" s="5">
        <v>275</v>
      </c>
    </row>
    <row r="12" spans="1:7" x14ac:dyDescent="0.25">
      <c r="A12" s="2" t="s">
        <v>23</v>
      </c>
      <c r="B12" s="5">
        <v>288</v>
      </c>
    </row>
    <row r="13" spans="1:7" x14ac:dyDescent="0.25">
      <c r="A13" s="2" t="s">
        <v>27</v>
      </c>
      <c r="B13" s="5">
        <v>831</v>
      </c>
    </row>
    <row r="18" spans="1:2" x14ac:dyDescent="0.25">
      <c r="A18" s="1" t="s">
        <v>26</v>
      </c>
      <c r="B18" t="s">
        <v>28</v>
      </c>
    </row>
    <row r="19" spans="1:2" x14ac:dyDescent="0.25">
      <c r="A19" s="2" t="s">
        <v>56</v>
      </c>
      <c r="B19" s="5">
        <v>294.90000000000009</v>
      </c>
    </row>
    <row r="20" spans="1:2" x14ac:dyDescent="0.25">
      <c r="A20" s="2" t="s">
        <v>55</v>
      </c>
      <c r="B20" s="5">
        <v>2411.2000000000007</v>
      </c>
    </row>
    <row r="21" spans="1:2" x14ac:dyDescent="0.25">
      <c r="A21" s="2" t="s">
        <v>24</v>
      </c>
      <c r="B21" s="5">
        <v>1093.2000000000003</v>
      </c>
    </row>
    <row r="22" spans="1:2" x14ac:dyDescent="0.25">
      <c r="A22" s="2" t="s">
        <v>27</v>
      </c>
      <c r="B22" s="5">
        <v>3799.3000000000011</v>
      </c>
    </row>
    <row r="32" spans="1:2" x14ac:dyDescent="0.25">
      <c r="A32" s="1" t="s">
        <v>41</v>
      </c>
      <c r="B32" s="1" t="s">
        <v>35</v>
      </c>
    </row>
    <row r="33" spans="1:4" x14ac:dyDescent="0.25">
      <c r="A33" s="1" t="s">
        <v>26</v>
      </c>
      <c r="B33" t="s">
        <v>53</v>
      </c>
      <c r="C33" t="s">
        <v>42</v>
      </c>
      <c r="D33" t="s">
        <v>27</v>
      </c>
    </row>
    <row r="34" spans="1:4" x14ac:dyDescent="0.25">
      <c r="A34" s="2" t="s">
        <v>36</v>
      </c>
      <c r="B34" s="5">
        <v>1415</v>
      </c>
      <c r="C34" s="5">
        <v>1332</v>
      </c>
      <c r="D34" s="5">
        <v>2747</v>
      </c>
    </row>
    <row r="35" spans="1:4" x14ac:dyDescent="0.25">
      <c r="A35" s="2" t="s">
        <v>37</v>
      </c>
      <c r="B35" s="5">
        <v>2003</v>
      </c>
      <c r="C35" s="5">
        <v>1467</v>
      </c>
      <c r="D35" s="5">
        <v>3470</v>
      </c>
    </row>
    <row r="36" spans="1:4" x14ac:dyDescent="0.25">
      <c r="A36" s="2" t="s">
        <v>38</v>
      </c>
      <c r="B36" s="5">
        <v>2267</v>
      </c>
      <c r="C36" s="5">
        <v>1909</v>
      </c>
      <c r="D36" s="5">
        <v>4176</v>
      </c>
    </row>
    <row r="37" spans="1:4" x14ac:dyDescent="0.25">
      <c r="A37" s="2" t="s">
        <v>39</v>
      </c>
      <c r="B37" s="5">
        <v>1891</v>
      </c>
      <c r="C37" s="5">
        <v>1513</v>
      </c>
      <c r="D37" s="5">
        <v>3404</v>
      </c>
    </row>
    <row r="38" spans="1:4" x14ac:dyDescent="0.25">
      <c r="A38" s="2" t="s">
        <v>27</v>
      </c>
      <c r="B38" s="5">
        <v>7576</v>
      </c>
      <c r="C38" s="5">
        <v>6221</v>
      </c>
      <c r="D38" s="5">
        <v>13797</v>
      </c>
    </row>
    <row r="49" spans="1:2" x14ac:dyDescent="0.25">
      <c r="A49" s="1" t="s">
        <v>26</v>
      </c>
      <c r="B49" t="s">
        <v>41</v>
      </c>
    </row>
    <row r="50" spans="1:2" x14ac:dyDescent="0.25">
      <c r="A50" s="2" t="s">
        <v>23</v>
      </c>
      <c r="B50" s="5">
        <v>4690</v>
      </c>
    </row>
    <row r="51" spans="1:2" x14ac:dyDescent="0.25">
      <c r="A51" s="2" t="s">
        <v>17</v>
      </c>
      <c r="B51" s="5">
        <v>4626</v>
      </c>
    </row>
    <row r="52" spans="1:2" x14ac:dyDescent="0.25">
      <c r="A52" s="2" t="s">
        <v>20</v>
      </c>
      <c r="B52" s="5">
        <v>4481</v>
      </c>
    </row>
    <row r="53" spans="1:2" x14ac:dyDescent="0.25">
      <c r="A53" s="2" t="s">
        <v>27</v>
      </c>
      <c r="B53" s="5">
        <v>13797</v>
      </c>
    </row>
    <row r="60" spans="1:2" x14ac:dyDescent="0.25">
      <c r="A60" s="1" t="s">
        <v>26</v>
      </c>
      <c r="B60" t="s">
        <v>40</v>
      </c>
    </row>
    <row r="61" spans="1:2" x14ac:dyDescent="0.25">
      <c r="A61" s="2" t="s">
        <v>18</v>
      </c>
      <c r="B61" s="5">
        <v>2220</v>
      </c>
    </row>
    <row r="62" spans="1:2" x14ac:dyDescent="0.25">
      <c r="A62" s="2" t="s">
        <v>22</v>
      </c>
      <c r="B62" s="5">
        <v>2281</v>
      </c>
    </row>
    <row r="63" spans="1:2" x14ac:dyDescent="0.25">
      <c r="A63" s="2" t="s">
        <v>27</v>
      </c>
      <c r="B63" s="5">
        <v>4501</v>
      </c>
    </row>
    <row r="75" spans="1:22" x14ac:dyDescent="0.25">
      <c r="A75" s="1" t="s">
        <v>41</v>
      </c>
      <c r="B75" s="1" t="s">
        <v>35</v>
      </c>
    </row>
    <row r="76" spans="1:22" x14ac:dyDescent="0.25">
      <c r="B76" t="s">
        <v>53</v>
      </c>
      <c r="K76" t="s">
        <v>54</v>
      </c>
      <c r="L76" t="s">
        <v>42</v>
      </c>
      <c r="U76" t="s">
        <v>43</v>
      </c>
      <c r="V76" t="s">
        <v>27</v>
      </c>
    </row>
    <row r="77" spans="1:22" x14ac:dyDescent="0.25">
      <c r="B77" t="s">
        <v>23</v>
      </c>
      <c r="D77" t="s">
        <v>44</v>
      </c>
      <c r="E77" t="s">
        <v>17</v>
      </c>
      <c r="G77" t="s">
        <v>45</v>
      </c>
      <c r="H77" t="s">
        <v>20</v>
      </c>
      <c r="J77" t="s">
        <v>46</v>
      </c>
      <c r="L77" t="s">
        <v>23</v>
      </c>
      <c r="N77" t="s">
        <v>44</v>
      </c>
      <c r="O77" t="s">
        <v>17</v>
      </c>
      <c r="Q77" t="s">
        <v>45</v>
      </c>
      <c r="R77" t="s">
        <v>20</v>
      </c>
      <c r="T77" t="s">
        <v>46</v>
      </c>
    </row>
    <row r="78" spans="1:22" x14ac:dyDescent="0.25">
      <c r="A78" s="1" t="s">
        <v>26</v>
      </c>
      <c r="B78" t="s">
        <v>19</v>
      </c>
      <c r="C78" t="s">
        <v>16</v>
      </c>
      <c r="E78" t="s">
        <v>19</v>
      </c>
      <c r="F78" t="s">
        <v>16</v>
      </c>
      <c r="H78" t="s">
        <v>19</v>
      </c>
      <c r="I78" t="s">
        <v>16</v>
      </c>
      <c r="L78" t="s">
        <v>19</v>
      </c>
      <c r="M78" t="s">
        <v>16</v>
      </c>
      <c r="O78" t="s">
        <v>19</v>
      </c>
      <c r="P78" t="s">
        <v>16</v>
      </c>
      <c r="R78" t="s">
        <v>19</v>
      </c>
      <c r="S78" t="s">
        <v>16</v>
      </c>
    </row>
    <row r="79" spans="1:22" x14ac:dyDescent="0.25">
      <c r="A79" s="2" t="s">
        <v>36</v>
      </c>
      <c r="B79" s="5">
        <v>231</v>
      </c>
      <c r="C79" s="5">
        <v>200</v>
      </c>
      <c r="D79" s="5">
        <v>431</v>
      </c>
      <c r="E79" s="5">
        <v>176</v>
      </c>
      <c r="F79" s="5">
        <v>220</v>
      </c>
      <c r="G79" s="5">
        <v>396</v>
      </c>
      <c r="H79" s="5">
        <v>334</v>
      </c>
      <c r="I79" s="5">
        <v>254</v>
      </c>
      <c r="J79" s="5">
        <v>588</v>
      </c>
      <c r="K79" s="5">
        <v>1415</v>
      </c>
      <c r="L79" s="5">
        <v>253</v>
      </c>
      <c r="M79" s="5">
        <v>181</v>
      </c>
      <c r="N79" s="5">
        <v>434</v>
      </c>
      <c r="O79" s="5">
        <v>243</v>
      </c>
      <c r="P79" s="5">
        <v>246</v>
      </c>
      <c r="Q79" s="5">
        <v>489</v>
      </c>
      <c r="R79" s="5">
        <v>191</v>
      </c>
      <c r="S79" s="5">
        <v>218</v>
      </c>
      <c r="T79" s="5">
        <v>409</v>
      </c>
      <c r="U79" s="5">
        <v>1332</v>
      </c>
      <c r="V79" s="5">
        <v>2747</v>
      </c>
    </row>
    <row r="80" spans="1:22" x14ac:dyDescent="0.25">
      <c r="A80" s="2" t="s">
        <v>37</v>
      </c>
      <c r="B80" s="5">
        <v>334</v>
      </c>
      <c r="C80" s="5">
        <v>285</v>
      </c>
      <c r="D80" s="5">
        <v>619</v>
      </c>
      <c r="E80" s="5">
        <v>248</v>
      </c>
      <c r="F80" s="5">
        <v>372</v>
      </c>
      <c r="G80" s="5">
        <v>620</v>
      </c>
      <c r="H80" s="5">
        <v>309</v>
      </c>
      <c r="I80" s="5">
        <v>455</v>
      </c>
      <c r="J80" s="5">
        <v>764</v>
      </c>
      <c r="K80" s="5">
        <v>2003</v>
      </c>
      <c r="L80" s="5">
        <v>243</v>
      </c>
      <c r="M80" s="5">
        <v>300</v>
      </c>
      <c r="N80" s="5">
        <v>543</v>
      </c>
      <c r="O80" s="5">
        <v>244</v>
      </c>
      <c r="P80" s="5">
        <v>200</v>
      </c>
      <c r="Q80" s="5">
        <v>444</v>
      </c>
      <c r="R80" s="5">
        <v>207</v>
      </c>
      <c r="S80" s="5">
        <v>273</v>
      </c>
      <c r="T80" s="5">
        <v>480</v>
      </c>
      <c r="U80" s="5">
        <v>1467</v>
      </c>
      <c r="V80" s="5">
        <v>3470</v>
      </c>
    </row>
    <row r="81" spans="1:22" x14ac:dyDescent="0.25">
      <c r="A81" s="2" t="s">
        <v>38</v>
      </c>
      <c r="B81" s="5">
        <v>474</v>
      </c>
      <c r="C81" s="5">
        <v>342</v>
      </c>
      <c r="D81" s="5">
        <v>816</v>
      </c>
      <c r="E81" s="5">
        <v>351</v>
      </c>
      <c r="F81" s="5">
        <v>475</v>
      </c>
      <c r="G81" s="5">
        <v>826</v>
      </c>
      <c r="H81" s="5">
        <v>225</v>
      </c>
      <c r="I81" s="5">
        <v>400</v>
      </c>
      <c r="J81" s="5">
        <v>625</v>
      </c>
      <c r="K81" s="5">
        <v>2267</v>
      </c>
      <c r="L81" s="5">
        <v>204</v>
      </c>
      <c r="M81" s="5">
        <v>476</v>
      </c>
      <c r="N81" s="5">
        <v>680</v>
      </c>
      <c r="O81" s="5">
        <v>295</v>
      </c>
      <c r="P81" s="5">
        <v>416</v>
      </c>
      <c r="Q81" s="5">
        <v>711</v>
      </c>
      <c r="R81" s="5">
        <v>284</v>
      </c>
      <c r="S81" s="5">
        <v>234</v>
      </c>
      <c r="T81" s="5">
        <v>518</v>
      </c>
      <c r="U81" s="5">
        <v>1909</v>
      </c>
      <c r="V81" s="5">
        <v>4176</v>
      </c>
    </row>
    <row r="82" spans="1:22" x14ac:dyDescent="0.25">
      <c r="A82" s="2" t="s">
        <v>39</v>
      </c>
      <c r="B82" s="5">
        <v>306</v>
      </c>
      <c r="C82" s="5">
        <v>358</v>
      </c>
      <c r="D82" s="5">
        <v>664</v>
      </c>
      <c r="E82" s="5">
        <v>322</v>
      </c>
      <c r="F82" s="5">
        <v>307</v>
      </c>
      <c r="G82" s="5">
        <v>629</v>
      </c>
      <c r="H82" s="5">
        <v>261</v>
      </c>
      <c r="I82" s="5">
        <v>337</v>
      </c>
      <c r="J82" s="5">
        <v>598</v>
      </c>
      <c r="K82" s="5">
        <v>1891</v>
      </c>
      <c r="L82" s="5">
        <v>250</v>
      </c>
      <c r="M82" s="5">
        <v>253</v>
      </c>
      <c r="N82" s="5">
        <v>503</v>
      </c>
      <c r="O82" s="5">
        <v>305</v>
      </c>
      <c r="P82" s="5">
        <v>206</v>
      </c>
      <c r="Q82" s="5">
        <v>511</v>
      </c>
      <c r="R82" s="5">
        <v>233</v>
      </c>
      <c r="S82" s="5">
        <v>266</v>
      </c>
      <c r="T82" s="5">
        <v>499</v>
      </c>
      <c r="U82" s="5">
        <v>1513</v>
      </c>
      <c r="V82" s="5">
        <v>3404</v>
      </c>
    </row>
    <row r="83" spans="1:22" x14ac:dyDescent="0.25">
      <c r="A83" s="2" t="s">
        <v>27</v>
      </c>
      <c r="B83" s="5">
        <v>1345</v>
      </c>
      <c r="C83" s="5">
        <v>1185</v>
      </c>
      <c r="D83" s="5">
        <v>2530</v>
      </c>
      <c r="E83" s="5">
        <v>1097</v>
      </c>
      <c r="F83" s="5">
        <v>1374</v>
      </c>
      <c r="G83" s="5">
        <v>2471</v>
      </c>
      <c r="H83" s="5">
        <v>1129</v>
      </c>
      <c r="I83" s="5">
        <v>1446</v>
      </c>
      <c r="J83" s="5">
        <v>2575</v>
      </c>
      <c r="K83" s="5">
        <v>7576</v>
      </c>
      <c r="L83" s="5">
        <v>950</v>
      </c>
      <c r="M83" s="5">
        <v>1210</v>
      </c>
      <c r="N83" s="5">
        <v>2160</v>
      </c>
      <c r="O83" s="5">
        <v>1087</v>
      </c>
      <c r="P83" s="5">
        <v>1068</v>
      </c>
      <c r="Q83" s="5">
        <v>2155</v>
      </c>
      <c r="R83" s="5">
        <v>915</v>
      </c>
      <c r="S83" s="5">
        <v>991</v>
      </c>
      <c r="T83" s="5">
        <v>1906</v>
      </c>
      <c r="U83" s="5">
        <v>6221</v>
      </c>
      <c r="V83" s="5">
        <v>13797</v>
      </c>
    </row>
    <row r="93" spans="1:22" x14ac:dyDescent="0.25">
      <c r="A93" t="s">
        <v>47</v>
      </c>
    </row>
    <row r="94" spans="1:22" x14ac:dyDescent="0.25">
      <c r="A94" t="s">
        <v>48</v>
      </c>
      <c r="B94">
        <f>GETPIVOTDATA("age",$A$4)</f>
        <v>831</v>
      </c>
    </row>
    <row r="96" spans="1:22" x14ac:dyDescent="0.25">
      <c r="A96" t="s">
        <v>49</v>
      </c>
      <c r="B96" s="4">
        <f>GETPIVOTDATA("age",$C$4)</f>
        <v>15.868832731648617</v>
      </c>
    </row>
    <row r="98" spans="1:2" x14ac:dyDescent="0.25">
      <c r="A98" t="s">
        <v>50</v>
      </c>
      <c r="B98">
        <f>GETPIVOTDATA("Total screen time",$E$3)</f>
        <v>5239.6999999999962</v>
      </c>
    </row>
    <row r="100" spans="1:2" x14ac:dyDescent="0.25">
      <c r="A100" t="s">
        <v>52</v>
      </c>
      <c r="B100">
        <f>GETPIVOTDATA("sleep_hours",$G$3)</f>
        <v>5346.7999999999965</v>
      </c>
    </row>
  </sheetData>
  <pageMargins left="0.7" right="0.7" top="0.75" bottom="0.75" header="0.3" footer="0.3"/>
  <drawing r:id="rId1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00118-E8C9-4BA2-867E-84CC9780F782}">
  <dimension ref="A1"/>
  <sheetViews>
    <sheetView showGridLines="0" tabSelected="1" topLeftCell="A6" zoomScale="155" zoomScaleNormal="110" workbookViewId="0">
      <selection activeCell="O25" sqref="O25"/>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CA023-412F-4572-9D22-410A20B736D8}">
  <dimension ref="A1"/>
  <sheetViews>
    <sheetView showGridLines="0" zoomScale="112" zoomScaleNormal="112" workbookViewId="0">
      <selection activeCell="U12" sqref="U12"/>
    </sheetView>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Teen_Mental_Health_Dataset</vt:lpstr>
      <vt:lpstr>Worksheet</vt:lpstr>
      <vt:lpstr>Pivot_Table</vt:lpstr>
      <vt:lpstr>Dashboard</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Isaiah Paul</cp:lastModifiedBy>
  <dcterms:created xsi:type="dcterms:W3CDTF">2026-06-22T11:31:57Z</dcterms:created>
  <dcterms:modified xsi:type="dcterms:W3CDTF">2026-07-01T13:17:08Z</dcterms:modified>
</cp:coreProperties>
</file>